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8E5F97E-C73D-4715-AE6C-5AF3193C1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ZA" sheetId="1" r:id="rId1"/>
    <sheet name="3 FEB" sheetId="2" r:id="rId2"/>
    <sheet name="5 FEB" sheetId="3" r:id="rId3"/>
    <sheet name="6 feb" sheetId="4" r:id="rId4"/>
    <sheet name="8 FEB" sheetId="5" r:id="rId5"/>
    <sheet name="9 FEB" sheetId="6" r:id="rId6"/>
    <sheet name="17 FEB" sheetId="7" r:id="rId7"/>
    <sheet name="Enrique" sheetId="8" r:id="rId8"/>
    <sheet name="cuadr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1" i="9" l="1"/>
  <c r="AC121" i="9"/>
  <c r="AB121" i="9"/>
  <c r="AA121" i="9"/>
  <c r="Z121" i="9"/>
  <c r="Y121" i="9"/>
  <c r="X121" i="9"/>
  <c r="W121" i="9"/>
  <c r="V121" i="9"/>
  <c r="U121" i="9"/>
  <c r="T121" i="9"/>
  <c r="S121" i="9"/>
  <c r="R121" i="9"/>
  <c r="R103" i="9" s="1"/>
  <c r="Q121" i="9"/>
  <c r="P121" i="9"/>
  <c r="P103" i="9" s="1"/>
  <c r="N121" i="9"/>
  <c r="K121" i="9"/>
  <c r="I121" i="9"/>
  <c r="H121" i="9"/>
  <c r="G121" i="9"/>
  <c r="D121" i="9"/>
  <c r="B121" i="9"/>
  <c r="O120" i="9"/>
  <c r="O121" i="9" s="1"/>
  <c r="N120" i="9"/>
  <c r="M120" i="9"/>
  <c r="M121" i="9" s="1"/>
  <c r="L120" i="9"/>
  <c r="L121" i="9" s="1"/>
  <c r="K120" i="9"/>
  <c r="J120" i="9"/>
  <c r="J121" i="9" s="1"/>
  <c r="F120" i="9"/>
  <c r="F121" i="9" s="1"/>
  <c r="E120" i="9"/>
  <c r="E121" i="9" s="1"/>
  <c r="C120" i="9"/>
  <c r="C121" i="9" s="1"/>
  <c r="B120" i="9"/>
  <c r="AE118" i="9"/>
  <c r="AE117" i="9"/>
  <c r="AE116" i="9"/>
  <c r="AE115" i="9"/>
  <c r="AE114" i="9"/>
  <c r="AE113" i="9"/>
  <c r="AE112" i="9"/>
  <c r="AE111" i="9"/>
  <c r="AE110" i="9"/>
  <c r="AE109" i="9"/>
  <c r="AE108" i="9"/>
  <c r="AD101" i="9"/>
  <c r="N100" i="9"/>
  <c r="M100" i="9"/>
  <c r="N98" i="9" s="1"/>
  <c r="C100" i="9"/>
  <c r="V99" i="9"/>
  <c r="F99" i="9"/>
  <c r="S98" i="9"/>
  <c r="R98" i="9"/>
  <c r="Q98" i="9"/>
  <c r="P98" i="9"/>
  <c r="O98" i="9"/>
  <c r="M98" i="9"/>
  <c r="L98" i="9"/>
  <c r="K98" i="9"/>
  <c r="J98" i="9"/>
  <c r="I98" i="9"/>
  <c r="H98" i="9"/>
  <c r="G98" i="9"/>
  <c r="F98" i="9"/>
  <c r="E98" i="9"/>
  <c r="D98" i="9"/>
  <c r="C98" i="9"/>
  <c r="Q97" i="9"/>
  <c r="P97" i="9"/>
  <c r="M97" i="9"/>
  <c r="K97" i="9"/>
  <c r="AD97" i="9" s="1"/>
  <c r="AD96" i="9"/>
  <c r="O96" i="9"/>
  <c r="AD95" i="9"/>
  <c r="AC94" i="9"/>
  <c r="AB94" i="9"/>
  <c r="AB103" i="9" s="1"/>
  <c r="AA94" i="9"/>
  <c r="Z94" i="9"/>
  <c r="Z103" i="9" s="1"/>
  <c r="Y94" i="9"/>
  <c r="Y103" i="9" s="1"/>
  <c r="X94" i="9"/>
  <c r="X103" i="9" s="1"/>
  <c r="W94" i="9"/>
  <c r="W103" i="9" s="1"/>
  <c r="V94" i="9"/>
  <c r="U94" i="9"/>
  <c r="T94" i="9"/>
  <c r="S94" i="9"/>
  <c r="R94" i="9"/>
  <c r="Q94" i="9"/>
  <c r="P94" i="9"/>
  <c r="O94" i="9"/>
  <c r="M94" i="9"/>
  <c r="L94" i="9"/>
  <c r="K94" i="9"/>
  <c r="J94" i="9"/>
  <c r="I94" i="9"/>
  <c r="I103" i="9" s="1"/>
  <c r="H94" i="9"/>
  <c r="H103" i="9" s="1"/>
  <c r="G94" i="9"/>
  <c r="F94" i="9"/>
  <c r="E94" i="9"/>
  <c r="D94" i="9"/>
  <c r="C94" i="9"/>
  <c r="B94" i="9"/>
  <c r="AD93" i="9"/>
  <c r="N92" i="9"/>
  <c r="AD91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AD90" i="9" s="1"/>
  <c r="D90" i="9"/>
  <c r="C90" i="9"/>
  <c r="B90" i="9"/>
  <c r="AD89" i="9"/>
  <c r="AD88" i="9"/>
  <c r="AD87" i="9"/>
  <c r="AD86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K85" i="9"/>
  <c r="J85" i="9"/>
  <c r="I85" i="9"/>
  <c r="H85" i="9"/>
  <c r="G85" i="9"/>
  <c r="F85" i="9"/>
  <c r="E85" i="9"/>
  <c r="D85" i="9"/>
  <c r="C85" i="9"/>
  <c r="B85" i="9"/>
  <c r="AD84" i="9"/>
  <c r="AD83" i="9"/>
  <c r="AD81" i="9"/>
  <c r="AD80" i="9"/>
  <c r="AD79" i="9"/>
  <c r="L78" i="9"/>
  <c r="AD77" i="9"/>
  <c r="AD76" i="9"/>
  <c r="AD75" i="9"/>
  <c r="AD74" i="9"/>
  <c r="AD73" i="9"/>
  <c r="AD72" i="9"/>
  <c r="AD71" i="9"/>
  <c r="AD70" i="9"/>
  <c r="AD69" i="9"/>
  <c r="AD68" i="9"/>
  <c r="AD66" i="9"/>
  <c r="AD65" i="9"/>
  <c r="AD64" i="9"/>
  <c r="AD63" i="9"/>
  <c r="AC62" i="9"/>
  <c r="AB62" i="9"/>
  <c r="AA62" i="9"/>
  <c r="Z62" i="9"/>
  <c r="Y62" i="9"/>
  <c r="X62" i="9"/>
  <c r="W62" i="9"/>
  <c r="V62" i="9"/>
  <c r="U62" i="9"/>
  <c r="T62" i="9"/>
  <c r="S62" i="9"/>
  <c r="P62" i="9"/>
  <c r="O62" i="9"/>
  <c r="N62" i="9"/>
  <c r="M62" i="9"/>
  <c r="L62" i="9"/>
  <c r="K62" i="9"/>
  <c r="J62" i="9"/>
  <c r="I62" i="9"/>
  <c r="H62" i="9"/>
  <c r="G62" i="9"/>
  <c r="F62" i="9"/>
  <c r="D62" i="9"/>
  <c r="B62" i="9"/>
  <c r="AD61" i="9"/>
  <c r="AD60" i="9"/>
  <c r="AD59" i="9"/>
  <c r="AD58" i="9"/>
  <c r="R57" i="9"/>
  <c r="N57" i="9"/>
  <c r="J57" i="9"/>
  <c r="AD56" i="9"/>
  <c r="AD55" i="9"/>
  <c r="AD54" i="9"/>
  <c r="AD53" i="9"/>
  <c r="AD51" i="9"/>
  <c r="AD50" i="9"/>
  <c r="R49" i="9"/>
  <c r="R62" i="9" s="1"/>
  <c r="Q49" i="9"/>
  <c r="Q4" i="9" s="1"/>
  <c r="O49" i="9"/>
  <c r="M49" i="9"/>
  <c r="M4" i="9" s="1"/>
  <c r="M8" i="9" s="1"/>
  <c r="E49" i="9"/>
  <c r="AD48" i="9"/>
  <c r="AD47" i="9"/>
  <c r="AD46" i="9"/>
  <c r="M45" i="9"/>
  <c r="C45" i="9"/>
  <c r="AD44" i="9"/>
  <c r="AD43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7" i="9"/>
  <c r="AC26" i="9"/>
  <c r="AC99" i="9" s="1"/>
  <c r="AB26" i="9"/>
  <c r="AB99" i="9" s="1"/>
  <c r="AA26" i="9"/>
  <c r="AA99" i="9" s="1"/>
  <c r="Z26" i="9"/>
  <c r="Z99" i="9" s="1"/>
  <c r="Y26" i="9"/>
  <c r="Y99" i="9" s="1"/>
  <c r="X26" i="9"/>
  <c r="X99" i="9" s="1"/>
  <c r="W26" i="9"/>
  <c r="W99" i="9" s="1"/>
  <c r="V26" i="9"/>
  <c r="U26" i="9"/>
  <c r="U99" i="9" s="1"/>
  <c r="T26" i="9"/>
  <c r="T99" i="9" s="1"/>
  <c r="S26" i="9"/>
  <c r="S99" i="9" s="1"/>
  <c r="R26" i="9"/>
  <c r="R99" i="9" s="1"/>
  <c r="Q26" i="9"/>
  <c r="Q99" i="9" s="1"/>
  <c r="P26" i="9"/>
  <c r="P99" i="9" s="1"/>
  <c r="O26" i="9"/>
  <c r="O99" i="9" s="1"/>
  <c r="N26" i="9"/>
  <c r="N99" i="9" s="1"/>
  <c r="L26" i="9"/>
  <c r="L99" i="9" s="1"/>
  <c r="K26" i="9"/>
  <c r="K99" i="9" s="1"/>
  <c r="J26" i="9"/>
  <c r="J99" i="9" s="1"/>
  <c r="I26" i="9"/>
  <c r="I99" i="9" s="1"/>
  <c r="H26" i="9"/>
  <c r="H99" i="9" s="1"/>
  <c r="G26" i="9"/>
  <c r="G99" i="9" s="1"/>
  <c r="F26" i="9"/>
  <c r="E26" i="9"/>
  <c r="E99" i="9" s="1"/>
  <c r="D26" i="9"/>
  <c r="D99" i="9" s="1"/>
  <c r="C26" i="9"/>
  <c r="C99" i="9" s="1"/>
  <c r="B26" i="9"/>
  <c r="AD25" i="9"/>
  <c r="AD24" i="9"/>
  <c r="AD23" i="9"/>
  <c r="M23" i="9"/>
  <c r="M26" i="9" s="1"/>
  <c r="M99" i="9" s="1"/>
  <c r="AD22" i="9"/>
  <c r="AD21" i="9"/>
  <c r="B20" i="9"/>
  <c r="AD20" i="9" s="1"/>
  <c r="AD19" i="9"/>
  <c r="AD18" i="9"/>
  <c r="AD17" i="9"/>
  <c r="I17" i="9"/>
  <c r="AD16" i="9"/>
  <c r="O15" i="9"/>
  <c r="AD15" i="9" s="1"/>
  <c r="AD13" i="9"/>
  <c r="AD12" i="9"/>
  <c r="AD11" i="9"/>
  <c r="AD10" i="9"/>
  <c r="AD9" i="9"/>
  <c r="AC8" i="9"/>
  <c r="AB8" i="9"/>
  <c r="AA8" i="9"/>
  <c r="Z8" i="9"/>
  <c r="Y8" i="9"/>
  <c r="X8" i="9"/>
  <c r="W8" i="9"/>
  <c r="V8" i="9"/>
  <c r="U8" i="9"/>
  <c r="T8" i="9"/>
  <c r="S8" i="9"/>
  <c r="R8" i="9"/>
  <c r="P8" i="9"/>
  <c r="O8" i="9"/>
  <c r="L8" i="9"/>
  <c r="K8" i="9"/>
  <c r="H8" i="9"/>
  <c r="D8" i="9"/>
  <c r="C8" i="9"/>
  <c r="R5" i="9"/>
  <c r="Q5" i="9"/>
  <c r="P5" i="9"/>
  <c r="O5" i="9"/>
  <c r="N5" i="9"/>
  <c r="M5" i="9"/>
  <c r="L5" i="9"/>
  <c r="J5" i="9"/>
  <c r="H5" i="9"/>
  <c r="G5" i="9"/>
  <c r="D5" i="9"/>
  <c r="B5" i="9"/>
  <c r="B8" i="9" s="1"/>
  <c r="R4" i="9"/>
  <c r="O4" i="9"/>
  <c r="N4" i="9"/>
  <c r="L4" i="9"/>
  <c r="I4" i="9"/>
  <c r="I8" i="9" s="1"/>
  <c r="H4" i="9"/>
  <c r="G4" i="9"/>
  <c r="F4" i="9"/>
  <c r="F8" i="9" s="1"/>
  <c r="D4" i="9"/>
  <c r="C4" i="9"/>
  <c r="AD3" i="9"/>
  <c r="K60" i="8"/>
  <c r="K59" i="8"/>
  <c r="K58" i="8"/>
  <c r="K57" i="8"/>
  <c r="K61" i="8" s="1"/>
  <c r="K49" i="8"/>
  <c r="K48" i="8"/>
  <c r="K44" i="8"/>
  <c r="K43" i="8"/>
  <c r="K45" i="8" s="1"/>
  <c r="K36" i="8"/>
  <c r="K35" i="8"/>
  <c r="K34" i="8"/>
  <c r="K29" i="8"/>
  <c r="E29" i="8"/>
  <c r="E28" i="8"/>
  <c r="K27" i="8"/>
  <c r="K25" i="8"/>
  <c r="K24" i="8"/>
  <c r="K23" i="8"/>
  <c r="E23" i="8"/>
  <c r="K22" i="8"/>
  <c r="E22" i="8"/>
  <c r="K21" i="8"/>
  <c r="E18" i="8"/>
  <c r="K17" i="8"/>
  <c r="E17" i="8"/>
  <c r="E19" i="8" s="1"/>
  <c r="K16" i="8"/>
  <c r="K15" i="8"/>
  <c r="K14" i="8"/>
  <c r="K11" i="8"/>
  <c r="E11" i="8"/>
  <c r="K10" i="8"/>
  <c r="K12" i="8" s="1"/>
  <c r="E10" i="8"/>
  <c r="C6" i="8"/>
  <c r="I582" i="7"/>
  <c r="H582" i="7"/>
  <c r="E582" i="7"/>
  <c r="D582" i="7"/>
  <c r="D583" i="7" s="1"/>
  <c r="C582" i="7"/>
  <c r="L581" i="7"/>
  <c r="K581" i="7"/>
  <c r="J581" i="7"/>
  <c r="F581" i="7"/>
  <c r="F580" i="7"/>
  <c r="K579" i="7"/>
  <c r="J579" i="7"/>
  <c r="F579" i="7"/>
  <c r="L579" i="7" s="1"/>
  <c r="L578" i="7"/>
  <c r="K578" i="7"/>
  <c r="J578" i="7"/>
  <c r="F578" i="7"/>
  <c r="K577" i="7"/>
  <c r="J577" i="7"/>
  <c r="F577" i="7"/>
  <c r="L577" i="7" s="1"/>
  <c r="K576" i="7"/>
  <c r="J576" i="7"/>
  <c r="F576" i="7"/>
  <c r="L576" i="7" s="1"/>
  <c r="K575" i="7"/>
  <c r="J575" i="7"/>
  <c r="F575" i="7"/>
  <c r="L575" i="7" s="1"/>
  <c r="L574" i="7"/>
  <c r="K574" i="7"/>
  <c r="J574" i="7"/>
  <c r="F574" i="7"/>
  <c r="K573" i="7"/>
  <c r="J573" i="7"/>
  <c r="F573" i="7"/>
  <c r="L573" i="7" s="1"/>
  <c r="K572" i="7"/>
  <c r="J572" i="7"/>
  <c r="F572" i="7"/>
  <c r="L572" i="7" s="1"/>
  <c r="K571" i="7"/>
  <c r="J571" i="7"/>
  <c r="F571" i="7"/>
  <c r="L571" i="7" s="1"/>
  <c r="K570" i="7"/>
  <c r="J570" i="7"/>
  <c r="F570" i="7"/>
  <c r="L570" i="7" s="1"/>
  <c r="K569" i="7"/>
  <c r="J569" i="7"/>
  <c r="F569" i="7"/>
  <c r="L569" i="7" s="1"/>
  <c r="K568" i="7"/>
  <c r="J568" i="7"/>
  <c r="F568" i="7"/>
  <c r="L568" i="7" s="1"/>
  <c r="L567" i="7"/>
  <c r="K567" i="7"/>
  <c r="J567" i="7"/>
  <c r="F567" i="7"/>
  <c r="K566" i="7"/>
  <c r="J566" i="7"/>
  <c r="F566" i="7"/>
  <c r="L566" i="7" s="1"/>
  <c r="L565" i="7"/>
  <c r="K565" i="7"/>
  <c r="J565" i="7"/>
  <c r="F565" i="7"/>
  <c r="K564" i="7"/>
  <c r="J564" i="7"/>
  <c r="F564" i="7"/>
  <c r="L564" i="7" s="1"/>
  <c r="L563" i="7"/>
  <c r="K563" i="7"/>
  <c r="J563" i="7"/>
  <c r="F563" i="7"/>
  <c r="K562" i="7"/>
  <c r="J562" i="7"/>
  <c r="F562" i="7"/>
  <c r="L562" i="7" s="1"/>
  <c r="K561" i="7"/>
  <c r="J561" i="7"/>
  <c r="F561" i="7"/>
  <c r="L561" i="7" s="1"/>
  <c r="K560" i="7"/>
  <c r="J560" i="7"/>
  <c r="F560" i="7"/>
  <c r="L560" i="7" s="1"/>
  <c r="L559" i="7"/>
  <c r="K559" i="7"/>
  <c r="J559" i="7"/>
  <c r="F559" i="7"/>
  <c r="K558" i="7"/>
  <c r="J558" i="7"/>
  <c r="F558" i="7"/>
  <c r="L558" i="7" s="1"/>
  <c r="L557" i="7"/>
  <c r="K557" i="7"/>
  <c r="J557" i="7"/>
  <c r="F557" i="7"/>
  <c r="K556" i="7"/>
  <c r="J556" i="7"/>
  <c r="F556" i="7"/>
  <c r="L556" i="7" s="1"/>
  <c r="L555" i="7"/>
  <c r="K555" i="7"/>
  <c r="J555" i="7"/>
  <c r="F555" i="7"/>
  <c r="K554" i="7"/>
  <c r="J554" i="7"/>
  <c r="F554" i="7"/>
  <c r="L554" i="7" s="1"/>
  <c r="K553" i="7"/>
  <c r="J553" i="7"/>
  <c r="F553" i="7"/>
  <c r="L553" i="7" s="1"/>
  <c r="K552" i="7"/>
  <c r="J552" i="7"/>
  <c r="F552" i="7"/>
  <c r="L552" i="7" s="1"/>
  <c r="M551" i="7"/>
  <c r="K551" i="7"/>
  <c r="J551" i="7"/>
  <c r="F551" i="7"/>
  <c r="L551" i="7" s="1"/>
  <c r="K550" i="7"/>
  <c r="J550" i="7"/>
  <c r="F550" i="7"/>
  <c r="L550" i="7" s="1"/>
  <c r="L549" i="7"/>
  <c r="K549" i="7"/>
  <c r="J549" i="7"/>
  <c r="F549" i="7"/>
  <c r="L548" i="7"/>
  <c r="K548" i="7"/>
  <c r="J548" i="7"/>
  <c r="F548" i="7"/>
  <c r="K547" i="7"/>
  <c r="J547" i="7"/>
  <c r="F547" i="7"/>
  <c r="L547" i="7" s="1"/>
  <c r="K546" i="7"/>
  <c r="J546" i="7"/>
  <c r="F546" i="7"/>
  <c r="L546" i="7" s="1"/>
  <c r="L545" i="7"/>
  <c r="K545" i="7"/>
  <c r="J545" i="7"/>
  <c r="F545" i="7"/>
  <c r="L544" i="7"/>
  <c r="K544" i="7"/>
  <c r="J544" i="7"/>
  <c r="F544" i="7"/>
  <c r="K543" i="7"/>
  <c r="J543" i="7"/>
  <c r="F543" i="7"/>
  <c r="L543" i="7" s="1"/>
  <c r="K542" i="7"/>
  <c r="J542" i="7"/>
  <c r="F542" i="7"/>
  <c r="L542" i="7" s="1"/>
  <c r="L541" i="7"/>
  <c r="K541" i="7"/>
  <c r="J541" i="7"/>
  <c r="F541" i="7"/>
  <c r="L540" i="7"/>
  <c r="K540" i="7"/>
  <c r="J540" i="7"/>
  <c r="F540" i="7"/>
  <c r="L539" i="7"/>
  <c r="K539" i="7"/>
  <c r="J539" i="7"/>
  <c r="F539" i="7"/>
  <c r="K538" i="7"/>
  <c r="J538" i="7"/>
  <c r="F538" i="7"/>
  <c r="L538" i="7" s="1"/>
  <c r="L537" i="7"/>
  <c r="K537" i="7"/>
  <c r="J537" i="7"/>
  <c r="F537" i="7"/>
  <c r="K536" i="7"/>
  <c r="J536" i="7"/>
  <c r="F536" i="7"/>
  <c r="L536" i="7" s="1"/>
  <c r="K535" i="7"/>
  <c r="J535" i="7"/>
  <c r="F535" i="7"/>
  <c r="L535" i="7" s="1"/>
  <c r="K534" i="7"/>
  <c r="J534" i="7"/>
  <c r="F534" i="7"/>
  <c r="L534" i="7" s="1"/>
  <c r="L533" i="7"/>
  <c r="K533" i="7"/>
  <c r="J533" i="7"/>
  <c r="F533" i="7"/>
  <c r="J532" i="7"/>
  <c r="G532" i="7"/>
  <c r="F532" i="7"/>
  <c r="K531" i="7"/>
  <c r="J531" i="7"/>
  <c r="F531" i="7"/>
  <c r="L531" i="7" s="1"/>
  <c r="K530" i="7"/>
  <c r="J530" i="7"/>
  <c r="F530" i="7"/>
  <c r="L530" i="7" s="1"/>
  <c r="K529" i="7"/>
  <c r="J529" i="7"/>
  <c r="F529" i="7"/>
  <c r="L529" i="7" s="1"/>
  <c r="K528" i="7"/>
  <c r="J528" i="7"/>
  <c r="F528" i="7"/>
  <c r="L528" i="7" s="1"/>
  <c r="K527" i="7"/>
  <c r="J527" i="7"/>
  <c r="F527" i="7"/>
  <c r="L527" i="7" s="1"/>
  <c r="L526" i="7"/>
  <c r="K526" i="7"/>
  <c r="J526" i="7"/>
  <c r="F526" i="7"/>
  <c r="K525" i="7"/>
  <c r="J525" i="7"/>
  <c r="F525" i="7"/>
  <c r="L525" i="7" s="1"/>
  <c r="K524" i="7"/>
  <c r="J524" i="7"/>
  <c r="F524" i="7"/>
  <c r="L524" i="7" s="1"/>
  <c r="K523" i="7"/>
  <c r="J523" i="7"/>
  <c r="F523" i="7"/>
  <c r="L523" i="7" s="1"/>
  <c r="K522" i="7"/>
  <c r="J522" i="7"/>
  <c r="F522" i="7"/>
  <c r="L522" i="7" s="1"/>
  <c r="K521" i="7"/>
  <c r="J521" i="7"/>
  <c r="F521" i="7"/>
  <c r="L521" i="7" s="1"/>
  <c r="K520" i="7"/>
  <c r="J520" i="7"/>
  <c r="F520" i="7"/>
  <c r="L520" i="7" s="1"/>
  <c r="K519" i="7"/>
  <c r="J519" i="7"/>
  <c r="F519" i="7"/>
  <c r="L519" i="7" s="1"/>
  <c r="L518" i="7"/>
  <c r="K518" i="7"/>
  <c r="J518" i="7"/>
  <c r="F518" i="7"/>
  <c r="K517" i="7"/>
  <c r="J517" i="7"/>
  <c r="F517" i="7"/>
  <c r="L517" i="7" s="1"/>
  <c r="K516" i="7"/>
  <c r="J516" i="7"/>
  <c r="F516" i="7"/>
  <c r="L516" i="7" s="1"/>
  <c r="K515" i="7"/>
  <c r="J515" i="7"/>
  <c r="F515" i="7"/>
  <c r="L515" i="7" s="1"/>
  <c r="L514" i="7"/>
  <c r="K514" i="7"/>
  <c r="J514" i="7"/>
  <c r="F514" i="7"/>
  <c r="K513" i="7"/>
  <c r="J513" i="7"/>
  <c r="F513" i="7"/>
  <c r="L513" i="7" s="1"/>
  <c r="K512" i="7"/>
  <c r="J512" i="7"/>
  <c r="F512" i="7"/>
  <c r="L512" i="7" s="1"/>
  <c r="K511" i="7"/>
  <c r="J511" i="7"/>
  <c r="F511" i="7"/>
  <c r="L511" i="7" s="1"/>
  <c r="K510" i="7"/>
  <c r="J510" i="7"/>
  <c r="F510" i="7"/>
  <c r="K509" i="7"/>
  <c r="J509" i="7"/>
  <c r="F509" i="7"/>
  <c r="L509" i="7" s="1"/>
  <c r="K508" i="7"/>
  <c r="J508" i="7"/>
  <c r="F508" i="7"/>
  <c r="L508" i="7" s="1"/>
  <c r="K507" i="7"/>
  <c r="J507" i="7"/>
  <c r="F507" i="7"/>
  <c r="L507" i="7" s="1"/>
  <c r="J506" i="7"/>
  <c r="G506" i="7"/>
  <c r="F506" i="7"/>
  <c r="L505" i="7"/>
  <c r="K505" i="7"/>
  <c r="J505" i="7"/>
  <c r="F505" i="7"/>
  <c r="L504" i="7"/>
  <c r="K504" i="7"/>
  <c r="J504" i="7"/>
  <c r="F504" i="7"/>
  <c r="L503" i="7"/>
  <c r="K503" i="7"/>
  <c r="J503" i="7"/>
  <c r="F503" i="7"/>
  <c r="L502" i="7"/>
  <c r="K502" i="7"/>
  <c r="J502" i="7"/>
  <c r="F502" i="7"/>
  <c r="L501" i="7"/>
  <c r="K501" i="7"/>
  <c r="J501" i="7"/>
  <c r="F501" i="7"/>
  <c r="L500" i="7"/>
  <c r="K500" i="7"/>
  <c r="J500" i="7"/>
  <c r="F500" i="7"/>
  <c r="L499" i="7"/>
  <c r="K499" i="7"/>
  <c r="J499" i="7"/>
  <c r="F499" i="7"/>
  <c r="L498" i="7"/>
  <c r="K498" i="7"/>
  <c r="J498" i="7"/>
  <c r="F498" i="7"/>
  <c r="L497" i="7"/>
  <c r="K497" i="7"/>
  <c r="J497" i="7"/>
  <c r="F497" i="7"/>
  <c r="L496" i="7"/>
  <c r="K496" i="7"/>
  <c r="J496" i="7"/>
  <c r="F496" i="7"/>
  <c r="L495" i="7"/>
  <c r="K495" i="7"/>
  <c r="J495" i="7"/>
  <c r="F495" i="7"/>
  <c r="L494" i="7"/>
  <c r="K494" i="7"/>
  <c r="J494" i="7"/>
  <c r="F494" i="7"/>
  <c r="L493" i="7"/>
  <c r="K493" i="7"/>
  <c r="J493" i="7"/>
  <c r="F493" i="7"/>
  <c r="L492" i="7"/>
  <c r="K492" i="7"/>
  <c r="J492" i="7"/>
  <c r="F492" i="7"/>
  <c r="L491" i="7"/>
  <c r="K491" i="7"/>
  <c r="J491" i="7"/>
  <c r="F491" i="7"/>
  <c r="L490" i="7"/>
  <c r="K490" i="7"/>
  <c r="J490" i="7"/>
  <c r="F490" i="7"/>
  <c r="L489" i="7"/>
  <c r="K489" i="7"/>
  <c r="J489" i="7"/>
  <c r="F489" i="7"/>
  <c r="L488" i="7"/>
  <c r="K488" i="7"/>
  <c r="J488" i="7"/>
  <c r="F488" i="7"/>
  <c r="L487" i="7"/>
  <c r="K487" i="7"/>
  <c r="J487" i="7"/>
  <c r="F487" i="7"/>
  <c r="L486" i="7"/>
  <c r="K486" i="7"/>
  <c r="J486" i="7"/>
  <c r="F486" i="7"/>
  <c r="L485" i="7"/>
  <c r="K485" i="7"/>
  <c r="J485" i="7"/>
  <c r="F485" i="7"/>
  <c r="L484" i="7"/>
  <c r="K484" i="7"/>
  <c r="J484" i="7"/>
  <c r="F484" i="7"/>
  <c r="L483" i="7"/>
  <c r="K483" i="7"/>
  <c r="J483" i="7"/>
  <c r="F483" i="7"/>
  <c r="L482" i="7"/>
  <c r="K482" i="7"/>
  <c r="J482" i="7"/>
  <c r="F482" i="7"/>
  <c r="L481" i="7"/>
  <c r="K481" i="7"/>
  <c r="J481" i="7"/>
  <c r="F481" i="7"/>
  <c r="L480" i="7"/>
  <c r="K480" i="7"/>
  <c r="J480" i="7"/>
  <c r="F480" i="7"/>
  <c r="L479" i="7"/>
  <c r="K479" i="7"/>
  <c r="J479" i="7"/>
  <c r="F479" i="7"/>
  <c r="L478" i="7"/>
  <c r="K478" i="7"/>
  <c r="J478" i="7"/>
  <c r="F478" i="7"/>
  <c r="L477" i="7"/>
  <c r="K477" i="7"/>
  <c r="J477" i="7"/>
  <c r="F477" i="7"/>
  <c r="L476" i="7"/>
  <c r="K476" i="7"/>
  <c r="J476" i="7"/>
  <c r="F476" i="7"/>
  <c r="L475" i="7"/>
  <c r="K475" i="7"/>
  <c r="J475" i="7"/>
  <c r="F475" i="7"/>
  <c r="L474" i="7"/>
  <c r="K474" i="7"/>
  <c r="J474" i="7"/>
  <c r="F474" i="7"/>
  <c r="L473" i="7"/>
  <c r="K473" i="7"/>
  <c r="J473" i="7"/>
  <c r="F473" i="7"/>
  <c r="I472" i="7"/>
  <c r="H472" i="7"/>
  <c r="G472" i="7"/>
  <c r="E472" i="7"/>
  <c r="D472" i="7"/>
  <c r="C472" i="7"/>
  <c r="L471" i="7"/>
  <c r="K471" i="7"/>
  <c r="J471" i="7"/>
  <c r="F471" i="7"/>
  <c r="L470" i="7"/>
  <c r="K470" i="7"/>
  <c r="J470" i="7"/>
  <c r="F470" i="7"/>
  <c r="K469" i="7"/>
  <c r="J469" i="7"/>
  <c r="F469" i="7"/>
  <c r="L469" i="7" s="1"/>
  <c r="K468" i="7"/>
  <c r="J468" i="7"/>
  <c r="F468" i="7"/>
  <c r="L468" i="7" s="1"/>
  <c r="L467" i="7"/>
  <c r="K467" i="7"/>
  <c r="J467" i="7"/>
  <c r="F467" i="7"/>
  <c r="K466" i="7"/>
  <c r="J466" i="7"/>
  <c r="F466" i="7"/>
  <c r="L466" i="7" s="1"/>
  <c r="K465" i="7"/>
  <c r="J465" i="7"/>
  <c r="F465" i="7"/>
  <c r="L465" i="7" s="1"/>
  <c r="K464" i="7"/>
  <c r="J464" i="7"/>
  <c r="F464" i="7"/>
  <c r="L464" i="7" s="1"/>
  <c r="L463" i="7"/>
  <c r="K463" i="7"/>
  <c r="J463" i="7"/>
  <c r="F463" i="7"/>
  <c r="L462" i="7"/>
  <c r="K462" i="7"/>
  <c r="J462" i="7"/>
  <c r="F462" i="7"/>
  <c r="L461" i="7"/>
  <c r="K461" i="7"/>
  <c r="J461" i="7"/>
  <c r="F461" i="7"/>
  <c r="K460" i="7"/>
  <c r="J460" i="7"/>
  <c r="F460" i="7"/>
  <c r="L460" i="7" s="1"/>
  <c r="L459" i="7"/>
  <c r="K459" i="7"/>
  <c r="J459" i="7"/>
  <c r="F459" i="7"/>
  <c r="K458" i="7"/>
  <c r="J458" i="7"/>
  <c r="F458" i="7"/>
  <c r="L458" i="7" s="1"/>
  <c r="L457" i="7"/>
  <c r="K457" i="7"/>
  <c r="J457" i="7"/>
  <c r="F457" i="7"/>
  <c r="K456" i="7"/>
  <c r="J456" i="7"/>
  <c r="F456" i="7"/>
  <c r="L456" i="7" s="1"/>
  <c r="L455" i="7"/>
  <c r="K455" i="7"/>
  <c r="J455" i="7"/>
  <c r="F455" i="7"/>
  <c r="L454" i="7"/>
  <c r="K454" i="7"/>
  <c r="J454" i="7"/>
  <c r="F454" i="7"/>
  <c r="L453" i="7"/>
  <c r="K453" i="7"/>
  <c r="J453" i="7"/>
  <c r="F453" i="7"/>
  <c r="K452" i="7"/>
  <c r="J452" i="7"/>
  <c r="F452" i="7"/>
  <c r="L452" i="7" s="1"/>
  <c r="L451" i="7"/>
  <c r="K451" i="7"/>
  <c r="J451" i="7"/>
  <c r="F451" i="7"/>
  <c r="K450" i="7"/>
  <c r="J450" i="7"/>
  <c r="F450" i="7"/>
  <c r="L450" i="7" s="1"/>
  <c r="L449" i="7"/>
  <c r="K449" i="7"/>
  <c r="J449" i="7"/>
  <c r="F449" i="7"/>
  <c r="K448" i="7"/>
  <c r="J448" i="7"/>
  <c r="F448" i="7"/>
  <c r="L448" i="7" s="1"/>
  <c r="L447" i="7"/>
  <c r="K447" i="7"/>
  <c r="J447" i="7"/>
  <c r="F447" i="7"/>
  <c r="L446" i="7"/>
  <c r="K446" i="7"/>
  <c r="J446" i="7"/>
  <c r="F446" i="7"/>
  <c r="L445" i="7"/>
  <c r="K445" i="7"/>
  <c r="J445" i="7"/>
  <c r="F445" i="7"/>
  <c r="K444" i="7"/>
  <c r="J444" i="7"/>
  <c r="F444" i="7"/>
  <c r="I443" i="7"/>
  <c r="H443" i="7"/>
  <c r="G443" i="7"/>
  <c r="E443" i="7"/>
  <c r="D443" i="7"/>
  <c r="C443" i="7"/>
  <c r="K442" i="7"/>
  <c r="J442" i="7"/>
  <c r="F442" i="7"/>
  <c r="L442" i="7" s="1"/>
  <c r="L441" i="7"/>
  <c r="K441" i="7"/>
  <c r="J441" i="7"/>
  <c r="F441" i="7"/>
  <c r="L440" i="7"/>
  <c r="K440" i="7"/>
  <c r="J440" i="7"/>
  <c r="F440" i="7"/>
  <c r="L439" i="7"/>
  <c r="K439" i="7"/>
  <c r="J439" i="7"/>
  <c r="F439" i="7"/>
  <c r="K438" i="7"/>
  <c r="J438" i="7"/>
  <c r="F438" i="7"/>
  <c r="L438" i="7" s="1"/>
  <c r="L437" i="7"/>
  <c r="K437" i="7"/>
  <c r="J437" i="7"/>
  <c r="F437" i="7"/>
  <c r="L436" i="7"/>
  <c r="K436" i="7"/>
  <c r="J436" i="7"/>
  <c r="F436" i="7"/>
  <c r="L435" i="7"/>
  <c r="K435" i="7"/>
  <c r="J435" i="7"/>
  <c r="F435" i="7"/>
  <c r="K434" i="7"/>
  <c r="J434" i="7"/>
  <c r="F434" i="7"/>
  <c r="L433" i="7"/>
  <c r="K433" i="7"/>
  <c r="J433" i="7"/>
  <c r="F433" i="7"/>
  <c r="L432" i="7"/>
  <c r="K432" i="7"/>
  <c r="J432" i="7"/>
  <c r="F432" i="7"/>
  <c r="L431" i="7"/>
  <c r="K431" i="7"/>
  <c r="J431" i="7"/>
  <c r="J443" i="7" s="1"/>
  <c r="F431" i="7"/>
  <c r="I430" i="7"/>
  <c r="H430" i="7"/>
  <c r="G430" i="7"/>
  <c r="E430" i="7"/>
  <c r="D430" i="7"/>
  <c r="C430" i="7"/>
  <c r="K429" i="7"/>
  <c r="J429" i="7"/>
  <c r="F429" i="7"/>
  <c r="L429" i="7" s="1"/>
  <c r="L428" i="7"/>
  <c r="K428" i="7"/>
  <c r="J428" i="7"/>
  <c r="F428" i="7"/>
  <c r="K427" i="7"/>
  <c r="J427" i="7"/>
  <c r="F427" i="7"/>
  <c r="L427" i="7" s="1"/>
  <c r="L426" i="7"/>
  <c r="K426" i="7"/>
  <c r="J426" i="7"/>
  <c r="F426" i="7"/>
  <c r="K425" i="7"/>
  <c r="J425" i="7"/>
  <c r="F425" i="7"/>
  <c r="L425" i="7" s="1"/>
  <c r="K424" i="7"/>
  <c r="J424" i="7"/>
  <c r="F424" i="7"/>
  <c r="L424" i="7" s="1"/>
  <c r="K423" i="7"/>
  <c r="J423" i="7"/>
  <c r="F423" i="7"/>
  <c r="L423" i="7" s="1"/>
  <c r="L422" i="7"/>
  <c r="K422" i="7"/>
  <c r="J422" i="7"/>
  <c r="F422" i="7"/>
  <c r="L421" i="7"/>
  <c r="K421" i="7"/>
  <c r="J421" i="7"/>
  <c r="F421" i="7"/>
  <c r="L420" i="7"/>
  <c r="K420" i="7"/>
  <c r="J420" i="7"/>
  <c r="F420" i="7"/>
  <c r="K419" i="7"/>
  <c r="J419" i="7"/>
  <c r="F419" i="7"/>
  <c r="L419" i="7" s="1"/>
  <c r="L418" i="7"/>
  <c r="K418" i="7"/>
  <c r="J418" i="7"/>
  <c r="F418" i="7"/>
  <c r="K417" i="7"/>
  <c r="J417" i="7"/>
  <c r="F417" i="7"/>
  <c r="L417" i="7" s="1"/>
  <c r="K416" i="7"/>
  <c r="J416" i="7"/>
  <c r="F416" i="7"/>
  <c r="L416" i="7" s="1"/>
  <c r="K415" i="7"/>
  <c r="J415" i="7"/>
  <c r="F415" i="7"/>
  <c r="L415" i="7" s="1"/>
  <c r="L414" i="7"/>
  <c r="K414" i="7"/>
  <c r="J414" i="7"/>
  <c r="F414" i="7"/>
  <c r="L413" i="7"/>
  <c r="K413" i="7"/>
  <c r="J413" i="7"/>
  <c r="F413" i="7"/>
  <c r="K412" i="7"/>
  <c r="J412" i="7"/>
  <c r="F412" i="7"/>
  <c r="L412" i="7" s="1"/>
  <c r="K411" i="7"/>
  <c r="J411" i="7"/>
  <c r="F411" i="7"/>
  <c r="L411" i="7" s="1"/>
  <c r="L410" i="7"/>
  <c r="K410" i="7"/>
  <c r="J410" i="7"/>
  <c r="F410" i="7"/>
  <c r="L409" i="7"/>
  <c r="K409" i="7"/>
  <c r="J409" i="7"/>
  <c r="F409" i="7"/>
  <c r="K408" i="7"/>
  <c r="J408" i="7"/>
  <c r="F408" i="7"/>
  <c r="L408" i="7" s="1"/>
  <c r="K407" i="7"/>
  <c r="J407" i="7"/>
  <c r="F407" i="7"/>
  <c r="L407" i="7" s="1"/>
  <c r="L406" i="7"/>
  <c r="K406" i="7"/>
  <c r="J406" i="7"/>
  <c r="F406" i="7"/>
  <c r="L405" i="7"/>
  <c r="K405" i="7"/>
  <c r="J405" i="7"/>
  <c r="F405" i="7"/>
  <c r="L404" i="7"/>
  <c r="K404" i="7"/>
  <c r="J404" i="7"/>
  <c r="F404" i="7"/>
  <c r="K403" i="7"/>
  <c r="J403" i="7"/>
  <c r="F403" i="7"/>
  <c r="L403" i="7" s="1"/>
  <c r="L402" i="7"/>
  <c r="K402" i="7"/>
  <c r="J402" i="7"/>
  <c r="F402" i="7"/>
  <c r="K401" i="7"/>
  <c r="J401" i="7"/>
  <c r="F401" i="7"/>
  <c r="L401" i="7" s="1"/>
  <c r="K400" i="7"/>
  <c r="J400" i="7"/>
  <c r="F400" i="7"/>
  <c r="L400" i="7" s="1"/>
  <c r="K399" i="7"/>
  <c r="J399" i="7"/>
  <c r="F399" i="7"/>
  <c r="L399" i="7" s="1"/>
  <c r="L398" i="7"/>
  <c r="K398" i="7"/>
  <c r="J398" i="7"/>
  <c r="F398" i="7"/>
  <c r="K397" i="7"/>
  <c r="J397" i="7"/>
  <c r="F397" i="7"/>
  <c r="L397" i="7" s="1"/>
  <c r="L396" i="7"/>
  <c r="K396" i="7"/>
  <c r="J396" i="7"/>
  <c r="F396" i="7"/>
  <c r="K395" i="7"/>
  <c r="J395" i="7"/>
  <c r="F395" i="7"/>
  <c r="L395" i="7" s="1"/>
  <c r="L394" i="7"/>
  <c r="K394" i="7"/>
  <c r="J394" i="7"/>
  <c r="F394" i="7"/>
  <c r="K393" i="7"/>
  <c r="J393" i="7"/>
  <c r="F393" i="7"/>
  <c r="L393" i="7" s="1"/>
  <c r="L392" i="7"/>
  <c r="K392" i="7"/>
  <c r="J392" i="7"/>
  <c r="F392" i="7"/>
  <c r="K391" i="7"/>
  <c r="J391" i="7"/>
  <c r="F391" i="7"/>
  <c r="L391" i="7" s="1"/>
  <c r="L390" i="7"/>
  <c r="K390" i="7"/>
  <c r="J390" i="7"/>
  <c r="F390" i="7"/>
  <c r="L389" i="7"/>
  <c r="K389" i="7"/>
  <c r="J389" i="7"/>
  <c r="F389" i="7"/>
  <c r="L388" i="7"/>
  <c r="K388" i="7"/>
  <c r="J388" i="7"/>
  <c r="F388" i="7"/>
  <c r="K387" i="7"/>
  <c r="J387" i="7"/>
  <c r="F387" i="7"/>
  <c r="L387" i="7" s="1"/>
  <c r="L386" i="7"/>
  <c r="K386" i="7"/>
  <c r="J386" i="7"/>
  <c r="F386" i="7"/>
  <c r="K385" i="7"/>
  <c r="J385" i="7"/>
  <c r="F385" i="7"/>
  <c r="L385" i="7" s="1"/>
  <c r="L384" i="7"/>
  <c r="K384" i="7"/>
  <c r="J384" i="7"/>
  <c r="F384" i="7"/>
  <c r="K383" i="7"/>
  <c r="J383" i="7"/>
  <c r="F383" i="7"/>
  <c r="L383" i="7" s="1"/>
  <c r="L382" i="7"/>
  <c r="K382" i="7"/>
  <c r="J382" i="7"/>
  <c r="F382" i="7"/>
  <c r="L381" i="7"/>
  <c r="K381" i="7"/>
  <c r="J381" i="7"/>
  <c r="F381" i="7"/>
  <c r="L380" i="7"/>
  <c r="K380" i="7"/>
  <c r="J380" i="7"/>
  <c r="F380" i="7"/>
  <c r="K379" i="7"/>
  <c r="J379" i="7"/>
  <c r="F379" i="7"/>
  <c r="L379" i="7" s="1"/>
  <c r="L378" i="7"/>
  <c r="K378" i="7"/>
  <c r="J378" i="7"/>
  <c r="F378" i="7"/>
  <c r="K377" i="7"/>
  <c r="J377" i="7"/>
  <c r="F377" i="7"/>
  <c r="L377" i="7" s="1"/>
  <c r="K376" i="7"/>
  <c r="J376" i="7"/>
  <c r="F376" i="7"/>
  <c r="L376" i="7" s="1"/>
  <c r="K375" i="7"/>
  <c r="J375" i="7"/>
  <c r="F375" i="7"/>
  <c r="L375" i="7" s="1"/>
  <c r="L374" i="7"/>
  <c r="K374" i="7"/>
  <c r="J374" i="7"/>
  <c r="F374" i="7"/>
  <c r="L373" i="7"/>
  <c r="K373" i="7"/>
  <c r="J373" i="7"/>
  <c r="F373" i="7"/>
  <c r="K372" i="7"/>
  <c r="J372" i="7"/>
  <c r="F372" i="7"/>
  <c r="L372" i="7" s="1"/>
  <c r="K371" i="7"/>
  <c r="J371" i="7"/>
  <c r="F371" i="7"/>
  <c r="L371" i="7" s="1"/>
  <c r="L370" i="7"/>
  <c r="K370" i="7"/>
  <c r="J370" i="7"/>
  <c r="F370" i="7"/>
  <c r="K369" i="7"/>
  <c r="J369" i="7"/>
  <c r="F369" i="7"/>
  <c r="L369" i="7" s="1"/>
  <c r="K368" i="7"/>
  <c r="J368" i="7"/>
  <c r="F368" i="7"/>
  <c r="L368" i="7" s="1"/>
  <c r="K367" i="7"/>
  <c r="J367" i="7"/>
  <c r="F367" i="7"/>
  <c r="L367" i="7" s="1"/>
  <c r="L366" i="7"/>
  <c r="K366" i="7"/>
  <c r="J366" i="7"/>
  <c r="F366" i="7"/>
  <c r="K365" i="7"/>
  <c r="J365" i="7"/>
  <c r="F365" i="7"/>
  <c r="L365" i="7" s="1"/>
  <c r="L364" i="7"/>
  <c r="K364" i="7"/>
  <c r="J364" i="7"/>
  <c r="F364" i="7"/>
  <c r="K363" i="7"/>
  <c r="J363" i="7"/>
  <c r="F363" i="7"/>
  <c r="L363" i="7" s="1"/>
  <c r="L362" i="7"/>
  <c r="K362" i="7"/>
  <c r="J362" i="7"/>
  <c r="F362" i="7"/>
  <c r="K361" i="7"/>
  <c r="J361" i="7"/>
  <c r="F361" i="7"/>
  <c r="L361" i="7" s="1"/>
  <c r="K360" i="7"/>
  <c r="J360" i="7"/>
  <c r="F360" i="7"/>
  <c r="L360" i="7" s="1"/>
  <c r="K359" i="7"/>
  <c r="J359" i="7"/>
  <c r="F359" i="7"/>
  <c r="L359" i="7" s="1"/>
  <c r="L358" i="7"/>
  <c r="K358" i="7"/>
  <c r="J358" i="7"/>
  <c r="F358" i="7"/>
  <c r="L357" i="7"/>
  <c r="K357" i="7"/>
  <c r="J357" i="7"/>
  <c r="F357" i="7"/>
  <c r="L356" i="7"/>
  <c r="K356" i="7"/>
  <c r="J356" i="7"/>
  <c r="F356" i="7"/>
  <c r="K355" i="7"/>
  <c r="J355" i="7"/>
  <c r="F355" i="7"/>
  <c r="L355" i="7" s="1"/>
  <c r="L354" i="7"/>
  <c r="K354" i="7"/>
  <c r="J354" i="7"/>
  <c r="F354" i="7"/>
  <c r="K353" i="7"/>
  <c r="J353" i="7"/>
  <c r="F353" i="7"/>
  <c r="L353" i="7" s="1"/>
  <c r="K352" i="7"/>
  <c r="J352" i="7"/>
  <c r="F352" i="7"/>
  <c r="L352" i="7" s="1"/>
  <c r="K351" i="7"/>
  <c r="J351" i="7"/>
  <c r="F351" i="7"/>
  <c r="L351" i="7" s="1"/>
  <c r="L346" i="7"/>
  <c r="E341" i="7"/>
  <c r="D341" i="7"/>
  <c r="I331" i="7"/>
  <c r="H331" i="7"/>
  <c r="G331" i="7"/>
  <c r="E331" i="7"/>
  <c r="D331" i="7"/>
  <c r="L330" i="7"/>
  <c r="K330" i="7"/>
  <c r="J330" i="7"/>
  <c r="F330" i="7"/>
  <c r="M330" i="7" s="1"/>
  <c r="L329" i="7"/>
  <c r="K329" i="7"/>
  <c r="J329" i="7"/>
  <c r="F329" i="7"/>
  <c r="M329" i="7" s="1"/>
  <c r="K328" i="7"/>
  <c r="J328" i="7"/>
  <c r="F328" i="7"/>
  <c r="M327" i="7"/>
  <c r="K327" i="7"/>
  <c r="J327" i="7"/>
  <c r="F327" i="7"/>
  <c r="L327" i="7" s="1"/>
  <c r="M326" i="7"/>
  <c r="L326" i="7"/>
  <c r="K326" i="7"/>
  <c r="J326" i="7"/>
  <c r="F326" i="7"/>
  <c r="K325" i="7"/>
  <c r="J325" i="7"/>
  <c r="F325" i="7"/>
  <c r="M325" i="7" s="1"/>
  <c r="M324" i="7"/>
  <c r="L324" i="7"/>
  <c r="K324" i="7"/>
  <c r="J324" i="7"/>
  <c r="F324" i="7"/>
  <c r="K323" i="7"/>
  <c r="J323" i="7"/>
  <c r="F323" i="7"/>
  <c r="L322" i="7"/>
  <c r="K322" i="7"/>
  <c r="J322" i="7"/>
  <c r="F322" i="7"/>
  <c r="M322" i="7" s="1"/>
  <c r="K321" i="7"/>
  <c r="J321" i="7"/>
  <c r="F321" i="7"/>
  <c r="K320" i="7"/>
  <c r="J320" i="7"/>
  <c r="C320" i="7"/>
  <c r="L319" i="7"/>
  <c r="K319" i="7"/>
  <c r="J319" i="7"/>
  <c r="F319" i="7"/>
  <c r="M319" i="7" s="1"/>
  <c r="K318" i="7"/>
  <c r="J318" i="7"/>
  <c r="F318" i="7"/>
  <c r="M318" i="7" s="1"/>
  <c r="L317" i="7"/>
  <c r="K317" i="7"/>
  <c r="J317" i="7"/>
  <c r="F317" i="7"/>
  <c r="M317" i="7" s="1"/>
  <c r="M316" i="7"/>
  <c r="L316" i="7"/>
  <c r="K316" i="7"/>
  <c r="J316" i="7"/>
  <c r="F316" i="7"/>
  <c r="M315" i="7"/>
  <c r="L315" i="7"/>
  <c r="K315" i="7"/>
  <c r="J315" i="7"/>
  <c r="F315" i="7"/>
  <c r="K314" i="7"/>
  <c r="J314" i="7"/>
  <c r="F314" i="7"/>
  <c r="H313" i="7"/>
  <c r="G313" i="7"/>
  <c r="E313" i="7"/>
  <c r="F313" i="7" s="1"/>
  <c r="M312" i="7"/>
  <c r="L312" i="7"/>
  <c r="K312" i="7"/>
  <c r="J312" i="7"/>
  <c r="F312" i="7"/>
  <c r="K311" i="7"/>
  <c r="J311" i="7"/>
  <c r="F311" i="7"/>
  <c r="L310" i="7"/>
  <c r="K310" i="7"/>
  <c r="J310" i="7"/>
  <c r="F310" i="7"/>
  <c r="M310" i="7" s="1"/>
  <c r="K309" i="7"/>
  <c r="J309" i="7"/>
  <c r="F309" i="7"/>
  <c r="K308" i="7"/>
  <c r="J308" i="7"/>
  <c r="F308" i="7"/>
  <c r="M308" i="7" s="1"/>
  <c r="M307" i="7"/>
  <c r="K307" i="7"/>
  <c r="J307" i="7"/>
  <c r="F307" i="7"/>
  <c r="L307" i="7" s="1"/>
  <c r="M306" i="7"/>
  <c r="L306" i="7"/>
  <c r="K306" i="7"/>
  <c r="J306" i="7"/>
  <c r="F306" i="7"/>
  <c r="M305" i="7"/>
  <c r="K305" i="7"/>
  <c r="J305" i="7"/>
  <c r="F305" i="7"/>
  <c r="L305" i="7" s="1"/>
  <c r="K304" i="7"/>
  <c r="J304" i="7"/>
  <c r="F304" i="7"/>
  <c r="L303" i="7"/>
  <c r="K303" i="7"/>
  <c r="J303" i="7"/>
  <c r="F303" i="7"/>
  <c r="M303" i="7" s="1"/>
  <c r="K302" i="7"/>
  <c r="J302" i="7"/>
  <c r="F302" i="7"/>
  <c r="M301" i="7"/>
  <c r="L301" i="7"/>
  <c r="K301" i="7"/>
  <c r="J301" i="7"/>
  <c r="F301" i="7"/>
  <c r="K300" i="7"/>
  <c r="J300" i="7"/>
  <c r="F300" i="7"/>
  <c r="M299" i="7"/>
  <c r="K299" i="7"/>
  <c r="J299" i="7"/>
  <c r="F299" i="7"/>
  <c r="L299" i="7" s="1"/>
  <c r="M298" i="7"/>
  <c r="L298" i="7"/>
  <c r="K298" i="7"/>
  <c r="J298" i="7"/>
  <c r="C298" i="7"/>
  <c r="F298" i="7" s="1"/>
  <c r="K297" i="7"/>
  <c r="J297" i="7"/>
  <c r="F297" i="7"/>
  <c r="L297" i="7" s="1"/>
  <c r="C297" i="7"/>
  <c r="L296" i="7"/>
  <c r="K296" i="7"/>
  <c r="J296" i="7"/>
  <c r="F296" i="7"/>
  <c r="M296" i="7" s="1"/>
  <c r="M295" i="7"/>
  <c r="K295" i="7"/>
  <c r="J295" i="7"/>
  <c r="F295" i="7"/>
  <c r="L295" i="7" s="1"/>
  <c r="M294" i="7"/>
  <c r="K294" i="7"/>
  <c r="J294" i="7"/>
  <c r="F294" i="7"/>
  <c r="L294" i="7" s="1"/>
  <c r="K293" i="7"/>
  <c r="J293" i="7"/>
  <c r="F293" i="7"/>
  <c r="M292" i="7"/>
  <c r="L292" i="7"/>
  <c r="K292" i="7"/>
  <c r="J292" i="7"/>
  <c r="F292" i="7"/>
  <c r="M291" i="7"/>
  <c r="K291" i="7"/>
  <c r="J291" i="7"/>
  <c r="F291" i="7"/>
  <c r="L291" i="7" s="1"/>
  <c r="M290" i="7"/>
  <c r="L290" i="7"/>
  <c r="K290" i="7"/>
  <c r="J290" i="7"/>
  <c r="F290" i="7"/>
  <c r="K289" i="7"/>
  <c r="J289" i="7"/>
  <c r="F289" i="7"/>
  <c r="K288" i="7"/>
  <c r="J288" i="7"/>
  <c r="F288" i="7"/>
  <c r="M287" i="7"/>
  <c r="L287" i="7"/>
  <c r="K287" i="7"/>
  <c r="J287" i="7"/>
  <c r="F287" i="7"/>
  <c r="K286" i="7"/>
  <c r="J286" i="7"/>
  <c r="F286" i="7"/>
  <c r="M285" i="7"/>
  <c r="K285" i="7"/>
  <c r="J285" i="7"/>
  <c r="F285" i="7"/>
  <c r="L285" i="7" s="1"/>
  <c r="M284" i="7"/>
  <c r="L284" i="7"/>
  <c r="K284" i="7"/>
  <c r="J284" i="7"/>
  <c r="F284" i="7"/>
  <c r="K283" i="7"/>
  <c r="J283" i="7"/>
  <c r="F283" i="7"/>
  <c r="L283" i="7" s="1"/>
  <c r="L282" i="7"/>
  <c r="K282" i="7"/>
  <c r="J282" i="7"/>
  <c r="F282" i="7"/>
  <c r="M282" i="7" s="1"/>
  <c r="K281" i="7"/>
  <c r="J281" i="7"/>
  <c r="F281" i="7"/>
  <c r="L280" i="7"/>
  <c r="K280" i="7"/>
  <c r="J280" i="7"/>
  <c r="F280" i="7"/>
  <c r="M280" i="7" s="1"/>
  <c r="K279" i="7"/>
  <c r="J279" i="7"/>
  <c r="F279" i="7"/>
  <c r="M278" i="7"/>
  <c r="K278" i="7"/>
  <c r="J278" i="7"/>
  <c r="F278" i="7"/>
  <c r="L278" i="7" s="1"/>
  <c r="K277" i="7"/>
  <c r="J277" i="7"/>
  <c r="F277" i="7"/>
  <c r="M276" i="7"/>
  <c r="L276" i="7"/>
  <c r="K276" i="7"/>
  <c r="J276" i="7"/>
  <c r="F276" i="7"/>
  <c r="K275" i="7"/>
  <c r="J275" i="7"/>
  <c r="F275" i="7"/>
  <c r="M274" i="7"/>
  <c r="L274" i="7"/>
  <c r="K274" i="7"/>
  <c r="J274" i="7"/>
  <c r="F274" i="7"/>
  <c r="M273" i="7"/>
  <c r="L273" i="7"/>
  <c r="K273" i="7"/>
  <c r="J273" i="7"/>
  <c r="F273" i="7"/>
  <c r="C273" i="7"/>
  <c r="K272" i="7"/>
  <c r="J272" i="7"/>
  <c r="F272" i="7"/>
  <c r="M271" i="7"/>
  <c r="L271" i="7"/>
  <c r="K271" i="7"/>
  <c r="J271" i="7"/>
  <c r="F271" i="7"/>
  <c r="M270" i="7"/>
  <c r="L270" i="7"/>
  <c r="K270" i="7"/>
  <c r="J270" i="7"/>
  <c r="F270" i="7"/>
  <c r="K269" i="7"/>
  <c r="J269" i="7"/>
  <c r="F269" i="7"/>
  <c r="M268" i="7"/>
  <c r="L268" i="7"/>
  <c r="K268" i="7"/>
  <c r="J268" i="7"/>
  <c r="F268" i="7"/>
  <c r="L267" i="7"/>
  <c r="K267" i="7"/>
  <c r="J267" i="7"/>
  <c r="F267" i="7"/>
  <c r="M267" i="7" s="1"/>
  <c r="M266" i="7"/>
  <c r="K266" i="7"/>
  <c r="J266" i="7"/>
  <c r="C266" i="7"/>
  <c r="F266" i="7" s="1"/>
  <c r="L266" i="7" s="1"/>
  <c r="K265" i="7"/>
  <c r="J265" i="7"/>
  <c r="F265" i="7"/>
  <c r="C265" i="7"/>
  <c r="M264" i="7"/>
  <c r="K264" i="7"/>
  <c r="J264" i="7"/>
  <c r="F264" i="7"/>
  <c r="L264" i="7" s="1"/>
  <c r="L263" i="7"/>
  <c r="K263" i="7"/>
  <c r="J263" i="7"/>
  <c r="C263" i="7"/>
  <c r="F263" i="7" s="1"/>
  <c r="M263" i="7" s="1"/>
  <c r="M262" i="7"/>
  <c r="L262" i="7"/>
  <c r="K262" i="7"/>
  <c r="J262" i="7"/>
  <c r="F262" i="7"/>
  <c r="K261" i="7"/>
  <c r="J261" i="7"/>
  <c r="F261" i="7"/>
  <c r="L260" i="7"/>
  <c r="K260" i="7"/>
  <c r="J260" i="7"/>
  <c r="F260" i="7"/>
  <c r="M260" i="7" s="1"/>
  <c r="K259" i="7"/>
  <c r="J259" i="7"/>
  <c r="F259" i="7"/>
  <c r="K258" i="7"/>
  <c r="J258" i="7"/>
  <c r="F258" i="7"/>
  <c r="M258" i="7" s="1"/>
  <c r="M257" i="7"/>
  <c r="K257" i="7"/>
  <c r="J257" i="7"/>
  <c r="F257" i="7"/>
  <c r="L257" i="7" s="1"/>
  <c r="M256" i="7"/>
  <c r="L256" i="7"/>
  <c r="K256" i="7"/>
  <c r="J256" i="7"/>
  <c r="F256" i="7"/>
  <c r="K255" i="7"/>
  <c r="J255" i="7"/>
  <c r="F255" i="7"/>
  <c r="K254" i="7"/>
  <c r="J254" i="7"/>
  <c r="F254" i="7"/>
  <c r="L254" i="7" s="1"/>
  <c r="L253" i="7"/>
  <c r="K253" i="7"/>
  <c r="J253" i="7"/>
  <c r="F253" i="7"/>
  <c r="M253" i="7" s="1"/>
  <c r="K252" i="7"/>
  <c r="J252" i="7"/>
  <c r="F252" i="7"/>
  <c r="M252" i="7" s="1"/>
  <c r="L251" i="7"/>
  <c r="K251" i="7"/>
  <c r="J251" i="7"/>
  <c r="F251" i="7"/>
  <c r="M251" i="7" s="1"/>
  <c r="K250" i="7"/>
  <c r="J250" i="7"/>
  <c r="F250" i="7"/>
  <c r="L250" i="7" s="1"/>
  <c r="H249" i="7"/>
  <c r="G249" i="7"/>
  <c r="E249" i="7"/>
  <c r="M248" i="7"/>
  <c r="K248" i="7"/>
  <c r="J248" i="7"/>
  <c r="F248" i="7"/>
  <c r="L248" i="7" s="1"/>
  <c r="M247" i="7"/>
  <c r="L247" i="7"/>
  <c r="K247" i="7"/>
  <c r="J247" i="7"/>
  <c r="F247" i="7"/>
  <c r="K246" i="7"/>
  <c r="J246" i="7"/>
  <c r="F246" i="7"/>
  <c r="M245" i="7"/>
  <c r="L245" i="7"/>
  <c r="K245" i="7"/>
  <c r="J245" i="7"/>
  <c r="F245" i="7"/>
  <c r="L244" i="7"/>
  <c r="K244" i="7"/>
  <c r="J244" i="7"/>
  <c r="F244" i="7"/>
  <c r="M244" i="7" s="1"/>
  <c r="L243" i="7"/>
  <c r="K243" i="7"/>
  <c r="J243" i="7"/>
  <c r="F243" i="7"/>
  <c r="M243" i="7" s="1"/>
  <c r="M242" i="7"/>
  <c r="L242" i="7"/>
  <c r="K242" i="7"/>
  <c r="J242" i="7"/>
  <c r="F242" i="7"/>
  <c r="K241" i="7"/>
  <c r="J241" i="7"/>
  <c r="F241" i="7"/>
  <c r="K240" i="7"/>
  <c r="J240" i="7"/>
  <c r="F240" i="7"/>
  <c r="M239" i="7"/>
  <c r="L239" i="7"/>
  <c r="K239" i="7"/>
  <c r="J239" i="7"/>
  <c r="F239" i="7"/>
  <c r="M238" i="7"/>
  <c r="K238" i="7"/>
  <c r="J238" i="7"/>
  <c r="F238" i="7"/>
  <c r="L238" i="7" s="1"/>
  <c r="M237" i="7"/>
  <c r="L237" i="7"/>
  <c r="K237" i="7"/>
  <c r="J237" i="7"/>
  <c r="F237" i="7"/>
  <c r="M236" i="7"/>
  <c r="K236" i="7"/>
  <c r="J236" i="7"/>
  <c r="F236" i="7"/>
  <c r="L236" i="7" s="1"/>
  <c r="L235" i="7"/>
  <c r="K235" i="7"/>
  <c r="J235" i="7"/>
  <c r="F235" i="7"/>
  <c r="M235" i="7" s="1"/>
  <c r="K234" i="7"/>
  <c r="J234" i="7"/>
  <c r="F234" i="7"/>
  <c r="L233" i="7"/>
  <c r="K233" i="7"/>
  <c r="J233" i="7"/>
  <c r="F233" i="7"/>
  <c r="M233" i="7" s="1"/>
  <c r="M232" i="7"/>
  <c r="K232" i="7"/>
  <c r="J232" i="7"/>
  <c r="F232" i="7"/>
  <c r="L232" i="7" s="1"/>
  <c r="M231" i="7"/>
  <c r="L231" i="7"/>
  <c r="K231" i="7"/>
  <c r="J231" i="7"/>
  <c r="F231" i="7"/>
  <c r="K230" i="7"/>
  <c r="J230" i="7"/>
  <c r="F230" i="7"/>
  <c r="K229" i="7"/>
  <c r="J229" i="7"/>
  <c r="F229" i="7"/>
  <c r="L228" i="7"/>
  <c r="K228" i="7"/>
  <c r="J228" i="7"/>
  <c r="F228" i="7"/>
  <c r="M228" i="7" s="1"/>
  <c r="L227" i="7"/>
  <c r="K227" i="7"/>
  <c r="J227" i="7"/>
  <c r="F227" i="7"/>
  <c r="M227" i="7" s="1"/>
  <c r="M226" i="7"/>
  <c r="L226" i="7"/>
  <c r="K226" i="7"/>
  <c r="J226" i="7"/>
  <c r="F226" i="7"/>
  <c r="K225" i="7"/>
  <c r="J225" i="7"/>
  <c r="F225" i="7"/>
  <c r="M224" i="7"/>
  <c r="K224" i="7"/>
  <c r="J224" i="7"/>
  <c r="F224" i="7"/>
  <c r="L224" i="7" s="1"/>
  <c r="M223" i="7"/>
  <c r="L223" i="7"/>
  <c r="K223" i="7"/>
  <c r="J223" i="7"/>
  <c r="F223" i="7"/>
  <c r="M222" i="7"/>
  <c r="K222" i="7"/>
  <c r="J222" i="7"/>
  <c r="F222" i="7"/>
  <c r="L222" i="7" s="1"/>
  <c r="M221" i="7"/>
  <c r="L221" i="7"/>
  <c r="K221" i="7"/>
  <c r="J221" i="7"/>
  <c r="F221" i="7"/>
  <c r="K220" i="7"/>
  <c r="J220" i="7"/>
  <c r="F220" i="7"/>
  <c r="K219" i="7"/>
  <c r="J219" i="7"/>
  <c r="F219" i="7"/>
  <c r="M219" i="7" s="1"/>
  <c r="L218" i="7"/>
  <c r="K218" i="7"/>
  <c r="J218" i="7"/>
  <c r="F218" i="7"/>
  <c r="M218" i="7" s="1"/>
  <c r="L217" i="7"/>
  <c r="K217" i="7"/>
  <c r="J217" i="7"/>
  <c r="F217" i="7"/>
  <c r="M217" i="7" s="1"/>
  <c r="M216" i="7"/>
  <c r="K216" i="7"/>
  <c r="J216" i="7"/>
  <c r="F216" i="7"/>
  <c r="L216" i="7" s="1"/>
  <c r="M215" i="7"/>
  <c r="L215" i="7"/>
  <c r="K215" i="7"/>
  <c r="J215" i="7"/>
  <c r="F215" i="7"/>
  <c r="M214" i="7"/>
  <c r="K214" i="7"/>
  <c r="J214" i="7"/>
  <c r="F214" i="7"/>
  <c r="L214" i="7" s="1"/>
  <c r="M213" i="7"/>
  <c r="L213" i="7"/>
  <c r="K213" i="7"/>
  <c r="J213" i="7"/>
  <c r="F213" i="7"/>
  <c r="L212" i="7"/>
  <c r="K212" i="7"/>
  <c r="J212" i="7"/>
  <c r="F212" i="7"/>
  <c r="M212" i="7" s="1"/>
  <c r="K211" i="7"/>
  <c r="J211" i="7"/>
  <c r="F211" i="7"/>
  <c r="M210" i="7"/>
  <c r="L210" i="7"/>
  <c r="K210" i="7"/>
  <c r="J210" i="7"/>
  <c r="F210" i="7"/>
  <c r="K209" i="7"/>
  <c r="J209" i="7"/>
  <c r="F209" i="7"/>
  <c r="M208" i="7"/>
  <c r="K208" i="7"/>
  <c r="J208" i="7"/>
  <c r="F208" i="7"/>
  <c r="L208" i="7" s="1"/>
  <c r="M207" i="7"/>
  <c r="L207" i="7"/>
  <c r="K207" i="7"/>
  <c r="J207" i="7"/>
  <c r="F207" i="7"/>
  <c r="M206" i="7"/>
  <c r="K206" i="7"/>
  <c r="J206" i="7"/>
  <c r="F206" i="7"/>
  <c r="L206" i="7" s="1"/>
  <c r="M205" i="7"/>
  <c r="L205" i="7"/>
  <c r="K205" i="7"/>
  <c r="J205" i="7"/>
  <c r="F205" i="7"/>
  <c r="K204" i="7"/>
  <c r="J204" i="7"/>
  <c r="F204" i="7"/>
  <c r="L204" i="7" s="1"/>
  <c r="L203" i="7"/>
  <c r="K203" i="7"/>
  <c r="J203" i="7"/>
  <c r="F203" i="7"/>
  <c r="M203" i="7" s="1"/>
  <c r="K202" i="7"/>
  <c r="J202" i="7"/>
  <c r="F202" i="7"/>
  <c r="L201" i="7"/>
  <c r="K201" i="7"/>
  <c r="J201" i="7"/>
  <c r="F201" i="7"/>
  <c r="M201" i="7" s="1"/>
  <c r="M200" i="7"/>
  <c r="K200" i="7"/>
  <c r="J200" i="7"/>
  <c r="F200" i="7"/>
  <c r="L200" i="7" s="1"/>
  <c r="M199" i="7"/>
  <c r="L199" i="7"/>
  <c r="K199" i="7"/>
  <c r="J199" i="7"/>
  <c r="F199" i="7"/>
  <c r="K198" i="7"/>
  <c r="J198" i="7"/>
  <c r="F198" i="7"/>
  <c r="K197" i="7"/>
  <c r="J197" i="7"/>
  <c r="F197" i="7"/>
  <c r="M197" i="7" s="1"/>
  <c r="L196" i="7"/>
  <c r="K196" i="7"/>
  <c r="J196" i="7"/>
  <c r="F196" i="7"/>
  <c r="M196" i="7" s="1"/>
  <c r="L195" i="7"/>
  <c r="K195" i="7"/>
  <c r="J195" i="7"/>
  <c r="F195" i="7"/>
  <c r="M195" i="7" s="1"/>
  <c r="L194" i="7"/>
  <c r="K194" i="7"/>
  <c r="J194" i="7"/>
  <c r="F194" i="7"/>
  <c r="M194" i="7" s="1"/>
  <c r="K193" i="7"/>
  <c r="J193" i="7"/>
  <c r="F193" i="7"/>
  <c r="M192" i="7"/>
  <c r="K192" i="7"/>
  <c r="J192" i="7"/>
  <c r="F192" i="7"/>
  <c r="L192" i="7" s="1"/>
  <c r="M191" i="7"/>
  <c r="L191" i="7"/>
  <c r="K191" i="7"/>
  <c r="J191" i="7"/>
  <c r="F191" i="7"/>
  <c r="M190" i="7"/>
  <c r="K190" i="7"/>
  <c r="J190" i="7"/>
  <c r="F190" i="7"/>
  <c r="L190" i="7" s="1"/>
  <c r="M189" i="7"/>
  <c r="L189" i="7"/>
  <c r="K189" i="7"/>
  <c r="J189" i="7"/>
  <c r="F189" i="7"/>
  <c r="K187" i="7"/>
  <c r="J187" i="7"/>
  <c r="F187" i="7"/>
  <c r="K186" i="7"/>
  <c r="J186" i="7"/>
  <c r="F186" i="7"/>
  <c r="K185" i="7"/>
  <c r="K249" i="7" s="1"/>
  <c r="E339" i="7" s="1"/>
  <c r="J185" i="7"/>
  <c r="F185" i="7"/>
  <c r="M184" i="7"/>
  <c r="L184" i="7"/>
  <c r="K184" i="7"/>
  <c r="J184" i="7"/>
  <c r="F184" i="7"/>
  <c r="K183" i="7"/>
  <c r="J183" i="7"/>
  <c r="F183" i="7"/>
  <c r="M182" i="7"/>
  <c r="L182" i="7"/>
  <c r="K182" i="7"/>
  <c r="J182" i="7"/>
  <c r="F182" i="7"/>
  <c r="M181" i="7"/>
  <c r="K181" i="7"/>
  <c r="J181" i="7"/>
  <c r="F181" i="7"/>
  <c r="L181" i="7" s="1"/>
  <c r="K180" i="7"/>
  <c r="J180" i="7"/>
  <c r="F180" i="7"/>
  <c r="K179" i="7"/>
  <c r="J179" i="7"/>
  <c r="F179" i="7"/>
  <c r="L178" i="7"/>
  <c r="K178" i="7"/>
  <c r="J178" i="7"/>
  <c r="F178" i="7"/>
  <c r="M178" i="7" s="1"/>
  <c r="M177" i="7"/>
  <c r="K177" i="7"/>
  <c r="J177" i="7"/>
  <c r="F177" i="7"/>
  <c r="L177" i="7" s="1"/>
  <c r="M176" i="7"/>
  <c r="L176" i="7"/>
  <c r="K176" i="7"/>
  <c r="J176" i="7"/>
  <c r="F176" i="7"/>
  <c r="K175" i="7"/>
  <c r="J175" i="7"/>
  <c r="F175" i="7"/>
  <c r="M174" i="7"/>
  <c r="L174" i="7"/>
  <c r="K174" i="7"/>
  <c r="J174" i="7"/>
  <c r="F174" i="7"/>
  <c r="K173" i="7"/>
  <c r="J173" i="7"/>
  <c r="F173" i="7"/>
  <c r="L172" i="7"/>
  <c r="K172" i="7"/>
  <c r="J172" i="7"/>
  <c r="F172" i="7"/>
  <c r="M172" i="7" s="1"/>
  <c r="K171" i="7"/>
  <c r="J171" i="7"/>
  <c r="F171" i="7"/>
  <c r="K170" i="7"/>
  <c r="J170" i="7"/>
  <c r="F170" i="7"/>
  <c r="L170" i="7" s="1"/>
  <c r="K169" i="7"/>
  <c r="J169" i="7"/>
  <c r="F169" i="7"/>
  <c r="M168" i="7"/>
  <c r="L168" i="7"/>
  <c r="K168" i="7"/>
  <c r="J168" i="7"/>
  <c r="F168" i="7"/>
  <c r="M167" i="7"/>
  <c r="L167" i="7"/>
  <c r="K167" i="7"/>
  <c r="J167" i="7"/>
  <c r="F167" i="7"/>
  <c r="M166" i="7"/>
  <c r="L166" i="7"/>
  <c r="K166" i="7"/>
  <c r="J166" i="7"/>
  <c r="F166" i="7"/>
  <c r="K165" i="7"/>
  <c r="J165" i="7"/>
  <c r="F165" i="7"/>
  <c r="K164" i="7"/>
  <c r="J164" i="7"/>
  <c r="F164" i="7"/>
  <c r="M164" i="7" s="1"/>
  <c r="M163" i="7"/>
  <c r="L163" i="7"/>
  <c r="K163" i="7"/>
  <c r="J163" i="7"/>
  <c r="F163" i="7"/>
  <c r="L162" i="7"/>
  <c r="K162" i="7"/>
  <c r="J162" i="7"/>
  <c r="F162" i="7"/>
  <c r="M162" i="7" s="1"/>
  <c r="J161" i="7"/>
  <c r="D338" i="7" s="1"/>
  <c r="I161" i="7"/>
  <c r="H161" i="7"/>
  <c r="G161" i="7"/>
  <c r="E161" i="7"/>
  <c r="D161" i="7"/>
  <c r="C161" i="7"/>
  <c r="K160" i="7"/>
  <c r="J160" i="7"/>
  <c r="F160" i="7"/>
  <c r="M159" i="7"/>
  <c r="L159" i="7"/>
  <c r="K159" i="7"/>
  <c r="J159" i="7"/>
  <c r="F159" i="7"/>
  <c r="M158" i="7"/>
  <c r="L158" i="7"/>
  <c r="K158" i="7"/>
  <c r="J158" i="7"/>
  <c r="F158" i="7"/>
  <c r="M157" i="7"/>
  <c r="K157" i="7"/>
  <c r="J157" i="7"/>
  <c r="F157" i="7"/>
  <c r="L157" i="7" s="1"/>
  <c r="K156" i="7"/>
  <c r="J156" i="7"/>
  <c r="F156" i="7"/>
  <c r="K155" i="7"/>
  <c r="J155" i="7"/>
  <c r="F155" i="7"/>
  <c r="L154" i="7"/>
  <c r="K154" i="7"/>
  <c r="J154" i="7"/>
  <c r="F154" i="7"/>
  <c r="M154" i="7" s="1"/>
  <c r="K153" i="7"/>
  <c r="J153" i="7"/>
  <c r="F153" i="7"/>
  <c r="M152" i="7"/>
  <c r="K152" i="7"/>
  <c r="J152" i="7"/>
  <c r="F152" i="7"/>
  <c r="L152" i="7" s="1"/>
  <c r="K151" i="7"/>
  <c r="J151" i="7"/>
  <c r="F151" i="7"/>
  <c r="M150" i="7"/>
  <c r="L150" i="7"/>
  <c r="K150" i="7"/>
  <c r="J150" i="7"/>
  <c r="F150" i="7"/>
  <c r="I149" i="7"/>
  <c r="H149" i="7"/>
  <c r="G149" i="7"/>
  <c r="K148" i="7"/>
  <c r="J148" i="7"/>
  <c r="F148" i="7"/>
  <c r="M147" i="7"/>
  <c r="L147" i="7"/>
  <c r="K147" i="7"/>
  <c r="J147" i="7"/>
  <c r="F147" i="7"/>
  <c r="K146" i="7"/>
  <c r="J146" i="7"/>
  <c r="F146" i="7"/>
  <c r="L145" i="7"/>
  <c r="K145" i="7"/>
  <c r="J145" i="7"/>
  <c r="F145" i="7"/>
  <c r="M145" i="7" s="1"/>
  <c r="M144" i="7"/>
  <c r="K144" i="7"/>
  <c r="J144" i="7"/>
  <c r="F144" i="7"/>
  <c r="L144" i="7" s="1"/>
  <c r="K143" i="7"/>
  <c r="J143" i="7"/>
  <c r="F143" i="7"/>
  <c r="L143" i="7" s="1"/>
  <c r="K142" i="7"/>
  <c r="J142" i="7"/>
  <c r="F142" i="7"/>
  <c r="M141" i="7"/>
  <c r="L141" i="7"/>
  <c r="K141" i="7"/>
  <c r="J141" i="7"/>
  <c r="F141" i="7"/>
  <c r="M140" i="7"/>
  <c r="L140" i="7"/>
  <c r="K140" i="7"/>
  <c r="J140" i="7"/>
  <c r="F140" i="7"/>
  <c r="M139" i="7"/>
  <c r="L139" i="7"/>
  <c r="K139" i="7"/>
  <c r="J139" i="7"/>
  <c r="F139" i="7"/>
  <c r="K138" i="7"/>
  <c r="J138" i="7"/>
  <c r="F138" i="7"/>
  <c r="L138" i="7" s="1"/>
  <c r="L137" i="7"/>
  <c r="K137" i="7"/>
  <c r="J137" i="7"/>
  <c r="F137" i="7"/>
  <c r="M137" i="7" s="1"/>
  <c r="L136" i="7"/>
  <c r="K136" i="7"/>
  <c r="J136" i="7"/>
  <c r="F136" i="7"/>
  <c r="M136" i="7" s="1"/>
  <c r="L135" i="7"/>
  <c r="K135" i="7"/>
  <c r="J135" i="7"/>
  <c r="F135" i="7"/>
  <c r="M135" i="7" s="1"/>
  <c r="M134" i="7"/>
  <c r="L134" i="7"/>
  <c r="K134" i="7"/>
  <c r="J134" i="7"/>
  <c r="F134" i="7"/>
  <c r="M133" i="7"/>
  <c r="L133" i="7"/>
  <c r="K133" i="7"/>
  <c r="J133" i="7"/>
  <c r="F133" i="7"/>
  <c r="K132" i="7"/>
  <c r="J132" i="7"/>
  <c r="F132" i="7"/>
  <c r="M131" i="7"/>
  <c r="K131" i="7"/>
  <c r="J131" i="7"/>
  <c r="F131" i="7"/>
  <c r="L131" i="7" s="1"/>
  <c r="K130" i="7"/>
  <c r="J130" i="7"/>
  <c r="F130" i="7"/>
  <c r="K129" i="7"/>
  <c r="J129" i="7"/>
  <c r="F129" i="7"/>
  <c r="M129" i="7" s="1"/>
  <c r="L128" i="7"/>
  <c r="K128" i="7"/>
  <c r="J128" i="7"/>
  <c r="F128" i="7"/>
  <c r="M128" i="7" s="1"/>
  <c r="M127" i="7"/>
  <c r="K127" i="7"/>
  <c r="J127" i="7"/>
  <c r="F127" i="7"/>
  <c r="L127" i="7" s="1"/>
  <c r="M126" i="7"/>
  <c r="K126" i="7"/>
  <c r="J126" i="7"/>
  <c r="F126" i="7"/>
  <c r="L126" i="7" s="1"/>
  <c r="M125" i="7"/>
  <c r="L125" i="7"/>
  <c r="K125" i="7"/>
  <c r="J125" i="7"/>
  <c r="F125" i="7"/>
  <c r="M124" i="7"/>
  <c r="L124" i="7"/>
  <c r="K124" i="7"/>
  <c r="J124" i="7"/>
  <c r="F124" i="7"/>
  <c r="M123" i="7"/>
  <c r="L123" i="7"/>
  <c r="K123" i="7"/>
  <c r="J123" i="7"/>
  <c r="F123" i="7"/>
  <c r="L122" i="7"/>
  <c r="K122" i="7"/>
  <c r="J122" i="7"/>
  <c r="F122" i="7"/>
  <c r="M122" i="7" s="1"/>
  <c r="L121" i="7"/>
  <c r="K121" i="7"/>
  <c r="J121" i="7"/>
  <c r="F121" i="7"/>
  <c r="M121" i="7" s="1"/>
  <c r="K120" i="7"/>
  <c r="J120" i="7"/>
  <c r="F120" i="7"/>
  <c r="L120" i="7" s="1"/>
  <c r="L119" i="7"/>
  <c r="K119" i="7"/>
  <c r="J119" i="7"/>
  <c r="F119" i="7"/>
  <c r="M119" i="7" s="1"/>
  <c r="M118" i="7"/>
  <c r="L118" i="7"/>
  <c r="K118" i="7"/>
  <c r="J118" i="7"/>
  <c r="F118" i="7"/>
  <c r="M117" i="7"/>
  <c r="L117" i="7"/>
  <c r="K117" i="7"/>
  <c r="J117" i="7"/>
  <c r="F117" i="7"/>
  <c r="M116" i="7"/>
  <c r="K116" i="7"/>
  <c r="J116" i="7"/>
  <c r="F116" i="7"/>
  <c r="L116" i="7" s="1"/>
  <c r="L115" i="7"/>
  <c r="K115" i="7"/>
  <c r="J115" i="7"/>
  <c r="F115" i="7"/>
  <c r="M115" i="7" s="1"/>
  <c r="L114" i="7"/>
  <c r="K114" i="7"/>
  <c r="J114" i="7"/>
  <c r="F114" i="7"/>
  <c r="M114" i="7" s="1"/>
  <c r="K113" i="7"/>
  <c r="J113" i="7"/>
  <c r="F113" i="7"/>
  <c r="M112" i="7"/>
  <c r="L112" i="7"/>
  <c r="K112" i="7"/>
  <c r="J112" i="7"/>
  <c r="F112" i="7"/>
  <c r="K111" i="7"/>
  <c r="J111" i="7"/>
  <c r="F111" i="7"/>
  <c r="K110" i="7"/>
  <c r="J110" i="7"/>
  <c r="F110" i="7"/>
  <c r="M109" i="7"/>
  <c r="L109" i="7"/>
  <c r="K109" i="7"/>
  <c r="J109" i="7"/>
  <c r="F109" i="7"/>
  <c r="M108" i="7"/>
  <c r="K108" i="7"/>
  <c r="J108" i="7"/>
  <c r="F108" i="7"/>
  <c r="L108" i="7" s="1"/>
  <c r="M107" i="7"/>
  <c r="L107" i="7"/>
  <c r="K107" i="7"/>
  <c r="J107" i="7"/>
  <c r="F107" i="7"/>
  <c r="K106" i="7"/>
  <c r="J106" i="7"/>
  <c r="F106" i="7"/>
  <c r="L105" i="7"/>
  <c r="K105" i="7"/>
  <c r="J105" i="7"/>
  <c r="F105" i="7"/>
  <c r="M105" i="7" s="1"/>
  <c r="K104" i="7"/>
  <c r="J104" i="7"/>
  <c r="F104" i="7"/>
  <c r="L103" i="7"/>
  <c r="K103" i="7"/>
  <c r="J103" i="7"/>
  <c r="F103" i="7"/>
  <c r="M103" i="7" s="1"/>
  <c r="M102" i="7"/>
  <c r="L102" i="7"/>
  <c r="K102" i="7"/>
  <c r="J102" i="7"/>
  <c r="F102" i="7"/>
  <c r="M101" i="7"/>
  <c r="L101" i="7"/>
  <c r="K101" i="7"/>
  <c r="J101" i="7"/>
  <c r="F101" i="7"/>
  <c r="M100" i="7"/>
  <c r="K100" i="7"/>
  <c r="J100" i="7"/>
  <c r="F100" i="7"/>
  <c r="L100" i="7" s="1"/>
  <c r="M99" i="7"/>
  <c r="K99" i="7"/>
  <c r="J99" i="7"/>
  <c r="F99" i="7"/>
  <c r="L99" i="7" s="1"/>
  <c r="L98" i="7"/>
  <c r="K98" i="7"/>
  <c r="J98" i="7"/>
  <c r="F98" i="7"/>
  <c r="M98" i="7" s="1"/>
  <c r="K97" i="7"/>
  <c r="J97" i="7"/>
  <c r="F97" i="7"/>
  <c r="M96" i="7"/>
  <c r="L96" i="7"/>
  <c r="K96" i="7"/>
  <c r="J96" i="7"/>
  <c r="F96" i="7"/>
  <c r="M95" i="7"/>
  <c r="K95" i="7"/>
  <c r="J95" i="7"/>
  <c r="F95" i="7"/>
  <c r="L95" i="7" s="1"/>
  <c r="M94" i="7"/>
  <c r="K94" i="7"/>
  <c r="J94" i="7"/>
  <c r="F94" i="7"/>
  <c r="L94" i="7" s="1"/>
  <c r="M93" i="7"/>
  <c r="L93" i="7"/>
  <c r="K93" i="7"/>
  <c r="J93" i="7"/>
  <c r="F93" i="7"/>
  <c r="K92" i="7"/>
  <c r="J92" i="7"/>
  <c r="F92" i="7"/>
  <c r="M91" i="7"/>
  <c r="L91" i="7"/>
  <c r="K91" i="7"/>
  <c r="J91" i="7"/>
  <c r="F91" i="7"/>
  <c r="K90" i="7"/>
  <c r="J90" i="7"/>
  <c r="F90" i="7"/>
  <c r="I89" i="7"/>
  <c r="H89" i="7"/>
  <c r="G89" i="7"/>
  <c r="L88" i="7"/>
  <c r="K88" i="7"/>
  <c r="J88" i="7"/>
  <c r="F88" i="7"/>
  <c r="M88" i="7" s="1"/>
  <c r="K87" i="7"/>
  <c r="J87" i="7"/>
  <c r="F87" i="7"/>
  <c r="K86" i="7"/>
  <c r="J86" i="7"/>
  <c r="F86" i="7"/>
  <c r="K85" i="7"/>
  <c r="J85" i="7"/>
  <c r="F85" i="7"/>
  <c r="M84" i="7"/>
  <c r="L84" i="7"/>
  <c r="K84" i="7"/>
  <c r="J84" i="7"/>
  <c r="F84" i="7"/>
  <c r="K83" i="7"/>
  <c r="J83" i="7"/>
  <c r="F83" i="7"/>
  <c r="L82" i="7"/>
  <c r="K82" i="7"/>
  <c r="J82" i="7"/>
  <c r="C82" i="7"/>
  <c r="F82" i="7" s="1"/>
  <c r="M82" i="7" s="1"/>
  <c r="M81" i="7"/>
  <c r="L81" i="7"/>
  <c r="K81" i="7"/>
  <c r="J81" i="7"/>
  <c r="F81" i="7"/>
  <c r="K80" i="7"/>
  <c r="J80" i="7"/>
  <c r="F80" i="7"/>
  <c r="M79" i="7"/>
  <c r="L79" i="7"/>
  <c r="K79" i="7"/>
  <c r="J79" i="7"/>
  <c r="F79" i="7"/>
  <c r="M78" i="7"/>
  <c r="L78" i="7"/>
  <c r="K78" i="7"/>
  <c r="J78" i="7"/>
  <c r="F78" i="7"/>
  <c r="K77" i="7"/>
  <c r="J77" i="7"/>
  <c r="C77" i="7"/>
  <c r="F77" i="7" s="1"/>
  <c r="M76" i="7"/>
  <c r="L76" i="7"/>
  <c r="K76" i="7"/>
  <c r="J76" i="7"/>
  <c r="F76" i="7"/>
  <c r="M75" i="7"/>
  <c r="K75" i="7"/>
  <c r="J75" i="7"/>
  <c r="F75" i="7"/>
  <c r="L75" i="7" s="1"/>
  <c r="K74" i="7"/>
  <c r="J74" i="7"/>
  <c r="F74" i="7"/>
  <c r="M74" i="7" s="1"/>
  <c r="L73" i="7"/>
  <c r="K73" i="7"/>
  <c r="J73" i="7"/>
  <c r="F73" i="7"/>
  <c r="M73" i="7" s="1"/>
  <c r="K72" i="7"/>
  <c r="J72" i="7"/>
  <c r="F72" i="7"/>
  <c r="M71" i="7"/>
  <c r="K71" i="7"/>
  <c r="J71" i="7"/>
  <c r="C71" i="7"/>
  <c r="F71" i="7" s="1"/>
  <c r="L71" i="7" s="1"/>
  <c r="K70" i="7"/>
  <c r="J70" i="7"/>
  <c r="F70" i="7"/>
  <c r="L69" i="7"/>
  <c r="K69" i="7"/>
  <c r="J69" i="7"/>
  <c r="F69" i="7"/>
  <c r="M69" i="7" s="1"/>
  <c r="M68" i="7"/>
  <c r="L68" i="7"/>
  <c r="K68" i="7"/>
  <c r="J68" i="7"/>
  <c r="F68" i="7"/>
  <c r="M67" i="7"/>
  <c r="L67" i="7"/>
  <c r="K67" i="7"/>
  <c r="J67" i="7"/>
  <c r="F67" i="7"/>
  <c r="K66" i="7"/>
  <c r="J66" i="7"/>
  <c r="F66" i="7"/>
  <c r="L65" i="7"/>
  <c r="K65" i="7"/>
  <c r="J65" i="7"/>
  <c r="F65" i="7"/>
  <c r="M65" i="7" s="1"/>
  <c r="L64" i="7"/>
  <c r="K64" i="7"/>
  <c r="J64" i="7"/>
  <c r="F64" i="7"/>
  <c r="M64" i="7" s="1"/>
  <c r="L63" i="7"/>
  <c r="K63" i="7"/>
  <c r="J63" i="7"/>
  <c r="F63" i="7"/>
  <c r="M63" i="7" s="1"/>
  <c r="M62" i="7"/>
  <c r="K62" i="7"/>
  <c r="J62" i="7"/>
  <c r="F62" i="7"/>
  <c r="I61" i="7"/>
  <c r="K60" i="7"/>
  <c r="J60" i="7"/>
  <c r="F60" i="7"/>
  <c r="M60" i="7" s="1"/>
  <c r="M59" i="7"/>
  <c r="L59" i="7"/>
  <c r="K59" i="7"/>
  <c r="J59" i="7"/>
  <c r="F59" i="7"/>
  <c r="M58" i="7"/>
  <c r="L58" i="7"/>
  <c r="K58" i="7"/>
  <c r="J58" i="7"/>
  <c r="F58" i="7"/>
  <c r="M57" i="7"/>
  <c r="K57" i="7"/>
  <c r="J57" i="7"/>
  <c r="F57" i="7"/>
  <c r="L57" i="7" s="1"/>
  <c r="K56" i="7"/>
  <c r="J56" i="7"/>
  <c r="F56" i="7"/>
  <c r="L54" i="7"/>
  <c r="K54" i="7"/>
  <c r="J54" i="7"/>
  <c r="F54" i="7"/>
  <c r="M54" i="7" s="1"/>
  <c r="M53" i="7"/>
  <c r="L53" i="7"/>
  <c r="K53" i="7"/>
  <c r="J53" i="7"/>
  <c r="F53" i="7"/>
  <c r="C53" i="7"/>
  <c r="K52" i="7"/>
  <c r="J52" i="7"/>
  <c r="F52" i="7"/>
  <c r="K51" i="7"/>
  <c r="J51" i="7"/>
  <c r="F51" i="7"/>
  <c r="M51" i="7" s="1"/>
  <c r="K50" i="7"/>
  <c r="J50" i="7"/>
  <c r="F50" i="7"/>
  <c r="M49" i="7"/>
  <c r="K49" i="7"/>
  <c r="J49" i="7"/>
  <c r="F49" i="7"/>
  <c r="L49" i="7" s="1"/>
  <c r="L48" i="7"/>
  <c r="K48" i="7"/>
  <c r="J48" i="7"/>
  <c r="F48" i="7"/>
  <c r="M48" i="7" s="1"/>
  <c r="M47" i="7"/>
  <c r="K47" i="7"/>
  <c r="J47" i="7"/>
  <c r="F47" i="7"/>
  <c r="L47" i="7" s="1"/>
  <c r="M46" i="7"/>
  <c r="L46" i="7"/>
  <c r="K46" i="7"/>
  <c r="J46" i="7"/>
  <c r="F46" i="7"/>
  <c r="K45" i="7"/>
  <c r="J45" i="7"/>
  <c r="F45" i="7"/>
  <c r="K44" i="7"/>
  <c r="J44" i="7"/>
  <c r="F44" i="7"/>
  <c r="M43" i="7"/>
  <c r="L43" i="7"/>
  <c r="K43" i="7"/>
  <c r="J43" i="7"/>
  <c r="F43" i="7"/>
  <c r="K42" i="7"/>
  <c r="J42" i="7"/>
  <c r="F42" i="7"/>
  <c r="M41" i="7"/>
  <c r="K41" i="7"/>
  <c r="J41" i="7"/>
  <c r="F41" i="7"/>
  <c r="L41" i="7" s="1"/>
  <c r="M40" i="7"/>
  <c r="L40" i="7"/>
  <c r="K40" i="7"/>
  <c r="J40" i="7"/>
  <c r="F40" i="7"/>
  <c r="K39" i="7"/>
  <c r="J39" i="7"/>
  <c r="F39" i="7"/>
  <c r="K38" i="7"/>
  <c r="J38" i="7"/>
  <c r="C38" i="7"/>
  <c r="F38" i="7" s="1"/>
  <c r="M37" i="7"/>
  <c r="L37" i="7"/>
  <c r="K37" i="7"/>
  <c r="J37" i="7"/>
  <c r="F37" i="7"/>
  <c r="K36" i="7"/>
  <c r="J36" i="7"/>
  <c r="F36" i="7"/>
  <c r="M35" i="7"/>
  <c r="L35" i="7"/>
  <c r="K35" i="7"/>
  <c r="J35" i="7"/>
  <c r="F35" i="7"/>
  <c r="M34" i="7"/>
  <c r="L34" i="7"/>
  <c r="K34" i="7"/>
  <c r="J34" i="7"/>
  <c r="F34" i="7"/>
  <c r="L33" i="7"/>
  <c r="K33" i="7"/>
  <c r="J33" i="7"/>
  <c r="F33" i="7"/>
  <c r="M33" i="7" s="1"/>
  <c r="M32" i="7"/>
  <c r="L32" i="7"/>
  <c r="K32" i="7"/>
  <c r="J32" i="7"/>
  <c r="F32" i="7"/>
  <c r="K31" i="7"/>
  <c r="J31" i="7"/>
  <c r="F31" i="7"/>
  <c r="M30" i="7"/>
  <c r="K30" i="7"/>
  <c r="J30" i="7"/>
  <c r="F30" i="7"/>
  <c r="L30" i="7" s="1"/>
  <c r="L29" i="7"/>
  <c r="K29" i="7"/>
  <c r="J29" i="7"/>
  <c r="F29" i="7"/>
  <c r="M29" i="7" s="1"/>
  <c r="M28" i="7"/>
  <c r="K28" i="7"/>
  <c r="J28" i="7"/>
  <c r="F28" i="7"/>
  <c r="L28" i="7" s="1"/>
  <c r="K27" i="7"/>
  <c r="J27" i="7"/>
  <c r="C27" i="7"/>
  <c r="F27" i="7" s="1"/>
  <c r="M27" i="7" s="1"/>
  <c r="L26" i="7"/>
  <c r="K26" i="7"/>
  <c r="J26" i="7"/>
  <c r="F26" i="7"/>
  <c r="M26" i="7" s="1"/>
  <c r="K25" i="7"/>
  <c r="J25" i="7"/>
  <c r="F25" i="7"/>
  <c r="K24" i="7"/>
  <c r="J24" i="7"/>
  <c r="C24" i="7"/>
  <c r="F24" i="7" s="1"/>
  <c r="L23" i="7"/>
  <c r="K23" i="7"/>
  <c r="J23" i="7"/>
  <c r="F23" i="7"/>
  <c r="M23" i="7" s="1"/>
  <c r="I22" i="7"/>
  <c r="H22" i="7"/>
  <c r="H61" i="7" s="1"/>
  <c r="G22" i="7"/>
  <c r="G61" i="7" s="1"/>
  <c r="E22" i="7"/>
  <c r="D22" i="7"/>
  <c r="L21" i="7"/>
  <c r="K21" i="7"/>
  <c r="J21" i="7"/>
  <c r="F21" i="7"/>
  <c r="M21" i="7" s="1"/>
  <c r="K20" i="7"/>
  <c r="J20" i="7"/>
  <c r="F20" i="7"/>
  <c r="L20" i="7" s="1"/>
  <c r="K19" i="7"/>
  <c r="J19" i="7"/>
  <c r="C19" i="7"/>
  <c r="F19" i="7" s="1"/>
  <c r="M19" i="7" s="1"/>
  <c r="L18" i="7"/>
  <c r="K18" i="7"/>
  <c r="J18" i="7"/>
  <c r="C18" i="7"/>
  <c r="F18" i="7" s="1"/>
  <c r="M18" i="7" s="1"/>
  <c r="L17" i="7"/>
  <c r="K17" i="7"/>
  <c r="J17" i="7"/>
  <c r="F17" i="7"/>
  <c r="M17" i="7" s="1"/>
  <c r="M16" i="7"/>
  <c r="K16" i="7"/>
  <c r="J16" i="7"/>
  <c r="F16" i="7"/>
  <c r="L16" i="7" s="1"/>
  <c r="L15" i="7"/>
  <c r="K15" i="7"/>
  <c r="J15" i="7"/>
  <c r="F15" i="7"/>
  <c r="M15" i="7" s="1"/>
  <c r="M14" i="7"/>
  <c r="K14" i="7"/>
  <c r="J14" i="7"/>
  <c r="F14" i="7"/>
  <c r="L14" i="7" s="1"/>
  <c r="M13" i="7"/>
  <c r="L13" i="7"/>
  <c r="K13" i="7"/>
  <c r="J13" i="7"/>
  <c r="F13" i="7"/>
  <c r="K12" i="7"/>
  <c r="J12" i="7"/>
  <c r="F12" i="7"/>
  <c r="K11" i="7"/>
  <c r="J11" i="7"/>
  <c r="F11" i="7"/>
  <c r="M11" i="7" s="1"/>
  <c r="M10" i="7"/>
  <c r="L10" i="7"/>
  <c r="K10" i="7"/>
  <c r="J10" i="7"/>
  <c r="F10" i="7"/>
  <c r="K9" i="7"/>
  <c r="J9" i="7"/>
  <c r="F9" i="7"/>
  <c r="C9" i="7"/>
  <c r="L8" i="7"/>
  <c r="K8" i="7"/>
  <c r="J8" i="7"/>
  <c r="F8" i="7"/>
  <c r="M8" i="7" s="1"/>
  <c r="M7" i="7"/>
  <c r="L7" i="7"/>
  <c r="K7" i="7"/>
  <c r="J7" i="7"/>
  <c r="F7" i="7"/>
  <c r="C7" i="7"/>
  <c r="K6" i="7"/>
  <c r="J6" i="7"/>
  <c r="F6" i="7"/>
  <c r="K5" i="7"/>
  <c r="J5" i="7"/>
  <c r="F5" i="7"/>
  <c r="M4" i="7"/>
  <c r="L4" i="7"/>
  <c r="K4" i="7"/>
  <c r="K22" i="7" s="1"/>
  <c r="E334" i="7" s="1"/>
  <c r="J4" i="7"/>
  <c r="F4" i="7"/>
  <c r="K3" i="7"/>
  <c r="J3" i="7"/>
  <c r="C3" i="7"/>
  <c r="I583" i="6"/>
  <c r="G583" i="6"/>
  <c r="E583" i="6"/>
  <c r="I582" i="6"/>
  <c r="H582" i="6"/>
  <c r="E582" i="6"/>
  <c r="D582" i="6"/>
  <c r="C582" i="6"/>
  <c r="L581" i="6"/>
  <c r="K581" i="6"/>
  <c r="J581" i="6"/>
  <c r="F581" i="6"/>
  <c r="F580" i="6"/>
  <c r="K579" i="6"/>
  <c r="J579" i="6"/>
  <c r="F579" i="6"/>
  <c r="L579" i="6" s="1"/>
  <c r="K578" i="6"/>
  <c r="J578" i="6"/>
  <c r="F578" i="6"/>
  <c r="L578" i="6" s="1"/>
  <c r="K577" i="6"/>
  <c r="J577" i="6"/>
  <c r="F577" i="6"/>
  <c r="L577" i="6" s="1"/>
  <c r="K576" i="6"/>
  <c r="J576" i="6"/>
  <c r="F576" i="6"/>
  <c r="L576" i="6" s="1"/>
  <c r="K575" i="6"/>
  <c r="J575" i="6"/>
  <c r="F575" i="6"/>
  <c r="L575" i="6" s="1"/>
  <c r="K574" i="6"/>
  <c r="J574" i="6"/>
  <c r="F574" i="6"/>
  <c r="L574" i="6" s="1"/>
  <c r="K573" i="6"/>
  <c r="J573" i="6"/>
  <c r="F573" i="6"/>
  <c r="L573" i="6" s="1"/>
  <c r="K572" i="6"/>
  <c r="J572" i="6"/>
  <c r="F572" i="6"/>
  <c r="L572" i="6" s="1"/>
  <c r="K571" i="6"/>
  <c r="J571" i="6"/>
  <c r="F571" i="6"/>
  <c r="L571" i="6" s="1"/>
  <c r="K570" i="6"/>
  <c r="J570" i="6"/>
  <c r="F570" i="6"/>
  <c r="L570" i="6" s="1"/>
  <c r="K569" i="6"/>
  <c r="J569" i="6"/>
  <c r="F569" i="6"/>
  <c r="L569" i="6" s="1"/>
  <c r="L568" i="6"/>
  <c r="K568" i="6"/>
  <c r="J568" i="6"/>
  <c r="F568" i="6"/>
  <c r="K567" i="6"/>
  <c r="J567" i="6"/>
  <c r="F567" i="6"/>
  <c r="L567" i="6" s="1"/>
  <c r="K566" i="6"/>
  <c r="J566" i="6"/>
  <c r="F566" i="6"/>
  <c r="L566" i="6" s="1"/>
  <c r="K565" i="6"/>
  <c r="J565" i="6"/>
  <c r="F565" i="6"/>
  <c r="L565" i="6" s="1"/>
  <c r="K564" i="6"/>
  <c r="J564" i="6"/>
  <c r="F564" i="6"/>
  <c r="L564" i="6" s="1"/>
  <c r="K563" i="6"/>
  <c r="J563" i="6"/>
  <c r="F563" i="6"/>
  <c r="L563" i="6" s="1"/>
  <c r="K562" i="6"/>
  <c r="J562" i="6"/>
  <c r="F562" i="6"/>
  <c r="L562" i="6" s="1"/>
  <c r="K561" i="6"/>
  <c r="J561" i="6"/>
  <c r="F561" i="6"/>
  <c r="L561" i="6" s="1"/>
  <c r="L560" i="6"/>
  <c r="K560" i="6"/>
  <c r="J560" i="6"/>
  <c r="F560" i="6"/>
  <c r="K559" i="6"/>
  <c r="J559" i="6"/>
  <c r="F559" i="6"/>
  <c r="L559" i="6" s="1"/>
  <c r="K558" i="6"/>
  <c r="J558" i="6"/>
  <c r="F558" i="6"/>
  <c r="L558" i="6" s="1"/>
  <c r="K557" i="6"/>
  <c r="J557" i="6"/>
  <c r="F557" i="6"/>
  <c r="L557" i="6" s="1"/>
  <c r="K556" i="6"/>
  <c r="J556" i="6"/>
  <c r="F556" i="6"/>
  <c r="L556" i="6" s="1"/>
  <c r="K555" i="6"/>
  <c r="J555" i="6"/>
  <c r="F555" i="6"/>
  <c r="L555" i="6" s="1"/>
  <c r="K554" i="6"/>
  <c r="J554" i="6"/>
  <c r="F554" i="6"/>
  <c r="L554" i="6" s="1"/>
  <c r="K553" i="6"/>
  <c r="J553" i="6"/>
  <c r="F553" i="6"/>
  <c r="L553" i="6" s="1"/>
  <c r="K552" i="6"/>
  <c r="J552" i="6"/>
  <c r="F552" i="6"/>
  <c r="L552" i="6" s="1"/>
  <c r="M551" i="6"/>
  <c r="L551" i="6"/>
  <c r="K551" i="6"/>
  <c r="J551" i="6"/>
  <c r="F551" i="6"/>
  <c r="L550" i="6"/>
  <c r="K550" i="6"/>
  <c r="J550" i="6"/>
  <c r="F550" i="6"/>
  <c r="L549" i="6"/>
  <c r="K549" i="6"/>
  <c r="J549" i="6"/>
  <c r="F549" i="6"/>
  <c r="L548" i="6"/>
  <c r="K548" i="6"/>
  <c r="J548" i="6"/>
  <c r="F548" i="6"/>
  <c r="L547" i="6"/>
  <c r="K547" i="6"/>
  <c r="J547" i="6"/>
  <c r="F547" i="6"/>
  <c r="L546" i="6"/>
  <c r="K546" i="6"/>
  <c r="J546" i="6"/>
  <c r="F546" i="6"/>
  <c r="L545" i="6"/>
  <c r="K545" i="6"/>
  <c r="J545" i="6"/>
  <c r="F545" i="6"/>
  <c r="L544" i="6"/>
  <c r="K544" i="6"/>
  <c r="J544" i="6"/>
  <c r="F544" i="6"/>
  <c r="K543" i="6"/>
  <c r="J543" i="6"/>
  <c r="F543" i="6"/>
  <c r="L543" i="6" s="1"/>
  <c r="L542" i="6"/>
  <c r="K542" i="6"/>
  <c r="J542" i="6"/>
  <c r="F542" i="6"/>
  <c r="L541" i="6"/>
  <c r="K541" i="6"/>
  <c r="J541" i="6"/>
  <c r="F541" i="6"/>
  <c r="L540" i="6"/>
  <c r="K540" i="6"/>
  <c r="J540" i="6"/>
  <c r="F540" i="6"/>
  <c r="K539" i="6"/>
  <c r="J539" i="6"/>
  <c r="F539" i="6"/>
  <c r="L539" i="6" s="1"/>
  <c r="L538" i="6"/>
  <c r="K538" i="6"/>
  <c r="J538" i="6"/>
  <c r="F538" i="6"/>
  <c r="K537" i="6"/>
  <c r="J537" i="6"/>
  <c r="F537" i="6"/>
  <c r="L537" i="6" s="1"/>
  <c r="L536" i="6"/>
  <c r="K536" i="6"/>
  <c r="J536" i="6"/>
  <c r="F536" i="6"/>
  <c r="K535" i="6"/>
  <c r="J535" i="6"/>
  <c r="F535" i="6"/>
  <c r="L535" i="6" s="1"/>
  <c r="L534" i="6"/>
  <c r="K534" i="6"/>
  <c r="J534" i="6"/>
  <c r="F534" i="6"/>
  <c r="L533" i="6"/>
  <c r="K533" i="6"/>
  <c r="J533" i="6"/>
  <c r="F533" i="6"/>
  <c r="L532" i="6"/>
  <c r="K532" i="6"/>
  <c r="J532" i="6"/>
  <c r="G532" i="6"/>
  <c r="F532" i="6"/>
  <c r="K531" i="6"/>
  <c r="J531" i="6"/>
  <c r="F531" i="6"/>
  <c r="L531" i="6" s="1"/>
  <c r="L530" i="6"/>
  <c r="K530" i="6"/>
  <c r="J530" i="6"/>
  <c r="F530" i="6"/>
  <c r="K529" i="6"/>
  <c r="J529" i="6"/>
  <c r="F529" i="6"/>
  <c r="L529" i="6" s="1"/>
  <c r="L528" i="6"/>
  <c r="K528" i="6"/>
  <c r="J528" i="6"/>
  <c r="F528" i="6"/>
  <c r="K527" i="6"/>
  <c r="J527" i="6"/>
  <c r="F527" i="6"/>
  <c r="L527" i="6" s="1"/>
  <c r="L526" i="6"/>
  <c r="K526" i="6"/>
  <c r="J526" i="6"/>
  <c r="F526" i="6"/>
  <c r="K525" i="6"/>
  <c r="J525" i="6"/>
  <c r="F525" i="6"/>
  <c r="L525" i="6" s="1"/>
  <c r="L524" i="6"/>
  <c r="K524" i="6"/>
  <c r="J524" i="6"/>
  <c r="F524" i="6"/>
  <c r="K523" i="6"/>
  <c r="J523" i="6"/>
  <c r="F523" i="6"/>
  <c r="L523" i="6" s="1"/>
  <c r="K522" i="6"/>
  <c r="J522" i="6"/>
  <c r="F522" i="6"/>
  <c r="L522" i="6" s="1"/>
  <c r="K521" i="6"/>
  <c r="J521" i="6"/>
  <c r="F521" i="6"/>
  <c r="L521" i="6" s="1"/>
  <c r="L520" i="6"/>
  <c r="K520" i="6"/>
  <c r="J520" i="6"/>
  <c r="F520" i="6"/>
  <c r="K519" i="6"/>
  <c r="J519" i="6"/>
  <c r="F519" i="6"/>
  <c r="L519" i="6" s="1"/>
  <c r="K518" i="6"/>
  <c r="J518" i="6"/>
  <c r="F518" i="6"/>
  <c r="L518" i="6" s="1"/>
  <c r="K517" i="6"/>
  <c r="J517" i="6"/>
  <c r="F517" i="6"/>
  <c r="L517" i="6" s="1"/>
  <c r="L516" i="6"/>
  <c r="K516" i="6"/>
  <c r="J516" i="6"/>
  <c r="F516" i="6"/>
  <c r="K515" i="6"/>
  <c r="J515" i="6"/>
  <c r="F515" i="6"/>
  <c r="L515" i="6" s="1"/>
  <c r="L514" i="6"/>
  <c r="K514" i="6"/>
  <c r="J514" i="6"/>
  <c r="F514" i="6"/>
  <c r="K513" i="6"/>
  <c r="J513" i="6"/>
  <c r="F513" i="6"/>
  <c r="L513" i="6" s="1"/>
  <c r="L512" i="6"/>
  <c r="K512" i="6"/>
  <c r="J512" i="6"/>
  <c r="F512" i="6"/>
  <c r="K511" i="6"/>
  <c r="J511" i="6"/>
  <c r="F511" i="6"/>
  <c r="L511" i="6" s="1"/>
  <c r="L510" i="6"/>
  <c r="K510" i="6"/>
  <c r="J510" i="6"/>
  <c r="F510" i="6"/>
  <c r="K509" i="6"/>
  <c r="J509" i="6"/>
  <c r="F509" i="6"/>
  <c r="L509" i="6" s="1"/>
  <c r="L508" i="6"/>
  <c r="K508" i="6"/>
  <c r="J508" i="6"/>
  <c r="F508" i="6"/>
  <c r="K507" i="6"/>
  <c r="J507" i="6"/>
  <c r="F507" i="6"/>
  <c r="L507" i="6" s="1"/>
  <c r="L506" i="6"/>
  <c r="K506" i="6"/>
  <c r="J506" i="6"/>
  <c r="G506" i="6"/>
  <c r="G582" i="6" s="1"/>
  <c r="F506" i="6"/>
  <c r="K505" i="6"/>
  <c r="J505" i="6"/>
  <c r="F505" i="6"/>
  <c r="L505" i="6" s="1"/>
  <c r="L504" i="6"/>
  <c r="K504" i="6"/>
  <c r="J504" i="6"/>
  <c r="F504" i="6"/>
  <c r="K503" i="6"/>
  <c r="J503" i="6"/>
  <c r="F503" i="6"/>
  <c r="L503" i="6" s="1"/>
  <c r="L502" i="6"/>
  <c r="K502" i="6"/>
  <c r="J502" i="6"/>
  <c r="F502" i="6"/>
  <c r="L501" i="6"/>
  <c r="K501" i="6"/>
  <c r="J501" i="6"/>
  <c r="F501" i="6"/>
  <c r="L500" i="6"/>
  <c r="K500" i="6"/>
  <c r="J500" i="6"/>
  <c r="F500" i="6"/>
  <c r="K499" i="6"/>
  <c r="J499" i="6"/>
  <c r="F499" i="6"/>
  <c r="L499" i="6" s="1"/>
  <c r="L498" i="6"/>
  <c r="K498" i="6"/>
  <c r="J498" i="6"/>
  <c r="F498" i="6"/>
  <c r="L497" i="6"/>
  <c r="K497" i="6"/>
  <c r="J497" i="6"/>
  <c r="F497" i="6"/>
  <c r="L496" i="6"/>
  <c r="K496" i="6"/>
  <c r="J496" i="6"/>
  <c r="F496" i="6"/>
  <c r="K495" i="6"/>
  <c r="J495" i="6"/>
  <c r="F495" i="6"/>
  <c r="L495" i="6" s="1"/>
  <c r="L494" i="6"/>
  <c r="K494" i="6"/>
  <c r="J494" i="6"/>
  <c r="F494" i="6"/>
  <c r="L493" i="6"/>
  <c r="K493" i="6"/>
  <c r="J493" i="6"/>
  <c r="F493" i="6"/>
  <c r="L492" i="6"/>
  <c r="K492" i="6"/>
  <c r="J492" i="6"/>
  <c r="F492" i="6"/>
  <c r="K491" i="6"/>
  <c r="J491" i="6"/>
  <c r="F491" i="6"/>
  <c r="L491" i="6" s="1"/>
  <c r="L490" i="6"/>
  <c r="K490" i="6"/>
  <c r="J490" i="6"/>
  <c r="F490" i="6"/>
  <c r="L489" i="6"/>
  <c r="K489" i="6"/>
  <c r="J489" i="6"/>
  <c r="F489" i="6"/>
  <c r="L488" i="6"/>
  <c r="K488" i="6"/>
  <c r="J488" i="6"/>
  <c r="F488" i="6"/>
  <c r="K487" i="6"/>
  <c r="J487" i="6"/>
  <c r="F487" i="6"/>
  <c r="L487" i="6" s="1"/>
  <c r="L486" i="6"/>
  <c r="K486" i="6"/>
  <c r="J486" i="6"/>
  <c r="F486" i="6"/>
  <c r="K485" i="6"/>
  <c r="J485" i="6"/>
  <c r="F485" i="6"/>
  <c r="L485" i="6" s="1"/>
  <c r="L484" i="6"/>
  <c r="K484" i="6"/>
  <c r="J484" i="6"/>
  <c r="F484" i="6"/>
  <c r="K483" i="6"/>
  <c r="J483" i="6"/>
  <c r="F483" i="6"/>
  <c r="L483" i="6" s="1"/>
  <c r="L482" i="6"/>
  <c r="K482" i="6"/>
  <c r="J482" i="6"/>
  <c r="F482" i="6"/>
  <c r="K481" i="6"/>
  <c r="J481" i="6"/>
  <c r="F481" i="6"/>
  <c r="L481" i="6" s="1"/>
  <c r="L480" i="6"/>
  <c r="K480" i="6"/>
  <c r="J480" i="6"/>
  <c r="F480" i="6"/>
  <c r="K479" i="6"/>
  <c r="J479" i="6"/>
  <c r="F479" i="6"/>
  <c r="L479" i="6" s="1"/>
  <c r="L478" i="6"/>
  <c r="K478" i="6"/>
  <c r="J478" i="6"/>
  <c r="F478" i="6"/>
  <c r="L477" i="6"/>
  <c r="K477" i="6"/>
  <c r="J477" i="6"/>
  <c r="F477" i="6"/>
  <c r="L476" i="6"/>
  <c r="K476" i="6"/>
  <c r="J476" i="6"/>
  <c r="F476" i="6"/>
  <c r="K475" i="6"/>
  <c r="J475" i="6"/>
  <c r="F475" i="6"/>
  <c r="L475" i="6" s="1"/>
  <c r="L474" i="6"/>
  <c r="K474" i="6"/>
  <c r="J474" i="6"/>
  <c r="F474" i="6"/>
  <c r="K473" i="6"/>
  <c r="J473" i="6"/>
  <c r="F473" i="6"/>
  <c r="I472" i="6"/>
  <c r="H472" i="6"/>
  <c r="G472" i="6"/>
  <c r="E472" i="6"/>
  <c r="D472" i="6"/>
  <c r="C472" i="6"/>
  <c r="K471" i="6"/>
  <c r="J471" i="6"/>
  <c r="F471" i="6"/>
  <c r="L471" i="6" s="1"/>
  <c r="L470" i="6"/>
  <c r="K470" i="6"/>
  <c r="J470" i="6"/>
  <c r="F470" i="6"/>
  <c r="K469" i="6"/>
  <c r="J469" i="6"/>
  <c r="F469" i="6"/>
  <c r="L469" i="6" s="1"/>
  <c r="L472" i="6" s="1"/>
  <c r="L468" i="6"/>
  <c r="K468" i="6"/>
  <c r="J468" i="6"/>
  <c r="F468" i="6"/>
  <c r="K467" i="6"/>
  <c r="J467" i="6"/>
  <c r="F467" i="6"/>
  <c r="L467" i="6" s="1"/>
  <c r="L466" i="6"/>
  <c r="K466" i="6"/>
  <c r="J466" i="6"/>
  <c r="F466" i="6"/>
  <c r="K465" i="6"/>
  <c r="J465" i="6"/>
  <c r="F465" i="6"/>
  <c r="L465" i="6" s="1"/>
  <c r="L464" i="6"/>
  <c r="K464" i="6"/>
  <c r="J464" i="6"/>
  <c r="F464" i="6"/>
  <c r="K463" i="6"/>
  <c r="J463" i="6"/>
  <c r="F463" i="6"/>
  <c r="L463" i="6" s="1"/>
  <c r="L462" i="6"/>
  <c r="K462" i="6"/>
  <c r="J462" i="6"/>
  <c r="F462" i="6"/>
  <c r="K461" i="6"/>
  <c r="J461" i="6"/>
  <c r="F461" i="6"/>
  <c r="L461" i="6" s="1"/>
  <c r="L460" i="6"/>
  <c r="K460" i="6"/>
  <c r="J460" i="6"/>
  <c r="F460" i="6"/>
  <c r="K459" i="6"/>
  <c r="J459" i="6"/>
  <c r="F459" i="6"/>
  <c r="L459" i="6" s="1"/>
  <c r="L458" i="6"/>
  <c r="K458" i="6"/>
  <c r="J458" i="6"/>
  <c r="F458" i="6"/>
  <c r="K457" i="6"/>
  <c r="J457" i="6"/>
  <c r="F457" i="6"/>
  <c r="L457" i="6" s="1"/>
  <c r="L456" i="6"/>
  <c r="K456" i="6"/>
  <c r="J456" i="6"/>
  <c r="F456" i="6"/>
  <c r="K455" i="6"/>
  <c r="J455" i="6"/>
  <c r="F455" i="6"/>
  <c r="L455" i="6" s="1"/>
  <c r="L454" i="6"/>
  <c r="K454" i="6"/>
  <c r="J454" i="6"/>
  <c r="F454" i="6"/>
  <c r="K453" i="6"/>
  <c r="J453" i="6"/>
  <c r="F453" i="6"/>
  <c r="L453" i="6" s="1"/>
  <c r="L452" i="6"/>
  <c r="K452" i="6"/>
  <c r="J452" i="6"/>
  <c r="F452" i="6"/>
  <c r="L451" i="6"/>
  <c r="K451" i="6"/>
  <c r="J451" i="6"/>
  <c r="F451" i="6"/>
  <c r="L450" i="6"/>
  <c r="K450" i="6"/>
  <c r="J450" i="6"/>
  <c r="F450" i="6"/>
  <c r="K449" i="6"/>
  <c r="J449" i="6"/>
  <c r="F449" i="6"/>
  <c r="L449" i="6" s="1"/>
  <c r="L448" i="6"/>
  <c r="K448" i="6"/>
  <c r="J448" i="6"/>
  <c r="F448" i="6"/>
  <c r="L447" i="6"/>
  <c r="K447" i="6"/>
  <c r="J447" i="6"/>
  <c r="F447" i="6"/>
  <c r="F472" i="6" s="1"/>
  <c r="L446" i="6"/>
  <c r="K446" i="6"/>
  <c r="J446" i="6"/>
  <c r="F446" i="6"/>
  <c r="K445" i="6"/>
  <c r="J445" i="6"/>
  <c r="F445" i="6"/>
  <c r="L445" i="6" s="1"/>
  <c r="L444" i="6"/>
  <c r="K444" i="6"/>
  <c r="J444" i="6"/>
  <c r="F444" i="6"/>
  <c r="I443" i="6"/>
  <c r="H443" i="6"/>
  <c r="G443" i="6"/>
  <c r="E443" i="6"/>
  <c r="D443" i="6"/>
  <c r="C443" i="6"/>
  <c r="K442" i="6"/>
  <c r="J442" i="6"/>
  <c r="F442" i="6"/>
  <c r="L442" i="6" s="1"/>
  <c r="L441" i="6"/>
  <c r="K441" i="6"/>
  <c r="J441" i="6"/>
  <c r="F441" i="6"/>
  <c r="L440" i="6"/>
  <c r="K440" i="6"/>
  <c r="J440" i="6"/>
  <c r="F440" i="6"/>
  <c r="L439" i="6"/>
  <c r="K439" i="6"/>
  <c r="J439" i="6"/>
  <c r="F439" i="6"/>
  <c r="K438" i="6"/>
  <c r="J438" i="6"/>
  <c r="F438" i="6"/>
  <c r="L438" i="6" s="1"/>
  <c r="L437" i="6"/>
  <c r="K437" i="6"/>
  <c r="J437" i="6"/>
  <c r="F437" i="6"/>
  <c r="K436" i="6"/>
  <c r="J436" i="6"/>
  <c r="F436" i="6"/>
  <c r="L436" i="6" s="1"/>
  <c r="L435" i="6"/>
  <c r="K435" i="6"/>
  <c r="J435" i="6"/>
  <c r="F435" i="6"/>
  <c r="K434" i="6"/>
  <c r="J434" i="6"/>
  <c r="F434" i="6"/>
  <c r="L434" i="6" s="1"/>
  <c r="L433" i="6"/>
  <c r="K433" i="6"/>
  <c r="J433" i="6"/>
  <c r="F433" i="6"/>
  <c r="K432" i="6"/>
  <c r="J432" i="6"/>
  <c r="F432" i="6"/>
  <c r="L431" i="6"/>
  <c r="K431" i="6"/>
  <c r="J431" i="6"/>
  <c r="F431" i="6"/>
  <c r="I430" i="6"/>
  <c r="H430" i="6"/>
  <c r="G430" i="6"/>
  <c r="E430" i="6"/>
  <c r="D430" i="6"/>
  <c r="C430" i="6"/>
  <c r="L429" i="6"/>
  <c r="K429" i="6"/>
  <c r="J429" i="6"/>
  <c r="F429" i="6"/>
  <c r="K428" i="6"/>
  <c r="J428" i="6"/>
  <c r="F428" i="6"/>
  <c r="L428" i="6" s="1"/>
  <c r="L427" i="6"/>
  <c r="K427" i="6"/>
  <c r="J427" i="6"/>
  <c r="F427" i="6"/>
  <c r="L426" i="6"/>
  <c r="K426" i="6"/>
  <c r="J426" i="6"/>
  <c r="F426" i="6"/>
  <c r="L425" i="6"/>
  <c r="K425" i="6"/>
  <c r="J425" i="6"/>
  <c r="F425" i="6"/>
  <c r="K424" i="6"/>
  <c r="J424" i="6"/>
  <c r="F424" i="6"/>
  <c r="L424" i="6" s="1"/>
  <c r="L423" i="6"/>
  <c r="K423" i="6"/>
  <c r="J423" i="6"/>
  <c r="F423" i="6"/>
  <c r="L422" i="6"/>
  <c r="K422" i="6"/>
  <c r="J422" i="6"/>
  <c r="F422" i="6"/>
  <c r="L421" i="6"/>
  <c r="K421" i="6"/>
  <c r="J421" i="6"/>
  <c r="F421" i="6"/>
  <c r="K420" i="6"/>
  <c r="J420" i="6"/>
  <c r="F420" i="6"/>
  <c r="L420" i="6" s="1"/>
  <c r="L419" i="6"/>
  <c r="K419" i="6"/>
  <c r="J419" i="6"/>
  <c r="F419" i="6"/>
  <c r="K418" i="6"/>
  <c r="J418" i="6"/>
  <c r="F418" i="6"/>
  <c r="L418" i="6" s="1"/>
  <c r="L417" i="6"/>
  <c r="K417" i="6"/>
  <c r="J417" i="6"/>
  <c r="F417" i="6"/>
  <c r="K416" i="6"/>
  <c r="J416" i="6"/>
  <c r="F416" i="6"/>
  <c r="L416" i="6" s="1"/>
  <c r="L415" i="6"/>
  <c r="K415" i="6"/>
  <c r="J415" i="6"/>
  <c r="F415" i="6"/>
  <c r="K414" i="6"/>
  <c r="J414" i="6"/>
  <c r="F414" i="6"/>
  <c r="L414" i="6" s="1"/>
  <c r="L413" i="6"/>
  <c r="K413" i="6"/>
  <c r="J413" i="6"/>
  <c r="F413" i="6"/>
  <c r="K412" i="6"/>
  <c r="J412" i="6"/>
  <c r="F412" i="6"/>
  <c r="L412" i="6" s="1"/>
  <c r="L411" i="6"/>
  <c r="K411" i="6"/>
  <c r="J411" i="6"/>
  <c r="F411" i="6"/>
  <c r="K410" i="6"/>
  <c r="J410" i="6"/>
  <c r="F410" i="6"/>
  <c r="L410" i="6" s="1"/>
  <c r="L409" i="6"/>
  <c r="K409" i="6"/>
  <c r="J409" i="6"/>
  <c r="F409" i="6"/>
  <c r="K408" i="6"/>
  <c r="J408" i="6"/>
  <c r="F408" i="6"/>
  <c r="L408" i="6" s="1"/>
  <c r="L407" i="6"/>
  <c r="K407" i="6"/>
  <c r="J407" i="6"/>
  <c r="F407" i="6"/>
  <c r="K406" i="6"/>
  <c r="J406" i="6"/>
  <c r="F406" i="6"/>
  <c r="L406" i="6" s="1"/>
  <c r="L405" i="6"/>
  <c r="K405" i="6"/>
  <c r="J405" i="6"/>
  <c r="F405" i="6"/>
  <c r="K404" i="6"/>
  <c r="J404" i="6"/>
  <c r="F404" i="6"/>
  <c r="L404" i="6" s="1"/>
  <c r="L403" i="6"/>
  <c r="K403" i="6"/>
  <c r="J403" i="6"/>
  <c r="F403" i="6"/>
  <c r="K402" i="6"/>
  <c r="J402" i="6"/>
  <c r="F402" i="6"/>
  <c r="L402" i="6" s="1"/>
  <c r="L401" i="6"/>
  <c r="K401" i="6"/>
  <c r="J401" i="6"/>
  <c r="F401" i="6"/>
  <c r="K400" i="6"/>
  <c r="J400" i="6"/>
  <c r="F400" i="6"/>
  <c r="L400" i="6" s="1"/>
  <c r="L399" i="6"/>
  <c r="K399" i="6"/>
  <c r="J399" i="6"/>
  <c r="F399" i="6"/>
  <c r="L398" i="6"/>
  <c r="K398" i="6"/>
  <c r="J398" i="6"/>
  <c r="F398" i="6"/>
  <c r="L397" i="6"/>
  <c r="K397" i="6"/>
  <c r="J397" i="6"/>
  <c r="F397" i="6"/>
  <c r="K396" i="6"/>
  <c r="J396" i="6"/>
  <c r="F396" i="6"/>
  <c r="L396" i="6" s="1"/>
  <c r="L395" i="6"/>
  <c r="K395" i="6"/>
  <c r="J395" i="6"/>
  <c r="F395" i="6"/>
  <c r="L394" i="6"/>
  <c r="K394" i="6"/>
  <c r="J394" i="6"/>
  <c r="F394" i="6"/>
  <c r="L393" i="6"/>
  <c r="K393" i="6"/>
  <c r="J393" i="6"/>
  <c r="F393" i="6"/>
  <c r="K392" i="6"/>
  <c r="J392" i="6"/>
  <c r="F392" i="6"/>
  <c r="L392" i="6" s="1"/>
  <c r="L391" i="6"/>
  <c r="K391" i="6"/>
  <c r="J391" i="6"/>
  <c r="F391" i="6"/>
  <c r="L390" i="6"/>
  <c r="K390" i="6"/>
  <c r="J390" i="6"/>
  <c r="F390" i="6"/>
  <c r="L389" i="6"/>
  <c r="K389" i="6"/>
  <c r="J389" i="6"/>
  <c r="F389" i="6"/>
  <c r="K388" i="6"/>
  <c r="J388" i="6"/>
  <c r="F388" i="6"/>
  <c r="L388" i="6" s="1"/>
  <c r="L387" i="6"/>
  <c r="K387" i="6"/>
  <c r="J387" i="6"/>
  <c r="F387" i="6"/>
  <c r="L386" i="6"/>
  <c r="K386" i="6"/>
  <c r="J386" i="6"/>
  <c r="F386" i="6"/>
  <c r="L385" i="6"/>
  <c r="K385" i="6"/>
  <c r="J385" i="6"/>
  <c r="F385" i="6"/>
  <c r="K384" i="6"/>
  <c r="J384" i="6"/>
  <c r="F384" i="6"/>
  <c r="L384" i="6" s="1"/>
  <c r="L383" i="6"/>
  <c r="K383" i="6"/>
  <c r="J383" i="6"/>
  <c r="F383" i="6"/>
  <c r="L382" i="6"/>
  <c r="K382" i="6"/>
  <c r="J382" i="6"/>
  <c r="F382" i="6"/>
  <c r="L381" i="6"/>
  <c r="K381" i="6"/>
  <c r="J381" i="6"/>
  <c r="F381" i="6"/>
  <c r="K380" i="6"/>
  <c r="J380" i="6"/>
  <c r="F380" i="6"/>
  <c r="L380" i="6" s="1"/>
  <c r="L379" i="6"/>
  <c r="K379" i="6"/>
  <c r="J379" i="6"/>
  <c r="F379" i="6"/>
  <c r="K378" i="6"/>
  <c r="J378" i="6"/>
  <c r="F378" i="6"/>
  <c r="L378" i="6" s="1"/>
  <c r="L377" i="6"/>
  <c r="K377" i="6"/>
  <c r="J377" i="6"/>
  <c r="F377" i="6"/>
  <c r="K376" i="6"/>
  <c r="J376" i="6"/>
  <c r="F376" i="6"/>
  <c r="L376" i="6" s="1"/>
  <c r="L375" i="6"/>
  <c r="K375" i="6"/>
  <c r="J375" i="6"/>
  <c r="F375" i="6"/>
  <c r="K374" i="6"/>
  <c r="J374" i="6"/>
  <c r="F374" i="6"/>
  <c r="L374" i="6" s="1"/>
  <c r="L373" i="6"/>
  <c r="K373" i="6"/>
  <c r="J373" i="6"/>
  <c r="F373" i="6"/>
  <c r="K372" i="6"/>
  <c r="J372" i="6"/>
  <c r="F372" i="6"/>
  <c r="L372" i="6" s="1"/>
  <c r="L371" i="6"/>
  <c r="K371" i="6"/>
  <c r="J371" i="6"/>
  <c r="F371" i="6"/>
  <c r="K370" i="6"/>
  <c r="J370" i="6"/>
  <c r="F370" i="6"/>
  <c r="L370" i="6" s="1"/>
  <c r="L369" i="6"/>
  <c r="K369" i="6"/>
  <c r="J369" i="6"/>
  <c r="F369" i="6"/>
  <c r="K368" i="6"/>
  <c r="J368" i="6"/>
  <c r="F368" i="6"/>
  <c r="L368" i="6" s="1"/>
  <c r="L367" i="6"/>
  <c r="K367" i="6"/>
  <c r="J367" i="6"/>
  <c r="F367" i="6"/>
  <c r="L366" i="6"/>
  <c r="K366" i="6"/>
  <c r="J366" i="6"/>
  <c r="F366" i="6"/>
  <c r="L365" i="6"/>
  <c r="K365" i="6"/>
  <c r="J365" i="6"/>
  <c r="F365" i="6"/>
  <c r="K364" i="6"/>
  <c r="J364" i="6"/>
  <c r="F364" i="6"/>
  <c r="L364" i="6" s="1"/>
  <c r="L363" i="6"/>
  <c r="K363" i="6"/>
  <c r="J363" i="6"/>
  <c r="F363" i="6"/>
  <c r="L362" i="6"/>
  <c r="K362" i="6"/>
  <c r="J362" i="6"/>
  <c r="F362" i="6"/>
  <c r="L361" i="6"/>
  <c r="K361" i="6"/>
  <c r="J361" i="6"/>
  <c r="F361" i="6"/>
  <c r="K360" i="6"/>
  <c r="J360" i="6"/>
  <c r="F360" i="6"/>
  <c r="L360" i="6" s="1"/>
  <c r="L359" i="6"/>
  <c r="K359" i="6"/>
  <c r="J359" i="6"/>
  <c r="F359" i="6"/>
  <c r="L358" i="6"/>
  <c r="K358" i="6"/>
  <c r="J358" i="6"/>
  <c r="F358" i="6"/>
  <c r="L357" i="6"/>
  <c r="K357" i="6"/>
  <c r="J357" i="6"/>
  <c r="F357" i="6"/>
  <c r="K356" i="6"/>
  <c r="J356" i="6"/>
  <c r="F356" i="6"/>
  <c r="L356" i="6" s="1"/>
  <c r="L355" i="6"/>
  <c r="K355" i="6"/>
  <c r="J355" i="6"/>
  <c r="F355" i="6"/>
  <c r="K354" i="6"/>
  <c r="J354" i="6"/>
  <c r="F354" i="6"/>
  <c r="L353" i="6"/>
  <c r="K353" i="6"/>
  <c r="J353" i="6"/>
  <c r="F353" i="6"/>
  <c r="K352" i="6"/>
  <c r="J352" i="6"/>
  <c r="F352" i="6"/>
  <c r="L352" i="6" s="1"/>
  <c r="L351" i="6"/>
  <c r="K351" i="6"/>
  <c r="J351" i="6"/>
  <c r="F351" i="6"/>
  <c r="L346" i="6"/>
  <c r="E341" i="6"/>
  <c r="I331" i="6"/>
  <c r="H331" i="6"/>
  <c r="G331" i="6"/>
  <c r="E331" i="6"/>
  <c r="D331" i="6"/>
  <c r="C331" i="6"/>
  <c r="K330" i="6"/>
  <c r="J330" i="6"/>
  <c r="F330" i="6"/>
  <c r="M329" i="6"/>
  <c r="K329" i="6"/>
  <c r="J329" i="6"/>
  <c r="F329" i="6"/>
  <c r="L329" i="6" s="1"/>
  <c r="L328" i="6"/>
  <c r="K328" i="6"/>
  <c r="J328" i="6"/>
  <c r="F328" i="6"/>
  <c r="M328" i="6" s="1"/>
  <c r="M327" i="6"/>
  <c r="K327" i="6"/>
  <c r="J327" i="6"/>
  <c r="F327" i="6"/>
  <c r="L327" i="6" s="1"/>
  <c r="M326" i="6"/>
  <c r="L326" i="6"/>
  <c r="K326" i="6"/>
  <c r="J326" i="6"/>
  <c r="F326" i="6"/>
  <c r="K325" i="6"/>
  <c r="J325" i="6"/>
  <c r="F325" i="6"/>
  <c r="K324" i="6"/>
  <c r="J324" i="6"/>
  <c r="F324" i="6"/>
  <c r="M323" i="6"/>
  <c r="L323" i="6"/>
  <c r="K323" i="6"/>
  <c r="J323" i="6"/>
  <c r="F323" i="6"/>
  <c r="K322" i="6"/>
  <c r="J322" i="6"/>
  <c r="F322" i="6"/>
  <c r="M321" i="6"/>
  <c r="K321" i="6"/>
  <c r="J321" i="6"/>
  <c r="F321" i="6"/>
  <c r="M320" i="6"/>
  <c r="L320" i="6"/>
  <c r="K320" i="6"/>
  <c r="J320" i="6"/>
  <c r="F320" i="6"/>
  <c r="C320" i="6"/>
  <c r="K319" i="6"/>
  <c r="J319" i="6"/>
  <c r="F319" i="6"/>
  <c r="K318" i="6"/>
  <c r="J318" i="6"/>
  <c r="F318" i="6"/>
  <c r="M317" i="6"/>
  <c r="L317" i="6"/>
  <c r="K317" i="6"/>
  <c r="J317" i="6"/>
  <c r="F317" i="6"/>
  <c r="K316" i="6"/>
  <c r="J316" i="6"/>
  <c r="F316" i="6"/>
  <c r="M315" i="6"/>
  <c r="L315" i="6"/>
  <c r="K315" i="6"/>
  <c r="J315" i="6"/>
  <c r="F315" i="6"/>
  <c r="M314" i="6"/>
  <c r="L314" i="6"/>
  <c r="K314" i="6"/>
  <c r="J314" i="6"/>
  <c r="F314" i="6"/>
  <c r="H313" i="6"/>
  <c r="G313" i="6"/>
  <c r="F313" i="6"/>
  <c r="E313" i="6"/>
  <c r="L312" i="6"/>
  <c r="K312" i="6"/>
  <c r="J312" i="6"/>
  <c r="F312" i="6"/>
  <c r="M312" i="6" s="1"/>
  <c r="M311" i="6"/>
  <c r="L311" i="6"/>
  <c r="K311" i="6"/>
  <c r="J311" i="6"/>
  <c r="F311" i="6"/>
  <c r="K310" i="6"/>
  <c r="J310" i="6"/>
  <c r="F310" i="6"/>
  <c r="M309" i="6"/>
  <c r="K309" i="6"/>
  <c r="J309" i="6"/>
  <c r="F309" i="6"/>
  <c r="L309" i="6" s="1"/>
  <c r="M308" i="6"/>
  <c r="L308" i="6"/>
  <c r="K308" i="6"/>
  <c r="J308" i="6"/>
  <c r="F308" i="6"/>
  <c r="K307" i="6"/>
  <c r="J307" i="6"/>
  <c r="F307" i="6"/>
  <c r="M306" i="6"/>
  <c r="L306" i="6"/>
  <c r="K306" i="6"/>
  <c r="F306" i="6"/>
  <c r="L305" i="6"/>
  <c r="K305" i="6"/>
  <c r="J305" i="6"/>
  <c r="F305" i="6"/>
  <c r="M305" i="6" s="1"/>
  <c r="K304" i="6"/>
  <c r="J304" i="6"/>
  <c r="F304" i="6"/>
  <c r="M304" i="6" s="1"/>
  <c r="K303" i="6"/>
  <c r="J303" i="6"/>
  <c r="F303" i="6"/>
  <c r="L302" i="6"/>
  <c r="K302" i="6"/>
  <c r="J302" i="6"/>
  <c r="F302" i="6"/>
  <c r="M302" i="6" s="1"/>
  <c r="M301" i="6"/>
  <c r="K301" i="6"/>
  <c r="J301" i="6"/>
  <c r="F301" i="6"/>
  <c r="L301" i="6" s="1"/>
  <c r="L300" i="6"/>
  <c r="K300" i="6"/>
  <c r="J300" i="6"/>
  <c r="F300" i="6"/>
  <c r="M300" i="6" s="1"/>
  <c r="K299" i="6"/>
  <c r="J299" i="6"/>
  <c r="F299" i="6"/>
  <c r="K298" i="6"/>
  <c r="J298" i="6"/>
  <c r="C298" i="6"/>
  <c r="F298" i="6" s="1"/>
  <c r="K297" i="6"/>
  <c r="J297" i="6"/>
  <c r="C297" i="6"/>
  <c r="F297" i="6" s="1"/>
  <c r="K296" i="6"/>
  <c r="J296" i="6"/>
  <c r="F296" i="6"/>
  <c r="M296" i="6" s="1"/>
  <c r="M295" i="6"/>
  <c r="K295" i="6"/>
  <c r="J295" i="6"/>
  <c r="F295" i="6"/>
  <c r="L295" i="6" s="1"/>
  <c r="L294" i="6"/>
  <c r="K294" i="6"/>
  <c r="J294" i="6"/>
  <c r="F294" i="6"/>
  <c r="M294" i="6" s="1"/>
  <c r="M293" i="6"/>
  <c r="K293" i="6"/>
  <c r="J293" i="6"/>
  <c r="F293" i="6"/>
  <c r="L293" i="6" s="1"/>
  <c r="M292" i="6"/>
  <c r="L292" i="6"/>
  <c r="K292" i="6"/>
  <c r="J292" i="6"/>
  <c r="F292" i="6"/>
  <c r="K291" i="6"/>
  <c r="J291" i="6"/>
  <c r="F291" i="6"/>
  <c r="K290" i="6"/>
  <c r="J290" i="6"/>
  <c r="F290" i="6"/>
  <c r="M289" i="6"/>
  <c r="L289" i="6"/>
  <c r="K289" i="6"/>
  <c r="J289" i="6"/>
  <c r="F289" i="6"/>
  <c r="K288" i="6"/>
  <c r="J288" i="6"/>
  <c r="F288" i="6"/>
  <c r="K287" i="6"/>
  <c r="J287" i="6"/>
  <c r="F287" i="6"/>
  <c r="M286" i="6"/>
  <c r="L286" i="6"/>
  <c r="K286" i="6"/>
  <c r="J286" i="6"/>
  <c r="F286" i="6"/>
  <c r="K285" i="6"/>
  <c r="J285" i="6"/>
  <c r="F285" i="6"/>
  <c r="M284" i="6"/>
  <c r="L284" i="6"/>
  <c r="K284" i="6"/>
  <c r="J284" i="6"/>
  <c r="F284" i="6"/>
  <c r="M283" i="6"/>
  <c r="L283" i="6"/>
  <c r="K283" i="6"/>
  <c r="J283" i="6"/>
  <c r="F283" i="6"/>
  <c r="K282" i="6"/>
  <c r="J282" i="6"/>
  <c r="F282" i="6"/>
  <c r="M282" i="6" s="1"/>
  <c r="M281" i="6"/>
  <c r="L281" i="6"/>
  <c r="K281" i="6"/>
  <c r="J281" i="6"/>
  <c r="F281" i="6"/>
  <c r="K280" i="6"/>
  <c r="J280" i="6"/>
  <c r="F280" i="6"/>
  <c r="M279" i="6"/>
  <c r="K279" i="6"/>
  <c r="J279" i="6"/>
  <c r="F279" i="6"/>
  <c r="L279" i="6" s="1"/>
  <c r="L278" i="6"/>
  <c r="K278" i="6"/>
  <c r="J278" i="6"/>
  <c r="F278" i="6"/>
  <c r="M278" i="6" s="1"/>
  <c r="M277" i="6"/>
  <c r="K277" i="6"/>
  <c r="J277" i="6"/>
  <c r="F277" i="6"/>
  <c r="L277" i="6" s="1"/>
  <c r="M276" i="6"/>
  <c r="L276" i="6"/>
  <c r="K276" i="6"/>
  <c r="J276" i="6"/>
  <c r="F276" i="6"/>
  <c r="K275" i="6"/>
  <c r="J275" i="6"/>
  <c r="F275" i="6"/>
  <c r="K274" i="6"/>
  <c r="J274" i="6"/>
  <c r="F274" i="6"/>
  <c r="M273" i="6"/>
  <c r="L273" i="6"/>
  <c r="K273" i="6"/>
  <c r="J273" i="6"/>
  <c r="C273" i="6"/>
  <c r="F273" i="6" s="1"/>
  <c r="K272" i="6"/>
  <c r="J272" i="6"/>
  <c r="F272" i="6"/>
  <c r="L271" i="6"/>
  <c r="K271" i="6"/>
  <c r="J271" i="6"/>
  <c r="F271" i="6"/>
  <c r="M271" i="6" s="1"/>
  <c r="M270" i="6"/>
  <c r="L270" i="6"/>
  <c r="K270" i="6"/>
  <c r="J270" i="6"/>
  <c r="F270" i="6"/>
  <c r="K269" i="6"/>
  <c r="J269" i="6"/>
  <c r="F269" i="6"/>
  <c r="K268" i="6"/>
  <c r="J268" i="6"/>
  <c r="F268" i="6"/>
  <c r="M267" i="6"/>
  <c r="L267" i="6"/>
  <c r="K267" i="6"/>
  <c r="J267" i="6"/>
  <c r="F267" i="6"/>
  <c r="K266" i="6"/>
  <c r="J266" i="6"/>
  <c r="C266" i="6"/>
  <c r="F266" i="6" s="1"/>
  <c r="M265" i="6"/>
  <c r="K265" i="6"/>
  <c r="J265" i="6"/>
  <c r="C265" i="6"/>
  <c r="F265" i="6" s="1"/>
  <c r="L265" i="6" s="1"/>
  <c r="M264" i="6"/>
  <c r="L264" i="6"/>
  <c r="K264" i="6"/>
  <c r="J264" i="6"/>
  <c r="F264" i="6"/>
  <c r="K263" i="6"/>
  <c r="J263" i="6"/>
  <c r="F263" i="6"/>
  <c r="C263" i="6"/>
  <c r="L262" i="6"/>
  <c r="K262" i="6"/>
  <c r="J262" i="6"/>
  <c r="F262" i="6"/>
  <c r="M262" i="6" s="1"/>
  <c r="M261" i="6"/>
  <c r="L261" i="6"/>
  <c r="K261" i="6"/>
  <c r="J261" i="6"/>
  <c r="F261" i="6"/>
  <c r="K260" i="6"/>
  <c r="J260" i="6"/>
  <c r="F260" i="6"/>
  <c r="M259" i="6"/>
  <c r="K259" i="6"/>
  <c r="J259" i="6"/>
  <c r="F259" i="6"/>
  <c r="L259" i="6" s="1"/>
  <c r="M258" i="6"/>
  <c r="L258" i="6"/>
  <c r="K258" i="6"/>
  <c r="J258" i="6"/>
  <c r="F258" i="6"/>
  <c r="K257" i="6"/>
  <c r="J257" i="6"/>
  <c r="F257" i="6"/>
  <c r="M256" i="6"/>
  <c r="L256" i="6"/>
  <c r="K256" i="6"/>
  <c r="J256" i="6"/>
  <c r="F256" i="6"/>
  <c r="L255" i="6"/>
  <c r="K255" i="6"/>
  <c r="J255" i="6"/>
  <c r="F255" i="6"/>
  <c r="M255" i="6" s="1"/>
  <c r="K254" i="6"/>
  <c r="J254" i="6"/>
  <c r="F254" i="6"/>
  <c r="M254" i="6" s="1"/>
  <c r="K253" i="6"/>
  <c r="J253" i="6"/>
  <c r="F253" i="6"/>
  <c r="L252" i="6"/>
  <c r="K252" i="6"/>
  <c r="J252" i="6"/>
  <c r="F252" i="6"/>
  <c r="M252" i="6" s="1"/>
  <c r="M251" i="6"/>
  <c r="K251" i="6"/>
  <c r="J251" i="6"/>
  <c r="F251" i="6"/>
  <c r="L251" i="6" s="1"/>
  <c r="L250" i="6"/>
  <c r="K250" i="6"/>
  <c r="J250" i="6"/>
  <c r="F250" i="6"/>
  <c r="M250" i="6" s="1"/>
  <c r="H249" i="6"/>
  <c r="G249" i="6"/>
  <c r="E249" i="6"/>
  <c r="K248" i="6"/>
  <c r="J248" i="6"/>
  <c r="F248" i="6"/>
  <c r="M247" i="6"/>
  <c r="L247" i="6"/>
  <c r="K247" i="6"/>
  <c r="J247" i="6"/>
  <c r="F247" i="6"/>
  <c r="K246" i="6"/>
  <c r="J246" i="6"/>
  <c r="F246" i="6"/>
  <c r="K245" i="6"/>
  <c r="J245" i="6"/>
  <c r="F245" i="6"/>
  <c r="M245" i="6" s="1"/>
  <c r="L244" i="6"/>
  <c r="K244" i="6"/>
  <c r="J244" i="6"/>
  <c r="F244" i="6"/>
  <c r="M244" i="6" s="1"/>
  <c r="M243" i="6"/>
  <c r="K243" i="6"/>
  <c r="J243" i="6"/>
  <c r="F243" i="6"/>
  <c r="L243" i="6" s="1"/>
  <c r="M242" i="6"/>
  <c r="K242" i="6"/>
  <c r="J242" i="6"/>
  <c r="F242" i="6"/>
  <c r="L242" i="6" s="1"/>
  <c r="L241" i="6"/>
  <c r="K241" i="6"/>
  <c r="J241" i="6"/>
  <c r="F241" i="6"/>
  <c r="M241" i="6" s="1"/>
  <c r="M240" i="6"/>
  <c r="L240" i="6"/>
  <c r="K240" i="6"/>
  <c r="J240" i="6"/>
  <c r="F240" i="6"/>
  <c r="M239" i="6"/>
  <c r="L239" i="6"/>
  <c r="K239" i="6"/>
  <c r="J239" i="6"/>
  <c r="F239" i="6"/>
  <c r="K238" i="6"/>
  <c r="J238" i="6"/>
  <c r="F238" i="6"/>
  <c r="K237" i="6"/>
  <c r="J237" i="6"/>
  <c r="F237" i="6"/>
  <c r="M236" i="6"/>
  <c r="L236" i="6"/>
  <c r="K236" i="6"/>
  <c r="J236" i="6"/>
  <c r="F236" i="6"/>
  <c r="K235" i="6"/>
  <c r="J235" i="6"/>
  <c r="F235" i="6"/>
  <c r="M234" i="6"/>
  <c r="K234" i="6"/>
  <c r="J234" i="6"/>
  <c r="F234" i="6"/>
  <c r="L234" i="6" s="1"/>
  <c r="M233" i="6"/>
  <c r="L233" i="6"/>
  <c r="K233" i="6"/>
  <c r="J233" i="6"/>
  <c r="F233" i="6"/>
  <c r="K232" i="6"/>
  <c r="J232" i="6"/>
  <c r="F232" i="6"/>
  <c r="K231" i="6"/>
  <c r="J231" i="6"/>
  <c r="F231" i="6"/>
  <c r="M230" i="6"/>
  <c r="L230" i="6"/>
  <c r="K230" i="6"/>
  <c r="J230" i="6"/>
  <c r="F230" i="6"/>
  <c r="K229" i="6"/>
  <c r="J229" i="6"/>
  <c r="F229" i="6"/>
  <c r="M229" i="6" s="1"/>
  <c r="M228" i="6"/>
  <c r="L228" i="6"/>
  <c r="K228" i="6"/>
  <c r="J228" i="6"/>
  <c r="F228" i="6"/>
  <c r="K227" i="6"/>
  <c r="J227" i="6"/>
  <c r="F227" i="6"/>
  <c r="M226" i="6"/>
  <c r="K226" i="6"/>
  <c r="J226" i="6"/>
  <c r="F226" i="6"/>
  <c r="L226" i="6" s="1"/>
  <c r="L225" i="6"/>
  <c r="K225" i="6"/>
  <c r="J225" i="6"/>
  <c r="F225" i="6"/>
  <c r="M225" i="6" s="1"/>
  <c r="K224" i="6"/>
  <c r="J224" i="6"/>
  <c r="F224" i="6"/>
  <c r="M224" i="6" s="1"/>
  <c r="M223" i="6"/>
  <c r="L223" i="6"/>
  <c r="K223" i="6"/>
  <c r="J223" i="6"/>
  <c r="F223" i="6"/>
  <c r="K222" i="6"/>
  <c r="J222" i="6"/>
  <c r="F222" i="6"/>
  <c r="L221" i="6"/>
  <c r="K221" i="6"/>
  <c r="J221" i="6"/>
  <c r="F221" i="6"/>
  <c r="M221" i="6" s="1"/>
  <c r="M220" i="6"/>
  <c r="L220" i="6"/>
  <c r="K220" i="6"/>
  <c r="J220" i="6"/>
  <c r="F220" i="6"/>
  <c r="K219" i="6"/>
  <c r="J219" i="6"/>
  <c r="F219" i="6"/>
  <c r="M218" i="6"/>
  <c r="K218" i="6"/>
  <c r="J218" i="6"/>
  <c r="F218" i="6"/>
  <c r="L218" i="6" s="1"/>
  <c r="M217" i="6"/>
  <c r="L217" i="6"/>
  <c r="K217" i="6"/>
  <c r="J217" i="6"/>
  <c r="F217" i="6"/>
  <c r="K216" i="6"/>
  <c r="J216" i="6"/>
  <c r="F216" i="6"/>
  <c r="K215" i="6"/>
  <c r="J215" i="6"/>
  <c r="F215" i="6"/>
  <c r="L214" i="6"/>
  <c r="K214" i="6"/>
  <c r="J214" i="6"/>
  <c r="F214" i="6"/>
  <c r="M214" i="6" s="1"/>
  <c r="K213" i="6"/>
  <c r="J213" i="6"/>
  <c r="F213" i="6"/>
  <c r="M213" i="6" s="1"/>
  <c r="K212" i="6"/>
  <c r="J212" i="6"/>
  <c r="F212" i="6"/>
  <c r="K211" i="6"/>
  <c r="J211" i="6"/>
  <c r="F211" i="6"/>
  <c r="M210" i="6"/>
  <c r="K210" i="6"/>
  <c r="J210" i="6"/>
  <c r="F210" i="6"/>
  <c r="L210" i="6" s="1"/>
  <c r="L209" i="6"/>
  <c r="K209" i="6"/>
  <c r="J209" i="6"/>
  <c r="F209" i="6"/>
  <c r="M209" i="6" s="1"/>
  <c r="M208" i="6"/>
  <c r="L208" i="6"/>
  <c r="K208" i="6"/>
  <c r="J208" i="6"/>
  <c r="F208" i="6"/>
  <c r="M207" i="6"/>
  <c r="L207" i="6"/>
  <c r="K207" i="6"/>
  <c r="J207" i="6"/>
  <c r="F207" i="6"/>
  <c r="M206" i="6"/>
  <c r="K206" i="6"/>
  <c r="J206" i="6"/>
  <c r="F206" i="6"/>
  <c r="L206" i="6" s="1"/>
  <c r="K205" i="6"/>
  <c r="J205" i="6"/>
  <c r="F205" i="6"/>
  <c r="M204" i="6"/>
  <c r="L204" i="6"/>
  <c r="K204" i="6"/>
  <c r="J204" i="6"/>
  <c r="F204" i="6"/>
  <c r="K203" i="6"/>
  <c r="J203" i="6"/>
  <c r="F203" i="6"/>
  <c r="K202" i="6"/>
  <c r="J202" i="6"/>
  <c r="F202" i="6"/>
  <c r="M202" i="6" s="1"/>
  <c r="M201" i="6"/>
  <c r="L201" i="6"/>
  <c r="K201" i="6"/>
  <c r="J201" i="6"/>
  <c r="F201" i="6"/>
  <c r="K200" i="6"/>
  <c r="J200" i="6"/>
  <c r="F200" i="6"/>
  <c r="M199" i="6"/>
  <c r="L199" i="6"/>
  <c r="K199" i="6"/>
  <c r="J199" i="6"/>
  <c r="F199" i="6"/>
  <c r="K198" i="6"/>
  <c r="J198" i="6"/>
  <c r="F198" i="6"/>
  <c r="K197" i="6"/>
  <c r="J197" i="6"/>
  <c r="F197" i="6"/>
  <c r="L196" i="6"/>
  <c r="K196" i="6"/>
  <c r="J196" i="6"/>
  <c r="F196" i="6"/>
  <c r="M196" i="6" s="1"/>
  <c r="M195" i="6"/>
  <c r="K195" i="6"/>
  <c r="J195" i="6"/>
  <c r="F195" i="6"/>
  <c r="L195" i="6" s="1"/>
  <c r="K194" i="6"/>
  <c r="J194" i="6"/>
  <c r="F194" i="6"/>
  <c r="K193" i="6"/>
  <c r="J193" i="6"/>
  <c r="F193" i="6"/>
  <c r="M193" i="6" s="1"/>
  <c r="M192" i="6"/>
  <c r="L192" i="6"/>
  <c r="K192" i="6"/>
  <c r="J192" i="6"/>
  <c r="F192" i="6"/>
  <c r="M191" i="6"/>
  <c r="L191" i="6"/>
  <c r="K191" i="6"/>
  <c r="J191" i="6"/>
  <c r="F191" i="6"/>
  <c r="M190" i="6"/>
  <c r="K190" i="6"/>
  <c r="J190" i="6"/>
  <c r="F190" i="6"/>
  <c r="L190" i="6" s="1"/>
  <c r="M189" i="6"/>
  <c r="L189" i="6"/>
  <c r="K189" i="6"/>
  <c r="J189" i="6"/>
  <c r="F189" i="6"/>
  <c r="K187" i="6"/>
  <c r="J187" i="6"/>
  <c r="F187" i="6"/>
  <c r="K186" i="6"/>
  <c r="J186" i="6"/>
  <c r="F186" i="6"/>
  <c r="M185" i="6"/>
  <c r="L185" i="6"/>
  <c r="K185" i="6"/>
  <c r="J185" i="6"/>
  <c r="F185" i="6"/>
  <c r="M184" i="6"/>
  <c r="L184" i="6"/>
  <c r="K184" i="6"/>
  <c r="J184" i="6"/>
  <c r="F184" i="6"/>
  <c r="M183" i="6"/>
  <c r="L183" i="6"/>
  <c r="K183" i="6"/>
  <c r="J183" i="6"/>
  <c r="F183" i="6"/>
  <c r="M182" i="6"/>
  <c r="L182" i="6"/>
  <c r="K182" i="6"/>
  <c r="J182" i="6"/>
  <c r="F182" i="6"/>
  <c r="M181" i="6"/>
  <c r="L181" i="6"/>
  <c r="K181" i="6"/>
  <c r="J181" i="6"/>
  <c r="F181" i="6"/>
  <c r="K180" i="6"/>
  <c r="K249" i="6" s="1"/>
  <c r="E339" i="6" s="1"/>
  <c r="J180" i="6"/>
  <c r="F180" i="6"/>
  <c r="K179" i="6"/>
  <c r="J179" i="6"/>
  <c r="F179" i="6"/>
  <c r="M178" i="6"/>
  <c r="K178" i="6"/>
  <c r="J178" i="6"/>
  <c r="F178" i="6"/>
  <c r="L178" i="6" s="1"/>
  <c r="K177" i="6"/>
  <c r="J177" i="6"/>
  <c r="F177" i="6"/>
  <c r="L176" i="6"/>
  <c r="K176" i="6"/>
  <c r="J176" i="6"/>
  <c r="F176" i="6"/>
  <c r="M176" i="6" s="1"/>
  <c r="M175" i="6"/>
  <c r="L175" i="6"/>
  <c r="K175" i="6"/>
  <c r="J175" i="6"/>
  <c r="F175" i="6"/>
  <c r="K174" i="6"/>
  <c r="J174" i="6"/>
  <c r="F174" i="6"/>
  <c r="M173" i="6"/>
  <c r="L173" i="6"/>
  <c r="K173" i="6"/>
  <c r="J173" i="6"/>
  <c r="F173" i="6"/>
  <c r="K172" i="6"/>
  <c r="J172" i="6"/>
  <c r="F172" i="6"/>
  <c r="K171" i="6"/>
  <c r="J171" i="6"/>
  <c r="F171" i="6"/>
  <c r="M171" i="6" s="1"/>
  <c r="K170" i="6"/>
  <c r="J170" i="6"/>
  <c r="F170" i="6"/>
  <c r="M170" i="6" s="1"/>
  <c r="L169" i="6"/>
  <c r="K169" i="6"/>
  <c r="J169" i="6"/>
  <c r="F169" i="6"/>
  <c r="M169" i="6" s="1"/>
  <c r="M168" i="6"/>
  <c r="K168" i="6"/>
  <c r="J168" i="6"/>
  <c r="F168" i="6"/>
  <c r="L168" i="6" s="1"/>
  <c r="M167" i="6"/>
  <c r="L167" i="6"/>
  <c r="K167" i="6"/>
  <c r="J167" i="6"/>
  <c r="F167" i="6"/>
  <c r="K166" i="6"/>
  <c r="J166" i="6"/>
  <c r="F166" i="6"/>
  <c r="M165" i="6"/>
  <c r="L165" i="6"/>
  <c r="K165" i="6"/>
  <c r="J165" i="6"/>
  <c r="F165" i="6"/>
  <c r="K164" i="6"/>
  <c r="J164" i="6"/>
  <c r="F164" i="6"/>
  <c r="L163" i="6"/>
  <c r="K163" i="6"/>
  <c r="J163" i="6"/>
  <c r="F163" i="6"/>
  <c r="M163" i="6" s="1"/>
  <c r="M162" i="6"/>
  <c r="L162" i="6"/>
  <c r="K162" i="6"/>
  <c r="J162" i="6"/>
  <c r="F162" i="6"/>
  <c r="I161" i="6"/>
  <c r="H161" i="6"/>
  <c r="G161" i="6"/>
  <c r="E161" i="6"/>
  <c r="D161" i="6"/>
  <c r="C161" i="6"/>
  <c r="M160" i="6"/>
  <c r="L160" i="6"/>
  <c r="K160" i="6"/>
  <c r="J160" i="6"/>
  <c r="F160" i="6"/>
  <c r="K159" i="6"/>
  <c r="J159" i="6"/>
  <c r="F159" i="6"/>
  <c r="M159" i="6" s="1"/>
  <c r="M158" i="6"/>
  <c r="L158" i="6"/>
  <c r="K158" i="6"/>
  <c r="J158" i="6"/>
  <c r="F158" i="6"/>
  <c r="K157" i="6"/>
  <c r="J157" i="6"/>
  <c r="F157" i="6"/>
  <c r="M156" i="6"/>
  <c r="K156" i="6"/>
  <c r="J156" i="6"/>
  <c r="F156" i="6"/>
  <c r="L156" i="6" s="1"/>
  <c r="M155" i="6"/>
  <c r="L155" i="6"/>
  <c r="K155" i="6"/>
  <c r="J155" i="6"/>
  <c r="F155" i="6"/>
  <c r="M154" i="6"/>
  <c r="K154" i="6"/>
  <c r="J154" i="6"/>
  <c r="F154" i="6"/>
  <c r="L154" i="6" s="1"/>
  <c r="M153" i="6"/>
  <c r="L153" i="6"/>
  <c r="K153" i="6"/>
  <c r="J153" i="6"/>
  <c r="F153" i="6"/>
  <c r="K152" i="6"/>
  <c r="J152" i="6"/>
  <c r="F152" i="6"/>
  <c r="K151" i="6"/>
  <c r="J151" i="6"/>
  <c r="F151" i="6"/>
  <c r="M150" i="6"/>
  <c r="L150" i="6"/>
  <c r="K150" i="6"/>
  <c r="J150" i="6"/>
  <c r="F150" i="6"/>
  <c r="I149" i="6"/>
  <c r="H149" i="6"/>
  <c r="G149" i="6"/>
  <c r="K148" i="6"/>
  <c r="J148" i="6"/>
  <c r="F148" i="6"/>
  <c r="M148" i="6" s="1"/>
  <c r="M147" i="6"/>
  <c r="K147" i="6"/>
  <c r="J147" i="6"/>
  <c r="F147" i="6"/>
  <c r="L147" i="6" s="1"/>
  <c r="M146" i="6"/>
  <c r="L146" i="6"/>
  <c r="K146" i="6"/>
  <c r="J146" i="6"/>
  <c r="F146" i="6"/>
  <c r="M145" i="6"/>
  <c r="K145" i="6"/>
  <c r="J145" i="6"/>
  <c r="F145" i="6"/>
  <c r="L145" i="6" s="1"/>
  <c r="M144" i="6"/>
  <c r="L144" i="6"/>
  <c r="K144" i="6"/>
  <c r="J144" i="6"/>
  <c r="F144" i="6"/>
  <c r="K143" i="6"/>
  <c r="J143" i="6"/>
  <c r="F143" i="6"/>
  <c r="K142" i="6"/>
  <c r="J142" i="6"/>
  <c r="F142" i="6"/>
  <c r="M141" i="6"/>
  <c r="L141" i="6"/>
  <c r="K141" i="6"/>
  <c r="J141" i="6"/>
  <c r="F141" i="6"/>
  <c r="K140" i="6"/>
  <c r="J140" i="6"/>
  <c r="F140" i="6"/>
  <c r="K139" i="6"/>
  <c r="J139" i="6"/>
  <c r="F139" i="6"/>
  <c r="L139" i="6" s="1"/>
  <c r="M138" i="6"/>
  <c r="L138" i="6"/>
  <c r="K138" i="6"/>
  <c r="J138" i="6"/>
  <c r="F138" i="6"/>
  <c r="K137" i="6"/>
  <c r="J137" i="6"/>
  <c r="F137" i="6"/>
  <c r="M136" i="6"/>
  <c r="L136" i="6"/>
  <c r="K136" i="6"/>
  <c r="J136" i="6"/>
  <c r="F136" i="6"/>
  <c r="K135" i="6"/>
  <c r="J135" i="6"/>
  <c r="F135" i="6"/>
  <c r="K134" i="6"/>
  <c r="J134" i="6"/>
  <c r="F134" i="6"/>
  <c r="M134" i="6" s="1"/>
  <c r="M133" i="6"/>
  <c r="K133" i="6"/>
  <c r="J133" i="6"/>
  <c r="F133" i="6"/>
  <c r="L133" i="6" s="1"/>
  <c r="K132" i="6"/>
  <c r="J132" i="6"/>
  <c r="F132" i="6"/>
  <c r="M131" i="6"/>
  <c r="K131" i="6"/>
  <c r="J131" i="6"/>
  <c r="F131" i="6"/>
  <c r="L131" i="6" s="1"/>
  <c r="M130" i="6"/>
  <c r="L130" i="6"/>
  <c r="K130" i="6"/>
  <c r="J130" i="6"/>
  <c r="F130" i="6"/>
  <c r="K129" i="6"/>
  <c r="J129" i="6"/>
  <c r="F129" i="6"/>
  <c r="L129" i="6" s="1"/>
  <c r="M128" i="6"/>
  <c r="L128" i="6"/>
  <c r="K128" i="6"/>
  <c r="J128" i="6"/>
  <c r="F128" i="6"/>
  <c r="K127" i="6"/>
  <c r="J127" i="6"/>
  <c r="F127" i="6"/>
  <c r="L126" i="6"/>
  <c r="K126" i="6"/>
  <c r="J126" i="6"/>
  <c r="F126" i="6"/>
  <c r="M126" i="6" s="1"/>
  <c r="M125" i="6"/>
  <c r="L125" i="6"/>
  <c r="K125" i="6"/>
  <c r="J125" i="6"/>
  <c r="F125" i="6"/>
  <c r="K124" i="6"/>
  <c r="J124" i="6"/>
  <c r="F124" i="6"/>
  <c r="K123" i="6"/>
  <c r="J123" i="6"/>
  <c r="F123" i="6"/>
  <c r="M122" i="6"/>
  <c r="L122" i="6"/>
  <c r="K122" i="6"/>
  <c r="J122" i="6"/>
  <c r="F122" i="6"/>
  <c r="K121" i="6"/>
  <c r="J121" i="6"/>
  <c r="F121" i="6"/>
  <c r="M120" i="6"/>
  <c r="L120" i="6"/>
  <c r="K120" i="6"/>
  <c r="J120" i="6"/>
  <c r="F120" i="6"/>
  <c r="L119" i="6"/>
  <c r="K119" i="6"/>
  <c r="J119" i="6"/>
  <c r="F119" i="6"/>
  <c r="M119" i="6" s="1"/>
  <c r="K118" i="6"/>
  <c r="J118" i="6"/>
  <c r="F118" i="6"/>
  <c r="M118" i="6" s="1"/>
  <c r="K117" i="6"/>
  <c r="J117" i="6"/>
  <c r="F117" i="6"/>
  <c r="L116" i="6"/>
  <c r="K116" i="6"/>
  <c r="J116" i="6"/>
  <c r="F116" i="6"/>
  <c r="M116" i="6" s="1"/>
  <c r="M115" i="6"/>
  <c r="K115" i="6"/>
  <c r="J115" i="6"/>
  <c r="F115" i="6"/>
  <c r="L115" i="6" s="1"/>
  <c r="M114" i="6"/>
  <c r="L114" i="6"/>
  <c r="K114" i="6"/>
  <c r="J114" i="6"/>
  <c r="F114" i="6"/>
  <c r="K113" i="6"/>
  <c r="J113" i="6"/>
  <c r="F113" i="6"/>
  <c r="M112" i="6"/>
  <c r="L112" i="6"/>
  <c r="K112" i="6"/>
  <c r="J112" i="6"/>
  <c r="F112" i="6"/>
  <c r="K111" i="6"/>
  <c r="J111" i="6"/>
  <c r="F111" i="6"/>
  <c r="K110" i="6"/>
  <c r="J110" i="6"/>
  <c r="F110" i="6"/>
  <c r="M110" i="6" s="1"/>
  <c r="M109" i="6"/>
  <c r="L109" i="6"/>
  <c r="K109" i="6"/>
  <c r="J109" i="6"/>
  <c r="F109" i="6"/>
  <c r="K108" i="6"/>
  <c r="J108" i="6"/>
  <c r="F108" i="6"/>
  <c r="K107" i="6"/>
  <c r="J107" i="6"/>
  <c r="F107" i="6"/>
  <c r="M106" i="6"/>
  <c r="L106" i="6"/>
  <c r="K106" i="6"/>
  <c r="J106" i="6"/>
  <c r="F106" i="6"/>
  <c r="K105" i="6"/>
  <c r="J105" i="6"/>
  <c r="F105" i="6"/>
  <c r="M104" i="6"/>
  <c r="L104" i="6"/>
  <c r="K104" i="6"/>
  <c r="J104" i="6"/>
  <c r="F104" i="6"/>
  <c r="M103" i="6"/>
  <c r="L103" i="6"/>
  <c r="K103" i="6"/>
  <c r="J103" i="6"/>
  <c r="F103" i="6"/>
  <c r="K102" i="6"/>
  <c r="J102" i="6"/>
  <c r="F102" i="6"/>
  <c r="M102" i="6" s="1"/>
  <c r="M101" i="6"/>
  <c r="K101" i="6"/>
  <c r="J101" i="6"/>
  <c r="F101" i="6"/>
  <c r="L101" i="6" s="1"/>
  <c r="K100" i="6"/>
  <c r="J100" i="6"/>
  <c r="F100" i="6"/>
  <c r="M99" i="6"/>
  <c r="K99" i="6"/>
  <c r="J99" i="6"/>
  <c r="F99" i="6"/>
  <c r="L99" i="6" s="1"/>
  <c r="M98" i="6"/>
  <c r="L98" i="6"/>
  <c r="K98" i="6"/>
  <c r="J98" i="6"/>
  <c r="F98" i="6"/>
  <c r="M97" i="6"/>
  <c r="K97" i="6"/>
  <c r="J97" i="6"/>
  <c r="F97" i="6"/>
  <c r="L97" i="6" s="1"/>
  <c r="M96" i="6"/>
  <c r="L96" i="6"/>
  <c r="K96" i="6"/>
  <c r="J96" i="6"/>
  <c r="F96" i="6"/>
  <c r="K95" i="6"/>
  <c r="J95" i="6"/>
  <c r="F95" i="6"/>
  <c r="K94" i="6"/>
  <c r="J94" i="6"/>
  <c r="F94" i="6"/>
  <c r="M93" i="6"/>
  <c r="L93" i="6"/>
  <c r="K93" i="6"/>
  <c r="J93" i="6"/>
  <c r="F93" i="6"/>
  <c r="K92" i="6"/>
  <c r="J92" i="6"/>
  <c r="F92" i="6"/>
  <c r="M91" i="6"/>
  <c r="K91" i="6"/>
  <c r="J91" i="6"/>
  <c r="F91" i="6"/>
  <c r="L91" i="6" s="1"/>
  <c r="M90" i="6"/>
  <c r="L90" i="6"/>
  <c r="K90" i="6"/>
  <c r="J90" i="6"/>
  <c r="F90" i="6"/>
  <c r="I89" i="6"/>
  <c r="H89" i="6"/>
  <c r="G89" i="6"/>
  <c r="K88" i="6"/>
  <c r="J88" i="6"/>
  <c r="F88" i="6"/>
  <c r="M87" i="6"/>
  <c r="L87" i="6"/>
  <c r="K87" i="6"/>
  <c r="J87" i="6"/>
  <c r="F87" i="6"/>
  <c r="K86" i="6"/>
  <c r="J86" i="6"/>
  <c r="F86" i="6"/>
  <c r="L85" i="6"/>
  <c r="K85" i="6"/>
  <c r="J85" i="6"/>
  <c r="F85" i="6"/>
  <c r="M85" i="6" s="1"/>
  <c r="M84" i="6"/>
  <c r="L84" i="6"/>
  <c r="K84" i="6"/>
  <c r="J84" i="6"/>
  <c r="F84" i="6"/>
  <c r="K83" i="6"/>
  <c r="J83" i="6"/>
  <c r="F83" i="6"/>
  <c r="K82" i="6"/>
  <c r="J82" i="6"/>
  <c r="F82" i="6"/>
  <c r="C82" i="6"/>
  <c r="M81" i="6"/>
  <c r="L81" i="6"/>
  <c r="K81" i="6"/>
  <c r="J81" i="6"/>
  <c r="F81" i="6"/>
  <c r="K80" i="6"/>
  <c r="J80" i="6"/>
  <c r="F80" i="6"/>
  <c r="K79" i="6"/>
  <c r="J79" i="6"/>
  <c r="F79" i="6"/>
  <c r="L79" i="6" s="1"/>
  <c r="M78" i="6"/>
  <c r="L78" i="6"/>
  <c r="K78" i="6"/>
  <c r="J78" i="6"/>
  <c r="F78" i="6"/>
  <c r="K77" i="6"/>
  <c r="J77" i="6"/>
  <c r="F77" i="6"/>
  <c r="C77" i="6"/>
  <c r="M76" i="6"/>
  <c r="K76" i="6"/>
  <c r="J76" i="6"/>
  <c r="F76" i="6"/>
  <c r="L76" i="6" s="1"/>
  <c r="M75" i="6"/>
  <c r="L75" i="6"/>
  <c r="K75" i="6"/>
  <c r="J75" i="6"/>
  <c r="F75" i="6"/>
  <c r="K74" i="6"/>
  <c r="J74" i="6"/>
  <c r="F74" i="6"/>
  <c r="M73" i="6"/>
  <c r="L73" i="6"/>
  <c r="K73" i="6"/>
  <c r="J73" i="6"/>
  <c r="F73" i="6"/>
  <c r="M72" i="6"/>
  <c r="L72" i="6"/>
  <c r="K72" i="6"/>
  <c r="J72" i="6"/>
  <c r="F72" i="6"/>
  <c r="K71" i="6"/>
  <c r="J71" i="6"/>
  <c r="C71" i="6"/>
  <c r="F71" i="6" s="1"/>
  <c r="M70" i="6"/>
  <c r="L70" i="6"/>
  <c r="K70" i="6"/>
  <c r="J70" i="6"/>
  <c r="F70" i="6"/>
  <c r="K69" i="6"/>
  <c r="J69" i="6"/>
  <c r="F69" i="6"/>
  <c r="K68" i="6"/>
  <c r="J68" i="6"/>
  <c r="F68" i="6"/>
  <c r="M68" i="6" s="1"/>
  <c r="K67" i="6"/>
  <c r="J67" i="6"/>
  <c r="F67" i="6"/>
  <c r="K66" i="6"/>
  <c r="J66" i="6"/>
  <c r="F66" i="6"/>
  <c r="M65" i="6"/>
  <c r="K65" i="6"/>
  <c r="J65" i="6"/>
  <c r="F65" i="6"/>
  <c r="L65" i="6" s="1"/>
  <c r="M64" i="6"/>
  <c r="L64" i="6"/>
  <c r="K64" i="6"/>
  <c r="J64" i="6"/>
  <c r="F64" i="6"/>
  <c r="M63" i="6"/>
  <c r="K63" i="6"/>
  <c r="J63" i="6"/>
  <c r="F63" i="6"/>
  <c r="M62" i="6"/>
  <c r="L62" i="6"/>
  <c r="K62" i="6"/>
  <c r="J62" i="6"/>
  <c r="F62" i="6"/>
  <c r="I61" i="6"/>
  <c r="H61" i="6"/>
  <c r="G61" i="6"/>
  <c r="K60" i="6"/>
  <c r="J60" i="6"/>
  <c r="F60" i="6"/>
  <c r="K59" i="6"/>
  <c r="J59" i="6"/>
  <c r="F59" i="6"/>
  <c r="M59" i="6" s="1"/>
  <c r="M58" i="6"/>
  <c r="L58" i="6"/>
  <c r="K58" i="6"/>
  <c r="J58" i="6"/>
  <c r="F58" i="6"/>
  <c r="K57" i="6"/>
  <c r="J57" i="6"/>
  <c r="F57" i="6"/>
  <c r="M57" i="6" s="1"/>
  <c r="M56" i="6"/>
  <c r="K56" i="6"/>
  <c r="J56" i="6"/>
  <c r="F56" i="6"/>
  <c r="L56" i="6" s="1"/>
  <c r="K54" i="6"/>
  <c r="J54" i="6"/>
  <c r="C54" i="6"/>
  <c r="F54" i="6" s="1"/>
  <c r="K53" i="6"/>
  <c r="J53" i="6"/>
  <c r="F53" i="6"/>
  <c r="M53" i="6" s="1"/>
  <c r="C53" i="6"/>
  <c r="K52" i="6"/>
  <c r="J52" i="6"/>
  <c r="F52" i="6"/>
  <c r="M52" i="6" s="1"/>
  <c r="M51" i="6"/>
  <c r="L51" i="6"/>
  <c r="K51" i="6"/>
  <c r="J51" i="6"/>
  <c r="F51" i="6"/>
  <c r="K50" i="6"/>
  <c r="J50" i="6"/>
  <c r="F50" i="6"/>
  <c r="M49" i="6"/>
  <c r="K49" i="6"/>
  <c r="J49" i="6"/>
  <c r="F49" i="6"/>
  <c r="L49" i="6" s="1"/>
  <c r="M48" i="6"/>
  <c r="L48" i="6"/>
  <c r="K48" i="6"/>
  <c r="J48" i="6"/>
  <c r="F48" i="6"/>
  <c r="M47" i="6"/>
  <c r="K47" i="6"/>
  <c r="J47" i="6"/>
  <c r="F47" i="6"/>
  <c r="L47" i="6" s="1"/>
  <c r="M46" i="6"/>
  <c r="L46" i="6"/>
  <c r="K46" i="6"/>
  <c r="J46" i="6"/>
  <c r="F46" i="6"/>
  <c r="K45" i="6"/>
  <c r="J45" i="6"/>
  <c r="F45" i="6"/>
  <c r="K44" i="6"/>
  <c r="J44" i="6"/>
  <c r="F44" i="6"/>
  <c r="C44" i="6"/>
  <c r="M43" i="6"/>
  <c r="L43" i="6"/>
  <c r="K43" i="6"/>
  <c r="J43" i="6"/>
  <c r="F43" i="6"/>
  <c r="K42" i="6"/>
  <c r="J42" i="6"/>
  <c r="F42" i="6"/>
  <c r="C42" i="6"/>
  <c r="K41" i="6"/>
  <c r="J41" i="6"/>
  <c r="F41" i="6"/>
  <c r="L41" i="6" s="1"/>
  <c r="M40" i="6"/>
  <c r="L40" i="6"/>
  <c r="K40" i="6"/>
  <c r="J40" i="6"/>
  <c r="F40" i="6"/>
  <c r="K39" i="6"/>
  <c r="J39" i="6"/>
  <c r="F39" i="6"/>
  <c r="K38" i="6"/>
  <c r="J38" i="6"/>
  <c r="F38" i="6"/>
  <c r="M38" i="6" s="1"/>
  <c r="C38" i="6"/>
  <c r="M37" i="6"/>
  <c r="L37" i="6"/>
  <c r="K37" i="6"/>
  <c r="J37" i="6"/>
  <c r="F37" i="6"/>
  <c r="K36" i="6"/>
  <c r="J36" i="6"/>
  <c r="F36" i="6"/>
  <c r="K35" i="6"/>
  <c r="J35" i="6"/>
  <c r="F35" i="6"/>
  <c r="M34" i="6"/>
  <c r="L34" i="6"/>
  <c r="K34" i="6"/>
  <c r="J34" i="6"/>
  <c r="F34" i="6"/>
  <c r="K33" i="6"/>
  <c r="J33" i="6"/>
  <c r="F33" i="6"/>
  <c r="M32" i="6"/>
  <c r="K32" i="6"/>
  <c r="J32" i="6"/>
  <c r="F32" i="6"/>
  <c r="L32" i="6" s="1"/>
  <c r="M31" i="6"/>
  <c r="L31" i="6"/>
  <c r="K31" i="6"/>
  <c r="J31" i="6"/>
  <c r="F31" i="6"/>
  <c r="K30" i="6"/>
  <c r="J30" i="6"/>
  <c r="F30" i="6"/>
  <c r="C30" i="6"/>
  <c r="K29" i="6"/>
  <c r="J29" i="6"/>
  <c r="F29" i="6"/>
  <c r="M28" i="6"/>
  <c r="L28" i="6"/>
  <c r="K28" i="6"/>
  <c r="J28" i="6"/>
  <c r="F28" i="6"/>
  <c r="K27" i="6"/>
  <c r="J27" i="6"/>
  <c r="F27" i="6"/>
  <c r="M26" i="6"/>
  <c r="L26" i="6"/>
  <c r="K26" i="6"/>
  <c r="J26" i="6"/>
  <c r="F26" i="6"/>
  <c r="K25" i="6"/>
  <c r="J25" i="6"/>
  <c r="F25" i="6"/>
  <c r="K24" i="6"/>
  <c r="J24" i="6"/>
  <c r="C24" i="6"/>
  <c r="F24" i="6" s="1"/>
  <c r="M23" i="6"/>
  <c r="L23" i="6"/>
  <c r="K23" i="6"/>
  <c r="J23" i="6"/>
  <c r="F23" i="6"/>
  <c r="F61" i="6" s="1"/>
  <c r="I22" i="6"/>
  <c r="H22" i="6"/>
  <c r="G22" i="6"/>
  <c r="E22" i="6"/>
  <c r="D22" i="6"/>
  <c r="M21" i="6"/>
  <c r="L21" i="6"/>
  <c r="K21" i="6"/>
  <c r="J21" i="6"/>
  <c r="F21" i="6"/>
  <c r="M20" i="6"/>
  <c r="K20" i="6"/>
  <c r="J20" i="6"/>
  <c r="F20" i="6"/>
  <c r="L20" i="6" s="1"/>
  <c r="K19" i="6"/>
  <c r="J19" i="6"/>
  <c r="C19" i="6"/>
  <c r="F19" i="6" s="1"/>
  <c r="K18" i="6"/>
  <c r="J18" i="6"/>
  <c r="C18" i="6"/>
  <c r="M17" i="6"/>
  <c r="L17" i="6"/>
  <c r="K17" i="6"/>
  <c r="J17" i="6"/>
  <c r="F17" i="6"/>
  <c r="K16" i="6"/>
  <c r="J16" i="6"/>
  <c r="F16" i="6"/>
  <c r="M15" i="6"/>
  <c r="L15" i="6"/>
  <c r="K15" i="6"/>
  <c r="J15" i="6"/>
  <c r="F15" i="6"/>
  <c r="M14" i="6"/>
  <c r="K14" i="6"/>
  <c r="J14" i="6"/>
  <c r="F14" i="6"/>
  <c r="L14" i="6" s="1"/>
  <c r="K13" i="6"/>
  <c r="J13" i="6"/>
  <c r="F13" i="6"/>
  <c r="M13" i="6" s="1"/>
  <c r="K12" i="6"/>
  <c r="J12" i="6"/>
  <c r="F12" i="6"/>
  <c r="L11" i="6"/>
  <c r="K11" i="6"/>
  <c r="J11" i="6"/>
  <c r="F11" i="6"/>
  <c r="M11" i="6" s="1"/>
  <c r="M10" i="6"/>
  <c r="K10" i="6"/>
  <c r="J10" i="6"/>
  <c r="F10" i="6"/>
  <c r="L10" i="6" s="1"/>
  <c r="L9" i="6"/>
  <c r="K9" i="6"/>
  <c r="J9" i="6"/>
  <c r="C9" i="6"/>
  <c r="F9" i="6" s="1"/>
  <c r="M9" i="6" s="1"/>
  <c r="K8" i="6"/>
  <c r="J8" i="6"/>
  <c r="F8" i="6"/>
  <c r="K7" i="6"/>
  <c r="J7" i="6"/>
  <c r="C7" i="6"/>
  <c r="F7" i="6" s="1"/>
  <c r="K6" i="6"/>
  <c r="J6" i="6"/>
  <c r="F6" i="6"/>
  <c r="L5" i="6"/>
  <c r="K5" i="6"/>
  <c r="J5" i="6"/>
  <c r="F5" i="6"/>
  <c r="M5" i="6" s="1"/>
  <c r="M4" i="6"/>
  <c r="K4" i="6"/>
  <c r="J4" i="6"/>
  <c r="F4" i="6"/>
  <c r="L4" i="6" s="1"/>
  <c r="L3" i="6"/>
  <c r="K3" i="6"/>
  <c r="J3" i="6"/>
  <c r="C3" i="6"/>
  <c r="F3" i="6" s="1"/>
  <c r="H576" i="5"/>
  <c r="I575" i="5"/>
  <c r="H575" i="5"/>
  <c r="E575" i="5"/>
  <c r="D575" i="5"/>
  <c r="D576" i="5" s="1"/>
  <c r="C575" i="5"/>
  <c r="L574" i="5"/>
  <c r="K574" i="5"/>
  <c r="J574" i="5"/>
  <c r="F574" i="5"/>
  <c r="F573" i="5"/>
  <c r="K572" i="5"/>
  <c r="J572" i="5"/>
  <c r="F572" i="5"/>
  <c r="L572" i="5" s="1"/>
  <c r="L571" i="5"/>
  <c r="K571" i="5"/>
  <c r="J571" i="5"/>
  <c r="F571" i="5"/>
  <c r="K570" i="5"/>
  <c r="J570" i="5"/>
  <c r="F570" i="5"/>
  <c r="L570" i="5" s="1"/>
  <c r="L569" i="5"/>
  <c r="K569" i="5"/>
  <c r="J569" i="5"/>
  <c r="F569" i="5"/>
  <c r="K568" i="5"/>
  <c r="J568" i="5"/>
  <c r="F568" i="5"/>
  <c r="L568" i="5" s="1"/>
  <c r="L567" i="5"/>
  <c r="K567" i="5"/>
  <c r="J567" i="5"/>
  <c r="F567" i="5"/>
  <c r="K566" i="5"/>
  <c r="J566" i="5"/>
  <c r="F566" i="5"/>
  <c r="L566" i="5" s="1"/>
  <c r="L565" i="5"/>
  <c r="K565" i="5"/>
  <c r="J565" i="5"/>
  <c r="F565" i="5"/>
  <c r="K564" i="5"/>
  <c r="J564" i="5"/>
  <c r="F564" i="5"/>
  <c r="L564" i="5" s="1"/>
  <c r="K563" i="5"/>
  <c r="J563" i="5"/>
  <c r="F563" i="5"/>
  <c r="L563" i="5" s="1"/>
  <c r="K562" i="5"/>
  <c r="J562" i="5"/>
  <c r="F562" i="5"/>
  <c r="L562" i="5" s="1"/>
  <c r="L561" i="5"/>
  <c r="K561" i="5"/>
  <c r="J561" i="5"/>
  <c r="F561" i="5"/>
  <c r="K560" i="5"/>
  <c r="J560" i="5"/>
  <c r="F560" i="5"/>
  <c r="L560" i="5" s="1"/>
  <c r="K559" i="5"/>
  <c r="J559" i="5"/>
  <c r="F559" i="5"/>
  <c r="L559" i="5" s="1"/>
  <c r="K558" i="5"/>
  <c r="J558" i="5"/>
  <c r="F558" i="5"/>
  <c r="L558" i="5" s="1"/>
  <c r="L557" i="5"/>
  <c r="K557" i="5"/>
  <c r="J557" i="5"/>
  <c r="F557" i="5"/>
  <c r="K556" i="5"/>
  <c r="J556" i="5"/>
  <c r="F556" i="5"/>
  <c r="L556" i="5" s="1"/>
  <c r="L555" i="5"/>
  <c r="K555" i="5"/>
  <c r="J555" i="5"/>
  <c r="F555" i="5"/>
  <c r="K554" i="5"/>
  <c r="J554" i="5"/>
  <c r="F554" i="5"/>
  <c r="L554" i="5" s="1"/>
  <c r="L553" i="5"/>
  <c r="K553" i="5"/>
  <c r="J553" i="5"/>
  <c r="F553" i="5"/>
  <c r="K552" i="5"/>
  <c r="J552" i="5"/>
  <c r="F552" i="5"/>
  <c r="L552" i="5" s="1"/>
  <c r="L551" i="5"/>
  <c r="K551" i="5"/>
  <c r="J551" i="5"/>
  <c r="F551" i="5"/>
  <c r="K550" i="5"/>
  <c r="J550" i="5"/>
  <c r="F550" i="5"/>
  <c r="L550" i="5" s="1"/>
  <c r="L549" i="5"/>
  <c r="K549" i="5"/>
  <c r="J549" i="5"/>
  <c r="F549" i="5"/>
  <c r="K548" i="5"/>
  <c r="J548" i="5"/>
  <c r="F548" i="5"/>
  <c r="L548" i="5" s="1"/>
  <c r="K547" i="5"/>
  <c r="J547" i="5"/>
  <c r="F547" i="5"/>
  <c r="L547" i="5" s="1"/>
  <c r="K546" i="5"/>
  <c r="J546" i="5"/>
  <c r="F546" i="5"/>
  <c r="L546" i="5" s="1"/>
  <c r="L545" i="5"/>
  <c r="K545" i="5"/>
  <c r="J545" i="5"/>
  <c r="F545" i="5"/>
  <c r="M544" i="5"/>
  <c r="K544" i="5"/>
  <c r="J544" i="5"/>
  <c r="F544" i="5"/>
  <c r="L544" i="5" s="1"/>
  <c r="L543" i="5"/>
  <c r="K543" i="5"/>
  <c r="J543" i="5"/>
  <c r="F543" i="5"/>
  <c r="K542" i="5"/>
  <c r="J542" i="5"/>
  <c r="F542" i="5"/>
  <c r="L542" i="5" s="1"/>
  <c r="L541" i="5"/>
  <c r="K541" i="5"/>
  <c r="J541" i="5"/>
  <c r="F541" i="5"/>
  <c r="K540" i="5"/>
  <c r="J540" i="5"/>
  <c r="F540" i="5"/>
  <c r="L540" i="5" s="1"/>
  <c r="L539" i="5"/>
  <c r="K539" i="5"/>
  <c r="J539" i="5"/>
  <c r="F539" i="5"/>
  <c r="L538" i="5"/>
  <c r="K538" i="5"/>
  <c r="J538" i="5"/>
  <c r="F538" i="5"/>
  <c r="L537" i="5"/>
  <c r="K537" i="5"/>
  <c r="J537" i="5"/>
  <c r="F537" i="5"/>
  <c r="K536" i="5"/>
  <c r="J536" i="5"/>
  <c r="F536" i="5"/>
  <c r="L536" i="5" s="1"/>
  <c r="L535" i="5"/>
  <c r="K535" i="5"/>
  <c r="J535" i="5"/>
  <c r="F535" i="5"/>
  <c r="K534" i="5"/>
  <c r="J534" i="5"/>
  <c r="F534" i="5"/>
  <c r="L534" i="5" s="1"/>
  <c r="L533" i="5"/>
  <c r="K533" i="5"/>
  <c r="J533" i="5"/>
  <c r="F533" i="5"/>
  <c r="K532" i="5"/>
  <c r="J532" i="5"/>
  <c r="F532" i="5"/>
  <c r="L532" i="5" s="1"/>
  <c r="L531" i="5"/>
  <c r="K531" i="5"/>
  <c r="J531" i="5"/>
  <c r="F531" i="5"/>
  <c r="K530" i="5"/>
  <c r="J530" i="5"/>
  <c r="F530" i="5"/>
  <c r="L530" i="5" s="1"/>
  <c r="L529" i="5"/>
  <c r="K529" i="5"/>
  <c r="J529" i="5"/>
  <c r="F529" i="5"/>
  <c r="K528" i="5"/>
  <c r="J528" i="5"/>
  <c r="F528" i="5"/>
  <c r="L528" i="5" s="1"/>
  <c r="L527" i="5"/>
  <c r="K527" i="5"/>
  <c r="J527" i="5"/>
  <c r="F527" i="5"/>
  <c r="K526" i="5"/>
  <c r="J526" i="5"/>
  <c r="F526" i="5"/>
  <c r="L526" i="5" s="1"/>
  <c r="L525" i="5"/>
  <c r="K525" i="5"/>
  <c r="J525" i="5"/>
  <c r="G525" i="5"/>
  <c r="F525" i="5"/>
  <c r="K524" i="5"/>
  <c r="J524" i="5"/>
  <c r="F524" i="5"/>
  <c r="L524" i="5" s="1"/>
  <c r="K523" i="5"/>
  <c r="J523" i="5"/>
  <c r="F523" i="5"/>
  <c r="L523" i="5" s="1"/>
  <c r="K522" i="5"/>
  <c r="J522" i="5"/>
  <c r="F522" i="5"/>
  <c r="L522" i="5" s="1"/>
  <c r="K521" i="5"/>
  <c r="J521" i="5"/>
  <c r="F521" i="5"/>
  <c r="L521" i="5" s="1"/>
  <c r="K520" i="5"/>
  <c r="J520" i="5"/>
  <c r="F520" i="5"/>
  <c r="L520" i="5" s="1"/>
  <c r="K519" i="5"/>
  <c r="J519" i="5"/>
  <c r="F519" i="5"/>
  <c r="L519" i="5" s="1"/>
  <c r="L518" i="5"/>
  <c r="K518" i="5"/>
  <c r="J518" i="5"/>
  <c r="F518" i="5"/>
  <c r="K517" i="5"/>
  <c r="J517" i="5"/>
  <c r="F517" i="5"/>
  <c r="L517" i="5" s="1"/>
  <c r="K516" i="5"/>
  <c r="J516" i="5"/>
  <c r="F516" i="5"/>
  <c r="L516" i="5" s="1"/>
  <c r="K515" i="5"/>
  <c r="J515" i="5"/>
  <c r="F515" i="5"/>
  <c r="L515" i="5" s="1"/>
  <c r="K514" i="5"/>
  <c r="J514" i="5"/>
  <c r="F514" i="5"/>
  <c r="L514" i="5" s="1"/>
  <c r="K513" i="5"/>
  <c r="J513" i="5"/>
  <c r="F513" i="5"/>
  <c r="L513" i="5" s="1"/>
  <c r="K512" i="5"/>
  <c r="J512" i="5"/>
  <c r="F512" i="5"/>
  <c r="L512" i="5" s="1"/>
  <c r="K511" i="5"/>
  <c r="J511" i="5"/>
  <c r="F511" i="5"/>
  <c r="L511" i="5" s="1"/>
  <c r="K510" i="5"/>
  <c r="J510" i="5"/>
  <c r="F510" i="5"/>
  <c r="L510" i="5" s="1"/>
  <c r="K509" i="5"/>
  <c r="J509" i="5"/>
  <c r="F509" i="5"/>
  <c r="L509" i="5" s="1"/>
  <c r="K508" i="5"/>
  <c r="J508" i="5"/>
  <c r="F508" i="5"/>
  <c r="L508" i="5" s="1"/>
  <c r="K507" i="5"/>
  <c r="J507" i="5"/>
  <c r="F507" i="5"/>
  <c r="L507" i="5" s="1"/>
  <c r="L506" i="5"/>
  <c r="K506" i="5"/>
  <c r="J506" i="5"/>
  <c r="F506" i="5"/>
  <c r="K505" i="5"/>
  <c r="J505" i="5"/>
  <c r="F505" i="5"/>
  <c r="L505" i="5" s="1"/>
  <c r="K504" i="5"/>
  <c r="J504" i="5"/>
  <c r="F504" i="5"/>
  <c r="L504" i="5" s="1"/>
  <c r="K503" i="5"/>
  <c r="J503" i="5"/>
  <c r="F503" i="5"/>
  <c r="L503" i="5" s="1"/>
  <c r="K502" i="5"/>
  <c r="J502" i="5"/>
  <c r="F502" i="5"/>
  <c r="L502" i="5" s="1"/>
  <c r="K501" i="5"/>
  <c r="J501" i="5"/>
  <c r="F501" i="5"/>
  <c r="L501" i="5" s="1"/>
  <c r="K500" i="5"/>
  <c r="J500" i="5"/>
  <c r="F500" i="5"/>
  <c r="L500" i="5" s="1"/>
  <c r="K499" i="5"/>
  <c r="J499" i="5"/>
  <c r="G499" i="5"/>
  <c r="F499" i="5"/>
  <c r="L498" i="5"/>
  <c r="K498" i="5"/>
  <c r="J498" i="5"/>
  <c r="F498" i="5"/>
  <c r="K497" i="5"/>
  <c r="J497" i="5"/>
  <c r="F497" i="5"/>
  <c r="L497" i="5" s="1"/>
  <c r="L496" i="5"/>
  <c r="K496" i="5"/>
  <c r="J496" i="5"/>
  <c r="F496" i="5"/>
  <c r="L495" i="5"/>
  <c r="K495" i="5"/>
  <c r="J495" i="5"/>
  <c r="F495" i="5"/>
  <c r="L494" i="5"/>
  <c r="K494" i="5"/>
  <c r="J494" i="5"/>
  <c r="F494" i="5"/>
  <c r="K493" i="5"/>
  <c r="J493" i="5"/>
  <c r="F493" i="5"/>
  <c r="L493" i="5" s="1"/>
  <c r="L492" i="5"/>
  <c r="K492" i="5"/>
  <c r="J492" i="5"/>
  <c r="F492" i="5"/>
  <c r="K491" i="5"/>
  <c r="J491" i="5"/>
  <c r="F491" i="5"/>
  <c r="L491" i="5" s="1"/>
  <c r="L490" i="5"/>
  <c r="K490" i="5"/>
  <c r="J490" i="5"/>
  <c r="F490" i="5"/>
  <c r="K489" i="5"/>
  <c r="J489" i="5"/>
  <c r="F489" i="5"/>
  <c r="L489" i="5" s="1"/>
  <c r="L488" i="5"/>
  <c r="K488" i="5"/>
  <c r="J488" i="5"/>
  <c r="F488" i="5"/>
  <c r="L487" i="5"/>
  <c r="K487" i="5"/>
  <c r="J487" i="5"/>
  <c r="F487" i="5"/>
  <c r="L486" i="5"/>
  <c r="K486" i="5"/>
  <c r="J486" i="5"/>
  <c r="F486" i="5"/>
  <c r="K485" i="5"/>
  <c r="J485" i="5"/>
  <c r="F485" i="5"/>
  <c r="L485" i="5" s="1"/>
  <c r="L484" i="5"/>
  <c r="K484" i="5"/>
  <c r="J484" i="5"/>
  <c r="F484" i="5"/>
  <c r="K483" i="5"/>
  <c r="J483" i="5"/>
  <c r="F483" i="5"/>
  <c r="L483" i="5" s="1"/>
  <c r="L482" i="5"/>
  <c r="K482" i="5"/>
  <c r="J482" i="5"/>
  <c r="F482" i="5"/>
  <c r="K481" i="5"/>
  <c r="J481" i="5"/>
  <c r="F481" i="5"/>
  <c r="L481" i="5" s="1"/>
  <c r="L480" i="5"/>
  <c r="K480" i="5"/>
  <c r="J480" i="5"/>
  <c r="F480" i="5"/>
  <c r="L479" i="5"/>
  <c r="K479" i="5"/>
  <c r="J479" i="5"/>
  <c r="F479" i="5"/>
  <c r="L478" i="5"/>
  <c r="K478" i="5"/>
  <c r="J478" i="5"/>
  <c r="F478" i="5"/>
  <c r="K477" i="5"/>
  <c r="J477" i="5"/>
  <c r="F477" i="5"/>
  <c r="L477" i="5" s="1"/>
  <c r="L476" i="5"/>
  <c r="K476" i="5"/>
  <c r="J476" i="5"/>
  <c r="F476" i="5"/>
  <c r="K475" i="5"/>
  <c r="J475" i="5"/>
  <c r="F475" i="5"/>
  <c r="L475" i="5" s="1"/>
  <c r="L474" i="5"/>
  <c r="K474" i="5"/>
  <c r="J474" i="5"/>
  <c r="F474" i="5"/>
  <c r="K473" i="5"/>
  <c r="J473" i="5"/>
  <c r="F473" i="5"/>
  <c r="L473" i="5" s="1"/>
  <c r="L472" i="5"/>
  <c r="K472" i="5"/>
  <c r="J472" i="5"/>
  <c r="F472" i="5"/>
  <c r="L471" i="5"/>
  <c r="K471" i="5"/>
  <c r="J471" i="5"/>
  <c r="F471" i="5"/>
  <c r="L470" i="5"/>
  <c r="K470" i="5"/>
  <c r="J470" i="5"/>
  <c r="F470" i="5"/>
  <c r="K469" i="5"/>
  <c r="J469" i="5"/>
  <c r="F469" i="5"/>
  <c r="L469" i="5" s="1"/>
  <c r="L468" i="5"/>
  <c r="K468" i="5"/>
  <c r="J468" i="5"/>
  <c r="F468" i="5"/>
  <c r="K467" i="5"/>
  <c r="J467" i="5"/>
  <c r="F467" i="5"/>
  <c r="L466" i="5"/>
  <c r="K466" i="5"/>
  <c r="J466" i="5"/>
  <c r="F466" i="5"/>
  <c r="I465" i="5"/>
  <c r="H465" i="5"/>
  <c r="G465" i="5"/>
  <c r="E465" i="5"/>
  <c r="D465" i="5"/>
  <c r="C465" i="5"/>
  <c r="K464" i="5"/>
  <c r="J464" i="5"/>
  <c r="F464" i="5"/>
  <c r="L464" i="5" s="1"/>
  <c r="L463" i="5"/>
  <c r="K463" i="5"/>
  <c r="J463" i="5"/>
  <c r="F463" i="5"/>
  <c r="K462" i="5"/>
  <c r="J462" i="5"/>
  <c r="F462" i="5"/>
  <c r="L462" i="5" s="1"/>
  <c r="L461" i="5"/>
  <c r="K461" i="5"/>
  <c r="J461" i="5"/>
  <c r="F461" i="5"/>
  <c r="K460" i="5"/>
  <c r="J460" i="5"/>
  <c r="F460" i="5"/>
  <c r="L460" i="5" s="1"/>
  <c r="L459" i="5"/>
  <c r="K459" i="5"/>
  <c r="J459" i="5"/>
  <c r="F459" i="5"/>
  <c r="K458" i="5"/>
  <c r="J458" i="5"/>
  <c r="F458" i="5"/>
  <c r="L458" i="5" s="1"/>
  <c r="L457" i="5"/>
  <c r="K457" i="5"/>
  <c r="J457" i="5"/>
  <c r="F457" i="5"/>
  <c r="K456" i="5"/>
  <c r="J456" i="5"/>
  <c r="F456" i="5"/>
  <c r="L456" i="5" s="1"/>
  <c r="L455" i="5"/>
  <c r="K455" i="5"/>
  <c r="J455" i="5"/>
  <c r="F455" i="5"/>
  <c r="K454" i="5"/>
  <c r="J454" i="5"/>
  <c r="F454" i="5"/>
  <c r="L454" i="5" s="1"/>
  <c r="L453" i="5"/>
  <c r="K453" i="5"/>
  <c r="J453" i="5"/>
  <c r="F453" i="5"/>
  <c r="K452" i="5"/>
  <c r="J452" i="5"/>
  <c r="F452" i="5"/>
  <c r="L452" i="5" s="1"/>
  <c r="L451" i="5"/>
  <c r="K451" i="5"/>
  <c r="J451" i="5"/>
  <c r="F451" i="5"/>
  <c r="K450" i="5"/>
  <c r="J450" i="5"/>
  <c r="F450" i="5"/>
  <c r="L450" i="5" s="1"/>
  <c r="L449" i="5"/>
  <c r="K449" i="5"/>
  <c r="J449" i="5"/>
  <c r="F449" i="5"/>
  <c r="L448" i="5"/>
  <c r="K448" i="5"/>
  <c r="J448" i="5"/>
  <c r="F448" i="5"/>
  <c r="L447" i="5"/>
  <c r="K447" i="5"/>
  <c r="J447" i="5"/>
  <c r="F447" i="5"/>
  <c r="K446" i="5"/>
  <c r="J446" i="5"/>
  <c r="F446" i="5"/>
  <c r="L446" i="5" s="1"/>
  <c r="L445" i="5"/>
  <c r="K445" i="5"/>
  <c r="J445" i="5"/>
  <c r="F445" i="5"/>
  <c r="L444" i="5"/>
  <c r="K444" i="5"/>
  <c r="J444" i="5"/>
  <c r="F444" i="5"/>
  <c r="L443" i="5"/>
  <c r="K443" i="5"/>
  <c r="J443" i="5"/>
  <c r="F443" i="5"/>
  <c r="K442" i="5"/>
  <c r="J442" i="5"/>
  <c r="F442" i="5"/>
  <c r="L442" i="5" s="1"/>
  <c r="L441" i="5"/>
  <c r="K441" i="5"/>
  <c r="J441" i="5"/>
  <c r="F441" i="5"/>
  <c r="L440" i="5"/>
  <c r="K440" i="5"/>
  <c r="J440" i="5"/>
  <c r="F440" i="5"/>
  <c r="L439" i="5"/>
  <c r="K439" i="5"/>
  <c r="J439" i="5"/>
  <c r="F439" i="5"/>
  <c r="K438" i="5"/>
  <c r="J438" i="5"/>
  <c r="F438" i="5"/>
  <c r="L437" i="5"/>
  <c r="K437" i="5"/>
  <c r="J437" i="5"/>
  <c r="F437" i="5"/>
  <c r="I436" i="5"/>
  <c r="I576" i="5" s="1"/>
  <c r="H436" i="5"/>
  <c r="G436" i="5"/>
  <c r="E436" i="5"/>
  <c r="D436" i="5"/>
  <c r="C436" i="5"/>
  <c r="L435" i="5"/>
  <c r="K435" i="5"/>
  <c r="J435" i="5"/>
  <c r="F435" i="5"/>
  <c r="K434" i="5"/>
  <c r="J434" i="5"/>
  <c r="F434" i="5"/>
  <c r="L434" i="5" s="1"/>
  <c r="L433" i="5"/>
  <c r="K433" i="5"/>
  <c r="K436" i="5" s="1"/>
  <c r="J433" i="5"/>
  <c r="F433" i="5"/>
  <c r="K432" i="5"/>
  <c r="J432" i="5"/>
  <c r="F432" i="5"/>
  <c r="L432" i="5" s="1"/>
  <c r="L431" i="5"/>
  <c r="K431" i="5"/>
  <c r="J431" i="5"/>
  <c r="F431" i="5"/>
  <c r="K430" i="5"/>
  <c r="J430" i="5"/>
  <c r="F430" i="5"/>
  <c r="L430" i="5" s="1"/>
  <c r="L429" i="5"/>
  <c r="K429" i="5"/>
  <c r="J429" i="5"/>
  <c r="F429" i="5"/>
  <c r="K428" i="5"/>
  <c r="J428" i="5"/>
  <c r="F428" i="5"/>
  <c r="L428" i="5" s="1"/>
  <c r="L427" i="5"/>
  <c r="K427" i="5"/>
  <c r="J427" i="5"/>
  <c r="F427" i="5"/>
  <c r="L426" i="5"/>
  <c r="K426" i="5"/>
  <c r="J426" i="5"/>
  <c r="F426" i="5"/>
  <c r="L425" i="5"/>
  <c r="K425" i="5"/>
  <c r="J425" i="5"/>
  <c r="F425" i="5"/>
  <c r="K424" i="5"/>
  <c r="J424" i="5"/>
  <c r="F424" i="5"/>
  <c r="I423" i="5"/>
  <c r="H423" i="5"/>
  <c r="G423" i="5"/>
  <c r="E423" i="5"/>
  <c r="D423" i="5"/>
  <c r="C423" i="5"/>
  <c r="L422" i="5"/>
  <c r="K422" i="5"/>
  <c r="J422" i="5"/>
  <c r="F422" i="5"/>
  <c r="K421" i="5"/>
  <c r="J421" i="5"/>
  <c r="F421" i="5"/>
  <c r="L421" i="5" s="1"/>
  <c r="L420" i="5"/>
  <c r="K420" i="5"/>
  <c r="J420" i="5"/>
  <c r="F420" i="5"/>
  <c r="L419" i="5"/>
  <c r="K419" i="5"/>
  <c r="J419" i="5"/>
  <c r="F419" i="5"/>
  <c r="L418" i="5"/>
  <c r="K418" i="5"/>
  <c r="J418" i="5"/>
  <c r="F418" i="5"/>
  <c r="K417" i="5"/>
  <c r="J417" i="5"/>
  <c r="F417" i="5"/>
  <c r="L417" i="5" s="1"/>
  <c r="L416" i="5"/>
  <c r="K416" i="5"/>
  <c r="J416" i="5"/>
  <c r="F416" i="5"/>
  <c r="K415" i="5"/>
  <c r="J415" i="5"/>
  <c r="F415" i="5"/>
  <c r="L415" i="5" s="1"/>
  <c r="L414" i="5"/>
  <c r="K414" i="5"/>
  <c r="J414" i="5"/>
  <c r="F414" i="5"/>
  <c r="K413" i="5"/>
  <c r="J413" i="5"/>
  <c r="F413" i="5"/>
  <c r="L413" i="5" s="1"/>
  <c r="L412" i="5"/>
  <c r="K412" i="5"/>
  <c r="J412" i="5"/>
  <c r="F412" i="5"/>
  <c r="L411" i="5"/>
  <c r="K411" i="5"/>
  <c r="J411" i="5"/>
  <c r="F411" i="5"/>
  <c r="L410" i="5"/>
  <c r="K410" i="5"/>
  <c r="J410" i="5"/>
  <c r="F410" i="5"/>
  <c r="K409" i="5"/>
  <c r="J409" i="5"/>
  <c r="F409" i="5"/>
  <c r="L409" i="5" s="1"/>
  <c r="L408" i="5"/>
  <c r="K408" i="5"/>
  <c r="J408" i="5"/>
  <c r="F408" i="5"/>
  <c r="K407" i="5"/>
  <c r="J407" i="5"/>
  <c r="F407" i="5"/>
  <c r="L407" i="5" s="1"/>
  <c r="L406" i="5"/>
  <c r="K406" i="5"/>
  <c r="J406" i="5"/>
  <c r="F406" i="5"/>
  <c r="K405" i="5"/>
  <c r="J405" i="5"/>
  <c r="F405" i="5"/>
  <c r="L405" i="5" s="1"/>
  <c r="L404" i="5"/>
  <c r="K404" i="5"/>
  <c r="J404" i="5"/>
  <c r="F404" i="5"/>
  <c r="K403" i="5"/>
  <c r="J403" i="5"/>
  <c r="F403" i="5"/>
  <c r="L403" i="5" s="1"/>
  <c r="L402" i="5"/>
  <c r="K402" i="5"/>
  <c r="J402" i="5"/>
  <c r="F402" i="5"/>
  <c r="K401" i="5"/>
  <c r="J401" i="5"/>
  <c r="F401" i="5"/>
  <c r="L401" i="5" s="1"/>
  <c r="L400" i="5"/>
  <c r="K400" i="5"/>
  <c r="J400" i="5"/>
  <c r="F400" i="5"/>
  <c r="K399" i="5"/>
  <c r="J399" i="5"/>
  <c r="F399" i="5"/>
  <c r="L399" i="5" s="1"/>
  <c r="L398" i="5"/>
  <c r="K398" i="5"/>
  <c r="J398" i="5"/>
  <c r="F398" i="5"/>
  <c r="K397" i="5"/>
  <c r="J397" i="5"/>
  <c r="F397" i="5"/>
  <c r="L397" i="5" s="1"/>
  <c r="L396" i="5"/>
  <c r="K396" i="5"/>
  <c r="J396" i="5"/>
  <c r="F396" i="5"/>
  <c r="K395" i="5"/>
  <c r="J395" i="5"/>
  <c r="F395" i="5"/>
  <c r="L395" i="5" s="1"/>
  <c r="L394" i="5"/>
  <c r="K394" i="5"/>
  <c r="J394" i="5"/>
  <c r="F394" i="5"/>
  <c r="K393" i="5"/>
  <c r="J393" i="5"/>
  <c r="F393" i="5"/>
  <c r="L393" i="5" s="1"/>
  <c r="L392" i="5"/>
  <c r="K392" i="5"/>
  <c r="J392" i="5"/>
  <c r="F392" i="5"/>
  <c r="K391" i="5"/>
  <c r="J391" i="5"/>
  <c r="F391" i="5"/>
  <c r="L391" i="5" s="1"/>
  <c r="L390" i="5"/>
  <c r="K390" i="5"/>
  <c r="J390" i="5"/>
  <c r="F390" i="5"/>
  <c r="K389" i="5"/>
  <c r="J389" i="5"/>
  <c r="F389" i="5"/>
  <c r="L389" i="5" s="1"/>
  <c r="L388" i="5"/>
  <c r="K388" i="5"/>
  <c r="J388" i="5"/>
  <c r="F388" i="5"/>
  <c r="L387" i="5"/>
  <c r="K387" i="5"/>
  <c r="J387" i="5"/>
  <c r="F387" i="5"/>
  <c r="L386" i="5"/>
  <c r="K386" i="5"/>
  <c r="J386" i="5"/>
  <c r="F386" i="5"/>
  <c r="K385" i="5"/>
  <c r="J385" i="5"/>
  <c r="F385" i="5"/>
  <c r="L385" i="5" s="1"/>
  <c r="L384" i="5"/>
  <c r="K384" i="5"/>
  <c r="J384" i="5"/>
  <c r="F384" i="5"/>
  <c r="L383" i="5"/>
  <c r="K383" i="5"/>
  <c r="J383" i="5"/>
  <c r="F383" i="5"/>
  <c r="L382" i="5"/>
  <c r="K382" i="5"/>
  <c r="J382" i="5"/>
  <c r="F382" i="5"/>
  <c r="K381" i="5"/>
  <c r="J381" i="5"/>
  <c r="F381" i="5"/>
  <c r="L381" i="5" s="1"/>
  <c r="L380" i="5"/>
  <c r="K380" i="5"/>
  <c r="J380" i="5"/>
  <c r="F380" i="5"/>
  <c r="L379" i="5"/>
  <c r="K379" i="5"/>
  <c r="J379" i="5"/>
  <c r="F379" i="5"/>
  <c r="L378" i="5"/>
  <c r="K378" i="5"/>
  <c r="J378" i="5"/>
  <c r="F378" i="5"/>
  <c r="K377" i="5"/>
  <c r="J377" i="5"/>
  <c r="F377" i="5"/>
  <c r="L377" i="5" s="1"/>
  <c r="L376" i="5"/>
  <c r="K376" i="5"/>
  <c r="J376" i="5"/>
  <c r="F376" i="5"/>
  <c r="L375" i="5"/>
  <c r="K375" i="5"/>
  <c r="J375" i="5"/>
  <c r="F375" i="5"/>
  <c r="L374" i="5"/>
  <c r="K374" i="5"/>
  <c r="J374" i="5"/>
  <c r="F374" i="5"/>
  <c r="K373" i="5"/>
  <c r="J373" i="5"/>
  <c r="F373" i="5"/>
  <c r="L373" i="5" s="1"/>
  <c r="L372" i="5"/>
  <c r="K372" i="5"/>
  <c r="J372" i="5"/>
  <c r="F372" i="5"/>
  <c r="K371" i="5"/>
  <c r="J371" i="5"/>
  <c r="F371" i="5"/>
  <c r="L371" i="5" s="1"/>
  <c r="L370" i="5"/>
  <c r="K370" i="5"/>
  <c r="J370" i="5"/>
  <c r="F370" i="5"/>
  <c r="K369" i="5"/>
  <c r="J369" i="5"/>
  <c r="F369" i="5"/>
  <c r="L369" i="5" s="1"/>
  <c r="L368" i="5"/>
  <c r="K368" i="5"/>
  <c r="J368" i="5"/>
  <c r="F368" i="5"/>
  <c r="K367" i="5"/>
  <c r="J367" i="5"/>
  <c r="F367" i="5"/>
  <c r="L367" i="5" s="1"/>
  <c r="L366" i="5"/>
  <c r="K366" i="5"/>
  <c r="J366" i="5"/>
  <c r="F366" i="5"/>
  <c r="K365" i="5"/>
  <c r="J365" i="5"/>
  <c r="F365" i="5"/>
  <c r="L365" i="5" s="1"/>
  <c r="L364" i="5"/>
  <c r="K364" i="5"/>
  <c r="J364" i="5"/>
  <c r="F364" i="5"/>
  <c r="L363" i="5"/>
  <c r="K363" i="5"/>
  <c r="J363" i="5"/>
  <c r="F363" i="5"/>
  <c r="L362" i="5"/>
  <c r="K362" i="5"/>
  <c r="J362" i="5"/>
  <c r="F362" i="5"/>
  <c r="K361" i="5"/>
  <c r="J361" i="5"/>
  <c r="F361" i="5"/>
  <c r="L361" i="5" s="1"/>
  <c r="L360" i="5"/>
  <c r="K360" i="5"/>
  <c r="J360" i="5"/>
  <c r="F360" i="5"/>
  <c r="K359" i="5"/>
  <c r="J359" i="5"/>
  <c r="F359" i="5"/>
  <c r="L359" i="5" s="1"/>
  <c r="L358" i="5"/>
  <c r="K358" i="5"/>
  <c r="J358" i="5"/>
  <c r="F358" i="5"/>
  <c r="K357" i="5"/>
  <c r="J357" i="5"/>
  <c r="F357" i="5"/>
  <c r="L357" i="5" s="1"/>
  <c r="L356" i="5"/>
  <c r="K356" i="5"/>
  <c r="J356" i="5"/>
  <c r="F356" i="5"/>
  <c r="L355" i="5"/>
  <c r="K355" i="5"/>
  <c r="J355" i="5"/>
  <c r="F355" i="5"/>
  <c r="L354" i="5"/>
  <c r="K354" i="5"/>
  <c r="J354" i="5"/>
  <c r="F354" i="5"/>
  <c r="K353" i="5"/>
  <c r="J353" i="5"/>
  <c r="F353" i="5"/>
  <c r="L353" i="5" s="1"/>
  <c r="L352" i="5"/>
  <c r="K352" i="5"/>
  <c r="J352" i="5"/>
  <c r="F352" i="5"/>
  <c r="L351" i="5"/>
  <c r="K351" i="5"/>
  <c r="J351" i="5"/>
  <c r="F351" i="5"/>
  <c r="L350" i="5"/>
  <c r="K350" i="5"/>
  <c r="J350" i="5"/>
  <c r="F350" i="5"/>
  <c r="K349" i="5"/>
  <c r="J349" i="5"/>
  <c r="F349" i="5"/>
  <c r="L349" i="5" s="1"/>
  <c r="K348" i="5"/>
  <c r="J348" i="5"/>
  <c r="F348" i="5"/>
  <c r="L348" i="5" s="1"/>
  <c r="L347" i="5"/>
  <c r="K347" i="5"/>
  <c r="J347" i="5"/>
  <c r="F347" i="5"/>
  <c r="L346" i="5"/>
  <c r="K346" i="5"/>
  <c r="J346" i="5"/>
  <c r="F346" i="5"/>
  <c r="K345" i="5"/>
  <c r="J345" i="5"/>
  <c r="F345" i="5"/>
  <c r="L340" i="5"/>
  <c r="I340" i="5"/>
  <c r="D335" i="5"/>
  <c r="I330" i="5"/>
  <c r="I325" i="5"/>
  <c r="H325" i="5"/>
  <c r="G325" i="5"/>
  <c r="E325" i="5"/>
  <c r="D325" i="5"/>
  <c r="C325" i="5"/>
  <c r="K324" i="5"/>
  <c r="J324" i="5"/>
  <c r="F324" i="5"/>
  <c r="M323" i="5"/>
  <c r="L323" i="5"/>
  <c r="K323" i="5"/>
  <c r="J323" i="5"/>
  <c r="F323" i="5"/>
  <c r="K322" i="5"/>
  <c r="J322" i="5"/>
  <c r="F322" i="5"/>
  <c r="M321" i="5"/>
  <c r="K321" i="5"/>
  <c r="J321" i="5"/>
  <c r="F321" i="5"/>
  <c r="L321" i="5" s="1"/>
  <c r="M320" i="5"/>
  <c r="L320" i="5"/>
  <c r="K320" i="5"/>
  <c r="J320" i="5"/>
  <c r="F320" i="5"/>
  <c r="K319" i="5"/>
  <c r="J319" i="5"/>
  <c r="F319" i="5"/>
  <c r="K318" i="5"/>
  <c r="J318" i="5"/>
  <c r="F318" i="5"/>
  <c r="K317" i="5"/>
  <c r="J317" i="5"/>
  <c r="F317" i="5"/>
  <c r="M317" i="5" s="1"/>
  <c r="K316" i="5"/>
  <c r="J316" i="5"/>
  <c r="F316" i="5"/>
  <c r="L315" i="5"/>
  <c r="K315" i="5"/>
  <c r="J315" i="5"/>
  <c r="F315" i="5"/>
  <c r="M315" i="5" s="1"/>
  <c r="M314" i="5"/>
  <c r="L314" i="5"/>
  <c r="K314" i="5"/>
  <c r="J314" i="5"/>
  <c r="F314" i="5"/>
  <c r="M313" i="5"/>
  <c r="K313" i="5"/>
  <c r="J313" i="5"/>
  <c r="F313" i="5"/>
  <c r="L313" i="5" s="1"/>
  <c r="M312" i="5"/>
  <c r="L312" i="5"/>
  <c r="K312" i="5"/>
  <c r="J312" i="5"/>
  <c r="F312" i="5"/>
  <c r="M311" i="5"/>
  <c r="L311" i="5"/>
  <c r="K311" i="5"/>
  <c r="J311" i="5"/>
  <c r="F311" i="5"/>
  <c r="M310" i="5"/>
  <c r="L310" i="5"/>
  <c r="K310" i="5"/>
  <c r="J310" i="5"/>
  <c r="F310" i="5"/>
  <c r="L309" i="5"/>
  <c r="K309" i="5"/>
  <c r="K325" i="5" s="1"/>
  <c r="E336" i="5" s="1"/>
  <c r="J309" i="5"/>
  <c r="F309" i="5"/>
  <c r="M309" i="5" s="1"/>
  <c r="L308" i="5"/>
  <c r="K308" i="5"/>
  <c r="E335" i="5" s="1"/>
  <c r="J308" i="5"/>
  <c r="F308" i="5"/>
  <c r="H307" i="5"/>
  <c r="G307" i="5"/>
  <c r="E307" i="5"/>
  <c r="F307" i="5" s="1"/>
  <c r="K306" i="5"/>
  <c r="J306" i="5"/>
  <c r="F306" i="5"/>
  <c r="K305" i="5"/>
  <c r="J305" i="5"/>
  <c r="F305" i="5"/>
  <c r="M305" i="5" s="1"/>
  <c r="M304" i="5"/>
  <c r="K304" i="5"/>
  <c r="J304" i="5"/>
  <c r="F304" i="5"/>
  <c r="L304" i="5" s="1"/>
  <c r="M303" i="5"/>
  <c r="L303" i="5"/>
  <c r="K303" i="5"/>
  <c r="J303" i="5"/>
  <c r="F303" i="5"/>
  <c r="M302" i="5"/>
  <c r="L302" i="5"/>
  <c r="K302" i="5"/>
  <c r="J302" i="5"/>
  <c r="F302" i="5"/>
  <c r="M301" i="5"/>
  <c r="L301" i="5"/>
  <c r="K301" i="5"/>
  <c r="J301" i="5"/>
  <c r="F301" i="5"/>
  <c r="K300" i="5"/>
  <c r="F300" i="5"/>
  <c r="M300" i="5" s="1"/>
  <c r="M299" i="5"/>
  <c r="L299" i="5"/>
  <c r="K299" i="5"/>
  <c r="J299" i="5"/>
  <c r="F299" i="5"/>
  <c r="M298" i="5"/>
  <c r="L298" i="5"/>
  <c r="K298" i="5"/>
  <c r="J298" i="5"/>
  <c r="F298" i="5"/>
  <c r="K297" i="5"/>
  <c r="J297" i="5"/>
  <c r="F297" i="5"/>
  <c r="K296" i="5"/>
  <c r="J296" i="5"/>
  <c r="F296" i="5"/>
  <c r="M295" i="5"/>
  <c r="L295" i="5"/>
  <c r="K295" i="5"/>
  <c r="J295" i="5"/>
  <c r="F295" i="5"/>
  <c r="K294" i="5"/>
  <c r="J294" i="5"/>
  <c r="F294" i="5"/>
  <c r="M293" i="5"/>
  <c r="L293" i="5"/>
  <c r="K293" i="5"/>
  <c r="J293" i="5"/>
  <c r="F293" i="5"/>
  <c r="K292" i="5"/>
  <c r="J292" i="5"/>
  <c r="F292" i="5"/>
  <c r="K291" i="5"/>
  <c r="J291" i="5"/>
  <c r="F291" i="5"/>
  <c r="M290" i="5"/>
  <c r="L290" i="5"/>
  <c r="K290" i="5"/>
  <c r="J290" i="5"/>
  <c r="F290" i="5"/>
  <c r="C290" i="5"/>
  <c r="K289" i="5"/>
  <c r="J289" i="5"/>
  <c r="F289" i="5"/>
  <c r="K288" i="5"/>
  <c r="J288" i="5"/>
  <c r="F288" i="5"/>
  <c r="M287" i="5"/>
  <c r="K287" i="5"/>
  <c r="J287" i="5"/>
  <c r="F287" i="5"/>
  <c r="L287" i="5" s="1"/>
  <c r="M286" i="5"/>
  <c r="L286" i="5"/>
  <c r="K286" i="5"/>
  <c r="J286" i="5"/>
  <c r="C286" i="5"/>
  <c r="F286" i="5" s="1"/>
  <c r="K285" i="5"/>
  <c r="J285" i="5"/>
  <c r="F285" i="5"/>
  <c r="M284" i="5"/>
  <c r="K284" i="5"/>
  <c r="J284" i="5"/>
  <c r="C284" i="5"/>
  <c r="F284" i="5" s="1"/>
  <c r="L284" i="5" s="1"/>
  <c r="M283" i="5"/>
  <c r="L283" i="5"/>
  <c r="K283" i="5"/>
  <c r="J283" i="5"/>
  <c r="F283" i="5"/>
  <c r="K282" i="5"/>
  <c r="J282" i="5"/>
  <c r="F282" i="5"/>
  <c r="K281" i="5"/>
  <c r="J281" i="5"/>
  <c r="F281" i="5"/>
  <c r="M281" i="5" s="1"/>
  <c r="L280" i="5"/>
  <c r="K280" i="5"/>
  <c r="J280" i="5"/>
  <c r="F280" i="5"/>
  <c r="M280" i="5" s="1"/>
  <c r="M279" i="5"/>
  <c r="K279" i="5"/>
  <c r="J279" i="5"/>
  <c r="F279" i="5"/>
  <c r="L279" i="5" s="1"/>
  <c r="K278" i="5"/>
  <c r="J278" i="5"/>
  <c r="F278" i="5"/>
  <c r="K277" i="5"/>
  <c r="J277" i="5"/>
  <c r="F277" i="5"/>
  <c r="M276" i="5"/>
  <c r="L276" i="5"/>
  <c r="K276" i="5"/>
  <c r="J276" i="5"/>
  <c r="F276" i="5"/>
  <c r="K275" i="5"/>
  <c r="J275" i="5"/>
  <c r="F275" i="5"/>
  <c r="M274" i="5"/>
  <c r="L274" i="5"/>
  <c r="K274" i="5"/>
  <c r="J274" i="5"/>
  <c r="F274" i="5"/>
  <c r="M273" i="5"/>
  <c r="L273" i="5"/>
  <c r="K273" i="5"/>
  <c r="J273" i="5"/>
  <c r="F273" i="5"/>
  <c r="K272" i="5"/>
  <c r="J272" i="5"/>
  <c r="F272" i="5"/>
  <c r="K271" i="5"/>
  <c r="J271" i="5"/>
  <c r="F271" i="5"/>
  <c r="M270" i="5"/>
  <c r="L270" i="5"/>
  <c r="K270" i="5"/>
  <c r="J270" i="5"/>
  <c r="F270" i="5"/>
  <c r="K269" i="5"/>
  <c r="J269" i="5"/>
  <c r="F269" i="5"/>
  <c r="K268" i="5"/>
  <c r="J268" i="5"/>
  <c r="F268" i="5"/>
  <c r="M268" i="5" s="1"/>
  <c r="K267" i="5"/>
  <c r="J267" i="5"/>
  <c r="F267" i="5"/>
  <c r="K266" i="5"/>
  <c r="J266" i="5"/>
  <c r="F266" i="5"/>
  <c r="M265" i="5"/>
  <c r="L265" i="5"/>
  <c r="K265" i="5"/>
  <c r="J265" i="5"/>
  <c r="F265" i="5"/>
  <c r="K264" i="5"/>
  <c r="J264" i="5"/>
  <c r="F264" i="5"/>
  <c r="M263" i="5"/>
  <c r="K263" i="5"/>
  <c r="J263" i="5"/>
  <c r="F263" i="5"/>
  <c r="L263" i="5" s="1"/>
  <c r="K262" i="5"/>
  <c r="J262" i="5"/>
  <c r="F262" i="5"/>
  <c r="M262" i="5" s="1"/>
  <c r="K261" i="5"/>
  <c r="J261" i="5"/>
  <c r="C261" i="5"/>
  <c r="F261" i="5" s="1"/>
  <c r="M260" i="5"/>
  <c r="K260" i="5"/>
  <c r="J260" i="5"/>
  <c r="C260" i="5"/>
  <c r="F260" i="5" s="1"/>
  <c r="L260" i="5" s="1"/>
  <c r="K259" i="5"/>
  <c r="J259" i="5"/>
  <c r="C259" i="5"/>
  <c r="F259" i="5" s="1"/>
  <c r="K258" i="5"/>
  <c r="J258" i="5"/>
  <c r="F258" i="5"/>
  <c r="M258" i="5" s="1"/>
  <c r="K257" i="5"/>
  <c r="J257" i="5"/>
  <c r="F257" i="5"/>
  <c r="L256" i="5"/>
  <c r="K256" i="5"/>
  <c r="J256" i="5"/>
  <c r="F256" i="5"/>
  <c r="M256" i="5" s="1"/>
  <c r="M255" i="5"/>
  <c r="L255" i="5"/>
  <c r="K255" i="5"/>
  <c r="J255" i="5"/>
  <c r="F255" i="5"/>
  <c r="M254" i="5"/>
  <c r="K254" i="5"/>
  <c r="J254" i="5"/>
  <c r="F254" i="5"/>
  <c r="L254" i="5" s="1"/>
  <c r="M253" i="5"/>
  <c r="L253" i="5"/>
  <c r="K253" i="5"/>
  <c r="J253" i="5"/>
  <c r="F253" i="5"/>
  <c r="M252" i="5"/>
  <c r="L252" i="5"/>
  <c r="K252" i="5"/>
  <c r="J252" i="5"/>
  <c r="F252" i="5"/>
  <c r="K251" i="5"/>
  <c r="J251" i="5"/>
  <c r="C251" i="5"/>
  <c r="F251" i="5" s="1"/>
  <c r="M251" i="5" s="1"/>
  <c r="M250" i="5"/>
  <c r="L250" i="5"/>
  <c r="K250" i="5"/>
  <c r="J250" i="5"/>
  <c r="F250" i="5"/>
  <c r="C250" i="5"/>
  <c r="M249" i="5"/>
  <c r="L249" i="5"/>
  <c r="K249" i="5"/>
  <c r="J249" i="5"/>
  <c r="F249" i="5"/>
  <c r="M248" i="5"/>
  <c r="K248" i="5"/>
  <c r="J248" i="5"/>
  <c r="F248" i="5"/>
  <c r="L248" i="5" s="1"/>
  <c r="M247" i="5"/>
  <c r="L247" i="5"/>
  <c r="K247" i="5"/>
  <c r="J247" i="5"/>
  <c r="F247" i="5"/>
  <c r="K246" i="5"/>
  <c r="J246" i="5"/>
  <c r="F246" i="5"/>
  <c r="M245" i="5"/>
  <c r="L245" i="5"/>
  <c r="K245" i="5"/>
  <c r="J245" i="5"/>
  <c r="F245" i="5"/>
  <c r="H244" i="5"/>
  <c r="G244" i="5"/>
  <c r="E244" i="5"/>
  <c r="L243" i="5"/>
  <c r="K243" i="5"/>
  <c r="J243" i="5"/>
  <c r="F243" i="5"/>
  <c r="M243" i="5" s="1"/>
  <c r="K242" i="5"/>
  <c r="J242" i="5"/>
  <c r="F242" i="5"/>
  <c r="K241" i="5"/>
  <c r="J241" i="5"/>
  <c r="F241" i="5"/>
  <c r="M240" i="5"/>
  <c r="K240" i="5"/>
  <c r="J240" i="5"/>
  <c r="F240" i="5"/>
  <c r="L240" i="5" s="1"/>
  <c r="M239" i="5"/>
  <c r="K239" i="5"/>
  <c r="J239" i="5"/>
  <c r="F239" i="5"/>
  <c r="L239" i="5" s="1"/>
  <c r="K238" i="5"/>
  <c r="J238" i="5"/>
  <c r="F238" i="5"/>
  <c r="M238" i="5" s="1"/>
  <c r="M237" i="5"/>
  <c r="L237" i="5"/>
  <c r="K237" i="5"/>
  <c r="J237" i="5"/>
  <c r="F237" i="5"/>
  <c r="M236" i="5"/>
  <c r="L236" i="5"/>
  <c r="K236" i="5"/>
  <c r="J236" i="5"/>
  <c r="F236" i="5"/>
  <c r="L235" i="5"/>
  <c r="K235" i="5"/>
  <c r="J235" i="5"/>
  <c r="C235" i="5"/>
  <c r="F235" i="5" s="1"/>
  <c r="M235" i="5" s="1"/>
  <c r="M234" i="5"/>
  <c r="L234" i="5"/>
  <c r="K234" i="5"/>
  <c r="J234" i="5"/>
  <c r="F234" i="5"/>
  <c r="M233" i="5"/>
  <c r="L233" i="5"/>
  <c r="K233" i="5"/>
  <c r="J233" i="5"/>
  <c r="F233" i="5"/>
  <c r="L232" i="5"/>
  <c r="K232" i="5"/>
  <c r="J232" i="5"/>
  <c r="F232" i="5"/>
  <c r="M232" i="5" s="1"/>
  <c r="K231" i="5"/>
  <c r="J231" i="5"/>
  <c r="F231" i="5"/>
  <c r="M230" i="5"/>
  <c r="L230" i="5"/>
  <c r="K230" i="5"/>
  <c r="J230" i="5"/>
  <c r="F230" i="5"/>
  <c r="K229" i="5"/>
  <c r="J229" i="5"/>
  <c r="F229" i="5"/>
  <c r="M228" i="5"/>
  <c r="K228" i="5"/>
  <c r="J228" i="5"/>
  <c r="F228" i="5"/>
  <c r="L228" i="5" s="1"/>
  <c r="M227" i="5"/>
  <c r="L227" i="5"/>
  <c r="K227" i="5"/>
  <c r="J227" i="5"/>
  <c r="F227" i="5"/>
  <c r="K226" i="5"/>
  <c r="J226" i="5"/>
  <c r="F226" i="5"/>
  <c r="M225" i="5"/>
  <c r="L225" i="5"/>
  <c r="K225" i="5"/>
  <c r="J225" i="5"/>
  <c r="F225" i="5"/>
  <c r="K224" i="5"/>
  <c r="J224" i="5"/>
  <c r="F224" i="5"/>
  <c r="K223" i="5"/>
  <c r="J223" i="5"/>
  <c r="F223" i="5"/>
  <c r="K222" i="5"/>
  <c r="J222" i="5"/>
  <c r="F222" i="5"/>
  <c r="M221" i="5"/>
  <c r="L221" i="5"/>
  <c r="K221" i="5"/>
  <c r="J221" i="5"/>
  <c r="C221" i="5"/>
  <c r="F221" i="5" s="1"/>
  <c r="K220" i="5"/>
  <c r="J220" i="5"/>
  <c r="F220" i="5"/>
  <c r="K219" i="5"/>
  <c r="J219" i="5"/>
  <c r="F219" i="5"/>
  <c r="M218" i="5"/>
  <c r="L218" i="5"/>
  <c r="K218" i="5"/>
  <c r="J218" i="5"/>
  <c r="F218" i="5"/>
  <c r="K217" i="5"/>
  <c r="J217" i="5"/>
  <c r="F217" i="5"/>
  <c r="L217" i="5" s="1"/>
  <c r="K216" i="5"/>
  <c r="J216" i="5"/>
  <c r="F216" i="5"/>
  <c r="L215" i="5"/>
  <c r="K215" i="5"/>
  <c r="J215" i="5"/>
  <c r="F215" i="5"/>
  <c r="M215" i="5" s="1"/>
  <c r="M214" i="5"/>
  <c r="L214" i="5"/>
  <c r="K214" i="5"/>
  <c r="J214" i="5"/>
  <c r="F214" i="5"/>
  <c r="M213" i="5"/>
  <c r="L213" i="5"/>
  <c r="K213" i="5"/>
  <c r="J213" i="5"/>
  <c r="F213" i="5"/>
  <c r="M212" i="5"/>
  <c r="K212" i="5"/>
  <c r="J212" i="5"/>
  <c r="F212" i="5"/>
  <c r="L212" i="5" s="1"/>
  <c r="M211" i="5"/>
  <c r="L211" i="5"/>
  <c r="K211" i="5"/>
  <c r="J211" i="5"/>
  <c r="F211" i="5"/>
  <c r="K210" i="5"/>
  <c r="J210" i="5"/>
  <c r="F210" i="5"/>
  <c r="M209" i="5"/>
  <c r="K209" i="5"/>
  <c r="J209" i="5"/>
  <c r="F209" i="5"/>
  <c r="L209" i="5" s="1"/>
  <c r="M208" i="5"/>
  <c r="L208" i="5"/>
  <c r="K208" i="5"/>
  <c r="J208" i="5"/>
  <c r="F208" i="5"/>
  <c r="K207" i="5"/>
  <c r="J207" i="5"/>
  <c r="F207" i="5"/>
  <c r="L207" i="5" s="1"/>
  <c r="M206" i="5"/>
  <c r="L206" i="5"/>
  <c r="K206" i="5"/>
  <c r="J206" i="5"/>
  <c r="F206" i="5"/>
  <c r="K205" i="5"/>
  <c r="J205" i="5"/>
  <c r="F205" i="5"/>
  <c r="C205" i="5"/>
  <c r="K204" i="5"/>
  <c r="J204" i="5"/>
  <c r="F204" i="5"/>
  <c r="L204" i="5" s="1"/>
  <c r="M203" i="5"/>
  <c r="L203" i="5"/>
  <c r="K203" i="5"/>
  <c r="J203" i="5"/>
  <c r="F203" i="5"/>
  <c r="M202" i="5"/>
  <c r="K202" i="5"/>
  <c r="J202" i="5"/>
  <c r="F202" i="5"/>
  <c r="L202" i="5" s="1"/>
  <c r="L201" i="5"/>
  <c r="K201" i="5"/>
  <c r="J201" i="5"/>
  <c r="F201" i="5"/>
  <c r="M201" i="5" s="1"/>
  <c r="K200" i="5"/>
  <c r="J200" i="5"/>
  <c r="F200" i="5"/>
  <c r="K199" i="5"/>
  <c r="J199" i="5"/>
  <c r="F199" i="5"/>
  <c r="M198" i="5"/>
  <c r="K198" i="5"/>
  <c r="J198" i="5"/>
  <c r="F198" i="5"/>
  <c r="L198" i="5" s="1"/>
  <c r="K197" i="5"/>
  <c r="J197" i="5"/>
  <c r="F197" i="5"/>
  <c r="M197" i="5" s="1"/>
  <c r="M196" i="5"/>
  <c r="K196" i="5"/>
  <c r="J196" i="5"/>
  <c r="F196" i="5"/>
  <c r="L196" i="5" s="1"/>
  <c r="C196" i="5"/>
  <c r="M195" i="5"/>
  <c r="K195" i="5"/>
  <c r="J195" i="5"/>
  <c r="F195" i="5"/>
  <c r="L195" i="5" s="1"/>
  <c r="M194" i="5"/>
  <c r="K194" i="5"/>
  <c r="J194" i="5"/>
  <c r="F194" i="5"/>
  <c r="L194" i="5" s="1"/>
  <c r="K193" i="5"/>
  <c r="J193" i="5"/>
  <c r="C193" i="5"/>
  <c r="F193" i="5" s="1"/>
  <c r="L192" i="5"/>
  <c r="K192" i="5"/>
  <c r="J192" i="5"/>
  <c r="F192" i="5"/>
  <c r="M192" i="5" s="1"/>
  <c r="M191" i="5"/>
  <c r="K191" i="5"/>
  <c r="J191" i="5"/>
  <c r="F191" i="5"/>
  <c r="L191" i="5" s="1"/>
  <c r="M190" i="5"/>
  <c r="L190" i="5"/>
  <c r="K190" i="5"/>
  <c r="J190" i="5"/>
  <c r="F190" i="5"/>
  <c r="K189" i="5"/>
  <c r="J189" i="5"/>
  <c r="F189" i="5"/>
  <c r="M188" i="5"/>
  <c r="L188" i="5"/>
  <c r="K188" i="5"/>
  <c r="J188" i="5"/>
  <c r="F188" i="5"/>
  <c r="K187" i="5"/>
  <c r="J187" i="5"/>
  <c r="F187" i="5"/>
  <c r="K186" i="5"/>
  <c r="J186" i="5"/>
  <c r="F186" i="5"/>
  <c r="M186" i="5" s="1"/>
  <c r="M185" i="5"/>
  <c r="L185" i="5"/>
  <c r="K185" i="5"/>
  <c r="J185" i="5"/>
  <c r="F185" i="5"/>
  <c r="K184" i="5"/>
  <c r="J184" i="5"/>
  <c r="F184" i="5"/>
  <c r="M182" i="5"/>
  <c r="K182" i="5"/>
  <c r="J182" i="5"/>
  <c r="F182" i="5"/>
  <c r="L182" i="5" s="1"/>
  <c r="M181" i="5"/>
  <c r="L181" i="5"/>
  <c r="K181" i="5"/>
  <c r="J181" i="5"/>
  <c r="F181" i="5"/>
  <c r="K180" i="5"/>
  <c r="J180" i="5"/>
  <c r="F180" i="5"/>
  <c r="K179" i="5"/>
  <c r="J179" i="5"/>
  <c r="F179" i="5"/>
  <c r="M179" i="5" s="1"/>
  <c r="M178" i="5"/>
  <c r="L178" i="5"/>
  <c r="K178" i="5"/>
  <c r="J178" i="5"/>
  <c r="F178" i="5"/>
  <c r="K177" i="5"/>
  <c r="J177" i="5"/>
  <c r="F177" i="5"/>
  <c r="M176" i="5"/>
  <c r="K176" i="5"/>
  <c r="J176" i="5"/>
  <c r="F176" i="5"/>
  <c r="L176" i="5" s="1"/>
  <c r="M175" i="5"/>
  <c r="L175" i="5"/>
  <c r="K175" i="5"/>
  <c r="J175" i="5"/>
  <c r="F175" i="5"/>
  <c r="K174" i="5"/>
  <c r="J174" i="5"/>
  <c r="F174" i="5"/>
  <c r="M173" i="5"/>
  <c r="L173" i="5"/>
  <c r="K173" i="5"/>
  <c r="J173" i="5"/>
  <c r="F173" i="5"/>
  <c r="M172" i="5"/>
  <c r="L172" i="5"/>
  <c r="K172" i="5"/>
  <c r="J172" i="5"/>
  <c r="F172" i="5"/>
  <c r="K171" i="5"/>
  <c r="J171" i="5"/>
  <c r="F171" i="5"/>
  <c r="M171" i="5" s="1"/>
  <c r="M170" i="5"/>
  <c r="L170" i="5"/>
  <c r="K170" i="5"/>
  <c r="J170" i="5"/>
  <c r="F170" i="5"/>
  <c r="K169" i="5"/>
  <c r="J169" i="5"/>
  <c r="F169" i="5"/>
  <c r="M168" i="5"/>
  <c r="K168" i="5"/>
  <c r="J168" i="5"/>
  <c r="F168" i="5"/>
  <c r="L168" i="5" s="1"/>
  <c r="M167" i="5"/>
  <c r="L167" i="5"/>
  <c r="K167" i="5"/>
  <c r="J167" i="5"/>
  <c r="F167" i="5"/>
  <c r="K166" i="5"/>
  <c r="J166" i="5"/>
  <c r="F166" i="5"/>
  <c r="L166" i="5" s="1"/>
  <c r="M165" i="5"/>
  <c r="L165" i="5"/>
  <c r="K165" i="5"/>
  <c r="J165" i="5"/>
  <c r="F165" i="5"/>
  <c r="K164" i="5"/>
  <c r="J164" i="5"/>
  <c r="F164" i="5"/>
  <c r="K163" i="5"/>
  <c r="J163" i="5"/>
  <c r="F163" i="5"/>
  <c r="M163" i="5" s="1"/>
  <c r="M162" i="5"/>
  <c r="L162" i="5"/>
  <c r="K162" i="5"/>
  <c r="J162" i="5"/>
  <c r="F162" i="5"/>
  <c r="K161" i="5"/>
  <c r="J161" i="5"/>
  <c r="F161" i="5"/>
  <c r="K160" i="5"/>
  <c r="J160" i="5"/>
  <c r="F160" i="5"/>
  <c r="I159" i="5"/>
  <c r="H159" i="5"/>
  <c r="G159" i="5"/>
  <c r="E159" i="5"/>
  <c r="D159" i="5"/>
  <c r="C159" i="5"/>
  <c r="M158" i="5"/>
  <c r="K158" i="5"/>
  <c r="J158" i="5"/>
  <c r="F158" i="5"/>
  <c r="L158" i="5" s="1"/>
  <c r="M157" i="5"/>
  <c r="L157" i="5"/>
  <c r="K157" i="5"/>
  <c r="J157" i="5"/>
  <c r="F157" i="5"/>
  <c r="K156" i="5"/>
  <c r="J156" i="5"/>
  <c r="F156" i="5"/>
  <c r="M155" i="5"/>
  <c r="L155" i="5"/>
  <c r="K155" i="5"/>
  <c r="J155" i="5"/>
  <c r="F155" i="5"/>
  <c r="M154" i="5"/>
  <c r="K154" i="5"/>
  <c r="J154" i="5"/>
  <c r="F154" i="5"/>
  <c r="L154" i="5" s="1"/>
  <c r="K153" i="5"/>
  <c r="J153" i="5"/>
  <c r="F153" i="5"/>
  <c r="M153" i="5" s="1"/>
  <c r="M152" i="5"/>
  <c r="K152" i="5"/>
  <c r="J152" i="5"/>
  <c r="F152" i="5"/>
  <c r="L152" i="5" s="1"/>
  <c r="K151" i="5"/>
  <c r="J151" i="5"/>
  <c r="F151" i="5"/>
  <c r="M150" i="5"/>
  <c r="K150" i="5"/>
  <c r="J150" i="5"/>
  <c r="F150" i="5"/>
  <c r="L150" i="5" s="1"/>
  <c r="M149" i="5"/>
  <c r="L149" i="5"/>
  <c r="K149" i="5"/>
  <c r="J149" i="5"/>
  <c r="F149" i="5"/>
  <c r="M148" i="5"/>
  <c r="K148" i="5"/>
  <c r="J148" i="5"/>
  <c r="F148" i="5"/>
  <c r="I147" i="5"/>
  <c r="H147" i="5"/>
  <c r="G147" i="5"/>
  <c r="M146" i="5"/>
  <c r="L146" i="5"/>
  <c r="K146" i="5"/>
  <c r="J146" i="5"/>
  <c r="F146" i="5"/>
  <c r="L145" i="5"/>
  <c r="K145" i="5"/>
  <c r="J145" i="5"/>
  <c r="F145" i="5"/>
  <c r="M145" i="5" s="1"/>
  <c r="K144" i="5"/>
  <c r="J144" i="5"/>
  <c r="F144" i="5"/>
  <c r="M144" i="5" s="1"/>
  <c r="K143" i="5"/>
  <c r="J143" i="5"/>
  <c r="F143" i="5"/>
  <c r="M143" i="5" s="1"/>
  <c r="L142" i="5"/>
  <c r="K142" i="5"/>
  <c r="J142" i="5"/>
  <c r="F142" i="5"/>
  <c r="M142" i="5" s="1"/>
  <c r="M141" i="5"/>
  <c r="K141" i="5"/>
  <c r="J141" i="5"/>
  <c r="F141" i="5"/>
  <c r="L141" i="5" s="1"/>
  <c r="M140" i="5"/>
  <c r="L140" i="5"/>
  <c r="K140" i="5"/>
  <c r="J140" i="5"/>
  <c r="F140" i="5"/>
  <c r="K139" i="5"/>
  <c r="J139" i="5"/>
  <c r="F139" i="5"/>
  <c r="M138" i="5"/>
  <c r="L138" i="5"/>
  <c r="K138" i="5"/>
  <c r="J138" i="5"/>
  <c r="F138" i="5"/>
  <c r="K137" i="5"/>
  <c r="J137" i="5"/>
  <c r="F137" i="5"/>
  <c r="K136" i="5"/>
  <c r="J136" i="5"/>
  <c r="F136" i="5"/>
  <c r="M136" i="5" s="1"/>
  <c r="M135" i="5"/>
  <c r="L135" i="5"/>
  <c r="K135" i="5"/>
  <c r="J135" i="5"/>
  <c r="F135" i="5"/>
  <c r="K134" i="5"/>
  <c r="J134" i="5"/>
  <c r="F134" i="5"/>
  <c r="K133" i="5"/>
  <c r="J133" i="5"/>
  <c r="F133" i="5"/>
  <c r="M132" i="5"/>
  <c r="L132" i="5"/>
  <c r="K132" i="5"/>
  <c r="J132" i="5"/>
  <c r="F132" i="5"/>
  <c r="K131" i="5"/>
  <c r="J131" i="5"/>
  <c r="F131" i="5"/>
  <c r="M130" i="5"/>
  <c r="L130" i="5"/>
  <c r="K130" i="5"/>
  <c r="J130" i="5"/>
  <c r="F130" i="5"/>
  <c r="K129" i="5"/>
  <c r="J129" i="5"/>
  <c r="F129" i="5"/>
  <c r="K128" i="5"/>
  <c r="J128" i="5"/>
  <c r="F128" i="5"/>
  <c r="M128" i="5" s="1"/>
  <c r="M127" i="5"/>
  <c r="K127" i="5"/>
  <c r="J127" i="5"/>
  <c r="F127" i="5"/>
  <c r="L127" i="5" s="1"/>
  <c r="K126" i="5"/>
  <c r="J126" i="5"/>
  <c r="F126" i="5"/>
  <c r="M126" i="5" s="1"/>
  <c r="M125" i="5"/>
  <c r="K125" i="5"/>
  <c r="J125" i="5"/>
  <c r="F125" i="5"/>
  <c r="L125" i="5" s="1"/>
  <c r="M124" i="5"/>
  <c r="L124" i="5"/>
  <c r="K124" i="5"/>
  <c r="J124" i="5"/>
  <c r="F124" i="5"/>
  <c r="M123" i="5"/>
  <c r="K123" i="5"/>
  <c r="J123" i="5"/>
  <c r="F123" i="5"/>
  <c r="L123" i="5" s="1"/>
  <c r="M122" i="5"/>
  <c r="L122" i="5"/>
  <c r="K122" i="5"/>
  <c r="J122" i="5"/>
  <c r="F122" i="5"/>
  <c r="K121" i="5"/>
  <c r="J121" i="5"/>
  <c r="F121" i="5"/>
  <c r="K120" i="5"/>
  <c r="J120" i="5"/>
  <c r="F120" i="5"/>
  <c r="M119" i="5"/>
  <c r="L119" i="5"/>
  <c r="K119" i="5"/>
  <c r="J119" i="5"/>
  <c r="F119" i="5"/>
  <c r="K118" i="5"/>
  <c r="J118" i="5"/>
  <c r="F118" i="5"/>
  <c r="M117" i="5"/>
  <c r="K117" i="5"/>
  <c r="J117" i="5"/>
  <c r="F117" i="5"/>
  <c r="L117" i="5" s="1"/>
  <c r="M116" i="5"/>
  <c r="L116" i="5"/>
  <c r="K116" i="5"/>
  <c r="J116" i="5"/>
  <c r="F116" i="5"/>
  <c r="K115" i="5"/>
  <c r="J115" i="5"/>
  <c r="F115" i="5"/>
  <c r="M114" i="5"/>
  <c r="L114" i="5"/>
  <c r="K114" i="5"/>
  <c r="J114" i="5"/>
  <c r="F114" i="5"/>
  <c r="M113" i="5"/>
  <c r="L113" i="5"/>
  <c r="K113" i="5"/>
  <c r="J113" i="5"/>
  <c r="F113" i="5"/>
  <c r="K112" i="5"/>
  <c r="J112" i="5"/>
  <c r="F112" i="5"/>
  <c r="M112" i="5" s="1"/>
  <c r="M111" i="5"/>
  <c r="L111" i="5"/>
  <c r="K111" i="5"/>
  <c r="J111" i="5"/>
  <c r="F111" i="5"/>
  <c r="K110" i="5"/>
  <c r="J110" i="5"/>
  <c r="F110" i="5"/>
  <c r="M109" i="5"/>
  <c r="K109" i="5"/>
  <c r="J109" i="5"/>
  <c r="F109" i="5"/>
  <c r="L109" i="5" s="1"/>
  <c r="M108" i="5"/>
  <c r="L108" i="5"/>
  <c r="K108" i="5"/>
  <c r="J108" i="5"/>
  <c r="F108" i="5"/>
  <c r="K107" i="5"/>
  <c r="J107" i="5"/>
  <c r="F107" i="5"/>
  <c r="L107" i="5" s="1"/>
  <c r="M106" i="5"/>
  <c r="L106" i="5"/>
  <c r="K106" i="5"/>
  <c r="J106" i="5"/>
  <c r="F106" i="5"/>
  <c r="K105" i="5"/>
  <c r="J105" i="5"/>
  <c r="F105" i="5"/>
  <c r="K104" i="5"/>
  <c r="J104" i="5"/>
  <c r="F104" i="5"/>
  <c r="M104" i="5" s="1"/>
  <c r="M103" i="5"/>
  <c r="L103" i="5"/>
  <c r="K103" i="5"/>
  <c r="J103" i="5"/>
  <c r="F103" i="5"/>
  <c r="K102" i="5"/>
  <c r="J102" i="5"/>
  <c r="F102" i="5"/>
  <c r="K101" i="5"/>
  <c r="J101" i="5"/>
  <c r="F101" i="5"/>
  <c r="M100" i="5"/>
  <c r="L100" i="5"/>
  <c r="K100" i="5"/>
  <c r="J100" i="5"/>
  <c r="F100" i="5"/>
  <c r="K99" i="5"/>
  <c r="J99" i="5"/>
  <c r="F99" i="5"/>
  <c r="M98" i="5"/>
  <c r="L98" i="5"/>
  <c r="K98" i="5"/>
  <c r="J98" i="5"/>
  <c r="F98" i="5"/>
  <c r="M97" i="5"/>
  <c r="K97" i="5"/>
  <c r="J97" i="5"/>
  <c r="F97" i="5"/>
  <c r="L97" i="5" s="1"/>
  <c r="K96" i="5"/>
  <c r="J96" i="5"/>
  <c r="F96" i="5"/>
  <c r="M96" i="5" s="1"/>
  <c r="K95" i="5"/>
  <c r="J95" i="5"/>
  <c r="F95" i="5"/>
  <c r="K94" i="5"/>
  <c r="J94" i="5"/>
  <c r="F94" i="5"/>
  <c r="M93" i="5"/>
  <c r="K93" i="5"/>
  <c r="J93" i="5"/>
  <c r="F93" i="5"/>
  <c r="L93" i="5" s="1"/>
  <c r="M92" i="5"/>
  <c r="L92" i="5"/>
  <c r="K92" i="5"/>
  <c r="J92" i="5"/>
  <c r="F92" i="5"/>
  <c r="K91" i="5"/>
  <c r="J91" i="5"/>
  <c r="F91" i="5"/>
  <c r="M90" i="5"/>
  <c r="L90" i="5"/>
  <c r="K90" i="5"/>
  <c r="J90" i="5"/>
  <c r="F90" i="5"/>
  <c r="K89" i="5"/>
  <c r="J89" i="5"/>
  <c r="F89" i="5"/>
  <c r="L88" i="5"/>
  <c r="K88" i="5"/>
  <c r="J88" i="5"/>
  <c r="F88" i="5"/>
  <c r="M88" i="5" s="1"/>
  <c r="I87" i="5"/>
  <c r="H87" i="5"/>
  <c r="G87" i="5"/>
  <c r="K86" i="5"/>
  <c r="J86" i="5"/>
  <c r="F86" i="5"/>
  <c r="L85" i="5"/>
  <c r="K85" i="5"/>
  <c r="J85" i="5"/>
  <c r="F85" i="5"/>
  <c r="M85" i="5" s="1"/>
  <c r="M84" i="5"/>
  <c r="K84" i="5"/>
  <c r="J84" i="5"/>
  <c r="F84" i="5"/>
  <c r="L84" i="5" s="1"/>
  <c r="M83" i="5"/>
  <c r="L83" i="5"/>
  <c r="K83" i="5"/>
  <c r="J83" i="5"/>
  <c r="F83" i="5"/>
  <c r="K82" i="5"/>
  <c r="J82" i="5"/>
  <c r="F82" i="5"/>
  <c r="M81" i="5"/>
  <c r="L81" i="5"/>
  <c r="K81" i="5"/>
  <c r="J81" i="5"/>
  <c r="F81" i="5"/>
  <c r="K80" i="5"/>
  <c r="J80" i="5"/>
  <c r="F80" i="5"/>
  <c r="C80" i="5"/>
  <c r="K79" i="5"/>
  <c r="J79" i="5"/>
  <c r="F79" i="5"/>
  <c r="M78" i="5"/>
  <c r="L78" i="5"/>
  <c r="K78" i="5"/>
  <c r="J78" i="5"/>
  <c r="F78" i="5"/>
  <c r="K77" i="5"/>
  <c r="J77" i="5"/>
  <c r="F77" i="5"/>
  <c r="K76" i="5"/>
  <c r="J76" i="5"/>
  <c r="F76" i="5"/>
  <c r="L75" i="5"/>
  <c r="K75" i="5"/>
  <c r="J75" i="5"/>
  <c r="C75" i="5"/>
  <c r="F75" i="5" s="1"/>
  <c r="M75" i="5" s="1"/>
  <c r="K74" i="5"/>
  <c r="J74" i="5"/>
  <c r="F74" i="5"/>
  <c r="K73" i="5"/>
  <c r="J73" i="5"/>
  <c r="F73" i="5"/>
  <c r="M73" i="5" s="1"/>
  <c r="M72" i="5"/>
  <c r="L72" i="5"/>
  <c r="K72" i="5"/>
  <c r="J72" i="5"/>
  <c r="F72" i="5"/>
  <c r="K71" i="5"/>
  <c r="J71" i="5"/>
  <c r="F71" i="5"/>
  <c r="K70" i="5"/>
  <c r="J70" i="5"/>
  <c r="F70" i="5"/>
  <c r="L70" i="5" s="1"/>
  <c r="L69" i="5"/>
  <c r="K69" i="5"/>
  <c r="J69" i="5"/>
  <c r="C69" i="5"/>
  <c r="F69" i="5" s="1"/>
  <c r="M69" i="5" s="1"/>
  <c r="K68" i="5"/>
  <c r="J68" i="5"/>
  <c r="F68" i="5"/>
  <c r="K67" i="5"/>
  <c r="J67" i="5"/>
  <c r="F67" i="5"/>
  <c r="M66" i="5"/>
  <c r="L66" i="5"/>
  <c r="K66" i="5"/>
  <c r="J66" i="5"/>
  <c r="F66" i="5"/>
  <c r="K65" i="5"/>
  <c r="J65" i="5"/>
  <c r="F65" i="5"/>
  <c r="M64" i="5"/>
  <c r="L64" i="5"/>
  <c r="K64" i="5"/>
  <c r="J64" i="5"/>
  <c r="F64" i="5"/>
  <c r="K63" i="5"/>
  <c r="J63" i="5"/>
  <c r="F63" i="5"/>
  <c r="K62" i="5"/>
  <c r="J62" i="5"/>
  <c r="F62" i="5"/>
  <c r="M62" i="5" s="1"/>
  <c r="K61" i="5"/>
  <c r="J61" i="5"/>
  <c r="F61" i="5"/>
  <c r="I60" i="5"/>
  <c r="H60" i="5"/>
  <c r="K59" i="5"/>
  <c r="J59" i="5"/>
  <c r="F59" i="5"/>
  <c r="M58" i="5"/>
  <c r="K58" i="5"/>
  <c r="J58" i="5"/>
  <c r="F58" i="5"/>
  <c r="L58" i="5" s="1"/>
  <c r="M57" i="5"/>
  <c r="L57" i="5"/>
  <c r="K57" i="5"/>
  <c r="J57" i="5"/>
  <c r="F57" i="5"/>
  <c r="K56" i="5"/>
  <c r="J56" i="5"/>
  <c r="F56" i="5"/>
  <c r="M55" i="5"/>
  <c r="L55" i="5"/>
  <c r="K55" i="5"/>
  <c r="J55" i="5"/>
  <c r="F55" i="5"/>
  <c r="M54" i="5"/>
  <c r="K54" i="5"/>
  <c r="J54" i="5"/>
  <c r="F54" i="5"/>
  <c r="L54" i="5" s="1"/>
  <c r="C54" i="5"/>
  <c r="K53" i="5"/>
  <c r="J53" i="5"/>
  <c r="F53" i="5"/>
  <c r="C53" i="5"/>
  <c r="M52" i="5"/>
  <c r="K52" i="5"/>
  <c r="J52" i="5"/>
  <c r="F52" i="5"/>
  <c r="L52" i="5" s="1"/>
  <c r="M51" i="5"/>
  <c r="L51" i="5"/>
  <c r="K51" i="5"/>
  <c r="J51" i="5"/>
  <c r="F51" i="5"/>
  <c r="K50" i="5"/>
  <c r="J50" i="5"/>
  <c r="F50" i="5"/>
  <c r="M49" i="5"/>
  <c r="L49" i="5"/>
  <c r="K49" i="5"/>
  <c r="J49" i="5"/>
  <c r="F49" i="5"/>
  <c r="L48" i="5"/>
  <c r="K48" i="5"/>
  <c r="J48" i="5"/>
  <c r="F48" i="5"/>
  <c r="M48" i="5" s="1"/>
  <c r="K47" i="5"/>
  <c r="J47" i="5"/>
  <c r="F47" i="5"/>
  <c r="M47" i="5" s="1"/>
  <c r="K46" i="5"/>
  <c r="J46" i="5"/>
  <c r="F46" i="5"/>
  <c r="L45" i="5"/>
  <c r="K45" i="5"/>
  <c r="J45" i="5"/>
  <c r="F45" i="5"/>
  <c r="M45" i="5" s="1"/>
  <c r="K44" i="5"/>
  <c r="J44" i="5"/>
  <c r="C44" i="5"/>
  <c r="F44" i="5" s="1"/>
  <c r="L44" i="5" s="1"/>
  <c r="M43" i="5"/>
  <c r="K43" i="5"/>
  <c r="J43" i="5"/>
  <c r="F43" i="5"/>
  <c r="L43" i="5" s="1"/>
  <c r="K42" i="5"/>
  <c r="J42" i="5"/>
  <c r="F42" i="5"/>
  <c r="C42" i="5"/>
  <c r="K41" i="5"/>
  <c r="J41" i="5"/>
  <c r="F41" i="5"/>
  <c r="M41" i="5" s="1"/>
  <c r="M40" i="5"/>
  <c r="L40" i="5"/>
  <c r="K40" i="5"/>
  <c r="J40" i="5"/>
  <c r="F40" i="5"/>
  <c r="L39" i="5"/>
  <c r="K39" i="5"/>
  <c r="J39" i="5"/>
  <c r="F39" i="5"/>
  <c r="M39" i="5" s="1"/>
  <c r="M38" i="5"/>
  <c r="K38" i="5"/>
  <c r="J38" i="5"/>
  <c r="C38" i="5"/>
  <c r="F38" i="5" s="1"/>
  <c r="L38" i="5" s="1"/>
  <c r="K37" i="5"/>
  <c r="J37" i="5"/>
  <c r="F37" i="5"/>
  <c r="L36" i="5"/>
  <c r="K36" i="5"/>
  <c r="K60" i="5" s="1"/>
  <c r="E329" i="5" s="1"/>
  <c r="J36" i="5"/>
  <c r="F36" i="5"/>
  <c r="M36" i="5" s="1"/>
  <c r="M35" i="5"/>
  <c r="K35" i="5"/>
  <c r="J35" i="5"/>
  <c r="F35" i="5"/>
  <c r="L35" i="5" s="1"/>
  <c r="L34" i="5"/>
  <c r="K34" i="5"/>
  <c r="J34" i="5"/>
  <c r="F34" i="5"/>
  <c r="M34" i="5" s="1"/>
  <c r="K33" i="5"/>
  <c r="J33" i="5"/>
  <c r="F33" i="5"/>
  <c r="M32" i="5"/>
  <c r="L32" i="5"/>
  <c r="K32" i="5"/>
  <c r="J32" i="5"/>
  <c r="F32" i="5"/>
  <c r="K31" i="5"/>
  <c r="J31" i="5"/>
  <c r="F31" i="5"/>
  <c r="K30" i="5"/>
  <c r="J30" i="5"/>
  <c r="F30" i="5"/>
  <c r="M30" i="5" s="1"/>
  <c r="C30" i="5"/>
  <c r="M29" i="5"/>
  <c r="L29" i="5"/>
  <c r="K29" i="5"/>
  <c r="J29" i="5"/>
  <c r="F29" i="5"/>
  <c r="K28" i="5"/>
  <c r="J28" i="5"/>
  <c r="F28" i="5"/>
  <c r="K27" i="5"/>
  <c r="J27" i="5"/>
  <c r="C27" i="5"/>
  <c r="F27" i="5" s="1"/>
  <c r="M26" i="5"/>
  <c r="L26" i="5"/>
  <c r="K26" i="5"/>
  <c r="J26" i="5"/>
  <c r="F26" i="5"/>
  <c r="K25" i="5"/>
  <c r="J25" i="5"/>
  <c r="J60" i="5" s="1"/>
  <c r="D329" i="5" s="1"/>
  <c r="F25" i="5"/>
  <c r="K24" i="5"/>
  <c r="J24" i="5"/>
  <c r="F24" i="5"/>
  <c r="M24" i="5" s="1"/>
  <c r="C24" i="5"/>
  <c r="M23" i="5"/>
  <c r="L23" i="5"/>
  <c r="K23" i="5"/>
  <c r="J23" i="5"/>
  <c r="F23" i="5"/>
  <c r="I22" i="5"/>
  <c r="H22" i="5"/>
  <c r="G22" i="5"/>
  <c r="G60" i="5" s="1"/>
  <c r="E22" i="5"/>
  <c r="D22" i="5"/>
  <c r="M21" i="5"/>
  <c r="L21" i="5"/>
  <c r="K21" i="5"/>
  <c r="J21" i="5"/>
  <c r="F21" i="5"/>
  <c r="K20" i="5"/>
  <c r="J20" i="5"/>
  <c r="F20" i="5"/>
  <c r="K19" i="5"/>
  <c r="J19" i="5"/>
  <c r="F19" i="5"/>
  <c r="C19" i="5"/>
  <c r="M18" i="5"/>
  <c r="K18" i="5"/>
  <c r="J18" i="5"/>
  <c r="C18" i="5"/>
  <c r="F18" i="5" s="1"/>
  <c r="L18" i="5" s="1"/>
  <c r="L17" i="5"/>
  <c r="K17" i="5"/>
  <c r="J17" i="5"/>
  <c r="F17" i="5"/>
  <c r="M17" i="5" s="1"/>
  <c r="K16" i="5"/>
  <c r="J16" i="5"/>
  <c r="F16" i="5"/>
  <c r="M15" i="5"/>
  <c r="L15" i="5"/>
  <c r="K15" i="5"/>
  <c r="J15" i="5"/>
  <c r="F15" i="5"/>
  <c r="K14" i="5"/>
  <c r="J14" i="5"/>
  <c r="F14" i="5"/>
  <c r="C14" i="5"/>
  <c r="K13" i="5"/>
  <c r="J13" i="5"/>
  <c r="C13" i="5"/>
  <c r="M12" i="5"/>
  <c r="K12" i="5"/>
  <c r="J12" i="5"/>
  <c r="F12" i="5"/>
  <c r="L12" i="5" s="1"/>
  <c r="C12" i="5"/>
  <c r="M11" i="5"/>
  <c r="K11" i="5"/>
  <c r="J11" i="5"/>
  <c r="F11" i="5"/>
  <c r="L11" i="5" s="1"/>
  <c r="K10" i="5"/>
  <c r="J10" i="5"/>
  <c r="F10" i="5"/>
  <c r="M9" i="5"/>
  <c r="K9" i="5"/>
  <c r="J9" i="5"/>
  <c r="F9" i="5"/>
  <c r="L9" i="5" s="1"/>
  <c r="C9" i="5"/>
  <c r="M8" i="5"/>
  <c r="L8" i="5"/>
  <c r="K8" i="5"/>
  <c r="J8" i="5"/>
  <c r="F8" i="5"/>
  <c r="K7" i="5"/>
  <c r="J7" i="5"/>
  <c r="F7" i="5"/>
  <c r="M6" i="5"/>
  <c r="K6" i="5"/>
  <c r="J6" i="5"/>
  <c r="F6" i="5"/>
  <c r="L6" i="5" s="1"/>
  <c r="L5" i="5"/>
  <c r="K5" i="5"/>
  <c r="J5" i="5"/>
  <c r="J22" i="5" s="1"/>
  <c r="D328" i="5" s="1"/>
  <c r="F5" i="5"/>
  <c r="M5" i="5" s="1"/>
  <c r="M4" i="5"/>
  <c r="K4" i="5"/>
  <c r="J4" i="5"/>
  <c r="F4" i="5"/>
  <c r="L4" i="5" s="1"/>
  <c r="K3" i="5"/>
  <c r="J3" i="5"/>
  <c r="C3" i="5"/>
  <c r="F3" i="5" s="1"/>
  <c r="E576" i="4"/>
  <c r="D576" i="4"/>
  <c r="I575" i="4"/>
  <c r="H575" i="4"/>
  <c r="E575" i="4"/>
  <c r="D575" i="4"/>
  <c r="C575" i="4"/>
  <c r="L574" i="4"/>
  <c r="K574" i="4"/>
  <c r="J574" i="4"/>
  <c r="F574" i="4"/>
  <c r="F573" i="4"/>
  <c r="K572" i="4"/>
  <c r="J572" i="4"/>
  <c r="F572" i="4"/>
  <c r="L572" i="4" s="1"/>
  <c r="K571" i="4"/>
  <c r="J571" i="4"/>
  <c r="F571" i="4"/>
  <c r="L571" i="4" s="1"/>
  <c r="K570" i="4"/>
  <c r="J570" i="4"/>
  <c r="F570" i="4"/>
  <c r="L570" i="4" s="1"/>
  <c r="K569" i="4"/>
  <c r="J569" i="4"/>
  <c r="F569" i="4"/>
  <c r="L569" i="4" s="1"/>
  <c r="L568" i="4"/>
  <c r="K568" i="4"/>
  <c r="J568" i="4"/>
  <c r="F568" i="4"/>
  <c r="K567" i="4"/>
  <c r="J567" i="4"/>
  <c r="F567" i="4"/>
  <c r="L567" i="4" s="1"/>
  <c r="K566" i="4"/>
  <c r="J566" i="4"/>
  <c r="F566" i="4"/>
  <c r="L566" i="4" s="1"/>
  <c r="K565" i="4"/>
  <c r="J565" i="4"/>
  <c r="F565" i="4"/>
  <c r="L565" i="4" s="1"/>
  <c r="K564" i="4"/>
  <c r="J564" i="4"/>
  <c r="F564" i="4"/>
  <c r="L564" i="4" s="1"/>
  <c r="K563" i="4"/>
  <c r="J563" i="4"/>
  <c r="F563" i="4"/>
  <c r="L563" i="4" s="1"/>
  <c r="K562" i="4"/>
  <c r="J562" i="4"/>
  <c r="F562" i="4"/>
  <c r="L562" i="4" s="1"/>
  <c r="K561" i="4"/>
  <c r="J561" i="4"/>
  <c r="F561" i="4"/>
  <c r="L561" i="4" s="1"/>
  <c r="L560" i="4"/>
  <c r="K560" i="4"/>
  <c r="J560" i="4"/>
  <c r="F560" i="4"/>
  <c r="K559" i="4"/>
  <c r="J559" i="4"/>
  <c r="F559" i="4"/>
  <c r="L559" i="4" s="1"/>
  <c r="K558" i="4"/>
  <c r="J558" i="4"/>
  <c r="F558" i="4"/>
  <c r="L558" i="4" s="1"/>
  <c r="K557" i="4"/>
  <c r="J557" i="4"/>
  <c r="F557" i="4"/>
  <c r="L557" i="4" s="1"/>
  <c r="L556" i="4"/>
  <c r="K556" i="4"/>
  <c r="J556" i="4"/>
  <c r="F556" i="4"/>
  <c r="K555" i="4"/>
  <c r="J555" i="4"/>
  <c r="F555" i="4"/>
  <c r="L555" i="4" s="1"/>
  <c r="K554" i="4"/>
  <c r="J554" i="4"/>
  <c r="F554" i="4"/>
  <c r="L554" i="4" s="1"/>
  <c r="K553" i="4"/>
  <c r="J553" i="4"/>
  <c r="F553" i="4"/>
  <c r="L553" i="4" s="1"/>
  <c r="K552" i="4"/>
  <c r="J552" i="4"/>
  <c r="F552" i="4"/>
  <c r="L552" i="4" s="1"/>
  <c r="K551" i="4"/>
  <c r="J551" i="4"/>
  <c r="F551" i="4"/>
  <c r="L551" i="4" s="1"/>
  <c r="K550" i="4"/>
  <c r="J550" i="4"/>
  <c r="F550" i="4"/>
  <c r="L550" i="4" s="1"/>
  <c r="K549" i="4"/>
  <c r="J549" i="4"/>
  <c r="F549" i="4"/>
  <c r="L549" i="4" s="1"/>
  <c r="K548" i="4"/>
  <c r="J548" i="4"/>
  <c r="F548" i="4"/>
  <c r="L548" i="4" s="1"/>
  <c r="K547" i="4"/>
  <c r="J547" i="4"/>
  <c r="F547" i="4"/>
  <c r="L547" i="4" s="1"/>
  <c r="K546" i="4"/>
  <c r="J546" i="4"/>
  <c r="F546" i="4"/>
  <c r="L546" i="4" s="1"/>
  <c r="K545" i="4"/>
  <c r="J545" i="4"/>
  <c r="F545" i="4"/>
  <c r="L545" i="4" s="1"/>
  <c r="M544" i="4"/>
  <c r="L544" i="4"/>
  <c r="K544" i="4"/>
  <c r="J544" i="4"/>
  <c r="F544" i="4"/>
  <c r="K543" i="4"/>
  <c r="J543" i="4"/>
  <c r="F543" i="4"/>
  <c r="L543" i="4" s="1"/>
  <c r="L542" i="4"/>
  <c r="K542" i="4"/>
  <c r="J542" i="4"/>
  <c r="F542" i="4"/>
  <c r="L541" i="4"/>
  <c r="K541" i="4"/>
  <c r="J541" i="4"/>
  <c r="F541" i="4"/>
  <c r="L540" i="4"/>
  <c r="K540" i="4"/>
  <c r="J540" i="4"/>
  <c r="F540" i="4"/>
  <c r="K539" i="4"/>
  <c r="J539" i="4"/>
  <c r="F539" i="4"/>
  <c r="L539" i="4" s="1"/>
  <c r="L538" i="4"/>
  <c r="K538" i="4"/>
  <c r="J538" i="4"/>
  <c r="F538" i="4"/>
  <c r="K537" i="4"/>
  <c r="J537" i="4"/>
  <c r="F537" i="4"/>
  <c r="L537" i="4" s="1"/>
  <c r="L536" i="4"/>
  <c r="K536" i="4"/>
  <c r="J536" i="4"/>
  <c r="F536" i="4"/>
  <c r="K535" i="4"/>
  <c r="J535" i="4"/>
  <c r="F535" i="4"/>
  <c r="L535" i="4" s="1"/>
  <c r="L534" i="4"/>
  <c r="K534" i="4"/>
  <c r="J534" i="4"/>
  <c r="F534" i="4"/>
  <c r="L533" i="4"/>
  <c r="K533" i="4"/>
  <c r="J533" i="4"/>
  <c r="F533" i="4"/>
  <c r="L532" i="4"/>
  <c r="K532" i="4"/>
  <c r="J532" i="4"/>
  <c r="F532" i="4"/>
  <c r="K531" i="4"/>
  <c r="J531" i="4"/>
  <c r="F531" i="4"/>
  <c r="L531" i="4" s="1"/>
  <c r="L530" i="4"/>
  <c r="K530" i="4"/>
  <c r="J530" i="4"/>
  <c r="F530" i="4"/>
  <c r="L529" i="4"/>
  <c r="K529" i="4"/>
  <c r="J529" i="4"/>
  <c r="F529" i="4"/>
  <c r="L528" i="4"/>
  <c r="K528" i="4"/>
  <c r="J528" i="4"/>
  <c r="F528" i="4"/>
  <c r="K527" i="4"/>
  <c r="J527" i="4"/>
  <c r="F527" i="4"/>
  <c r="L527" i="4" s="1"/>
  <c r="L526" i="4"/>
  <c r="K526" i="4"/>
  <c r="J526" i="4"/>
  <c r="J575" i="4" s="1"/>
  <c r="F526" i="4"/>
  <c r="J525" i="4"/>
  <c r="G525" i="4"/>
  <c r="K525" i="4" s="1"/>
  <c r="F525" i="4"/>
  <c r="L524" i="4"/>
  <c r="K524" i="4"/>
  <c r="J524" i="4"/>
  <c r="F524" i="4"/>
  <c r="K523" i="4"/>
  <c r="J523" i="4"/>
  <c r="F523" i="4"/>
  <c r="L523" i="4" s="1"/>
  <c r="K522" i="4"/>
  <c r="J522" i="4"/>
  <c r="F522" i="4"/>
  <c r="L522" i="4" s="1"/>
  <c r="K521" i="4"/>
  <c r="J521" i="4"/>
  <c r="F521" i="4"/>
  <c r="L521" i="4" s="1"/>
  <c r="L520" i="4"/>
  <c r="K520" i="4"/>
  <c r="J520" i="4"/>
  <c r="F520" i="4"/>
  <c r="K519" i="4"/>
  <c r="J519" i="4"/>
  <c r="F519" i="4"/>
  <c r="L519" i="4" s="1"/>
  <c r="L518" i="4"/>
  <c r="K518" i="4"/>
  <c r="J518" i="4"/>
  <c r="F518" i="4"/>
  <c r="K517" i="4"/>
  <c r="J517" i="4"/>
  <c r="F517" i="4"/>
  <c r="L517" i="4" s="1"/>
  <c r="L516" i="4"/>
  <c r="K516" i="4"/>
  <c r="J516" i="4"/>
  <c r="F516" i="4"/>
  <c r="K515" i="4"/>
  <c r="J515" i="4"/>
  <c r="F515" i="4"/>
  <c r="L515" i="4" s="1"/>
  <c r="K514" i="4"/>
  <c r="J514" i="4"/>
  <c r="F514" i="4"/>
  <c r="L514" i="4" s="1"/>
  <c r="K513" i="4"/>
  <c r="J513" i="4"/>
  <c r="F513" i="4"/>
  <c r="L513" i="4" s="1"/>
  <c r="L512" i="4"/>
  <c r="K512" i="4"/>
  <c r="J512" i="4"/>
  <c r="F512" i="4"/>
  <c r="K511" i="4"/>
  <c r="J511" i="4"/>
  <c r="F511" i="4"/>
  <c r="L511" i="4" s="1"/>
  <c r="K510" i="4"/>
  <c r="J510" i="4"/>
  <c r="F510" i="4"/>
  <c r="L510" i="4" s="1"/>
  <c r="K509" i="4"/>
  <c r="J509" i="4"/>
  <c r="F509" i="4"/>
  <c r="L509" i="4" s="1"/>
  <c r="L508" i="4"/>
  <c r="K508" i="4"/>
  <c r="J508" i="4"/>
  <c r="F508" i="4"/>
  <c r="K507" i="4"/>
  <c r="J507" i="4"/>
  <c r="F507" i="4"/>
  <c r="L507" i="4" s="1"/>
  <c r="K506" i="4"/>
  <c r="J506" i="4"/>
  <c r="F506" i="4"/>
  <c r="L506" i="4" s="1"/>
  <c r="K505" i="4"/>
  <c r="J505" i="4"/>
  <c r="F505" i="4"/>
  <c r="L505" i="4" s="1"/>
  <c r="L504" i="4"/>
  <c r="K504" i="4"/>
  <c r="J504" i="4"/>
  <c r="F504" i="4"/>
  <c r="K503" i="4"/>
  <c r="J503" i="4"/>
  <c r="F503" i="4"/>
  <c r="L503" i="4" s="1"/>
  <c r="L502" i="4"/>
  <c r="K502" i="4"/>
  <c r="J502" i="4"/>
  <c r="F502" i="4"/>
  <c r="K501" i="4"/>
  <c r="J501" i="4"/>
  <c r="F501" i="4"/>
  <c r="L501" i="4" s="1"/>
  <c r="L500" i="4"/>
  <c r="K500" i="4"/>
  <c r="J500" i="4"/>
  <c r="F500" i="4"/>
  <c r="J499" i="4"/>
  <c r="G499" i="4"/>
  <c r="F499" i="4"/>
  <c r="L498" i="4"/>
  <c r="K498" i="4"/>
  <c r="J498" i="4"/>
  <c r="F498" i="4"/>
  <c r="K497" i="4"/>
  <c r="J497" i="4"/>
  <c r="F497" i="4"/>
  <c r="L497" i="4" s="1"/>
  <c r="L496" i="4"/>
  <c r="K496" i="4"/>
  <c r="J496" i="4"/>
  <c r="F496" i="4"/>
  <c r="K495" i="4"/>
  <c r="J495" i="4"/>
  <c r="F495" i="4"/>
  <c r="L495" i="4" s="1"/>
  <c r="L494" i="4"/>
  <c r="K494" i="4"/>
  <c r="J494" i="4"/>
  <c r="F494" i="4"/>
  <c r="L493" i="4"/>
  <c r="K493" i="4"/>
  <c r="J493" i="4"/>
  <c r="F493" i="4"/>
  <c r="L492" i="4"/>
  <c r="K492" i="4"/>
  <c r="J492" i="4"/>
  <c r="F492" i="4"/>
  <c r="K491" i="4"/>
  <c r="J491" i="4"/>
  <c r="F491" i="4"/>
  <c r="L491" i="4" s="1"/>
  <c r="L490" i="4"/>
  <c r="K490" i="4"/>
  <c r="J490" i="4"/>
  <c r="F490" i="4"/>
  <c r="L489" i="4"/>
  <c r="K489" i="4"/>
  <c r="J489" i="4"/>
  <c r="F489" i="4"/>
  <c r="L488" i="4"/>
  <c r="K488" i="4"/>
  <c r="J488" i="4"/>
  <c r="F488" i="4"/>
  <c r="K487" i="4"/>
  <c r="J487" i="4"/>
  <c r="F487" i="4"/>
  <c r="L487" i="4" s="1"/>
  <c r="L486" i="4"/>
  <c r="K486" i="4"/>
  <c r="J486" i="4"/>
  <c r="F486" i="4"/>
  <c r="L485" i="4"/>
  <c r="K485" i="4"/>
  <c r="J485" i="4"/>
  <c r="F485" i="4"/>
  <c r="L484" i="4"/>
  <c r="K484" i="4"/>
  <c r="J484" i="4"/>
  <c r="F484" i="4"/>
  <c r="K483" i="4"/>
  <c r="J483" i="4"/>
  <c r="F483" i="4"/>
  <c r="L483" i="4" s="1"/>
  <c r="L482" i="4"/>
  <c r="K482" i="4"/>
  <c r="J482" i="4"/>
  <c r="F482" i="4"/>
  <c r="K481" i="4"/>
  <c r="J481" i="4"/>
  <c r="F481" i="4"/>
  <c r="L481" i="4" s="1"/>
  <c r="L480" i="4"/>
  <c r="K480" i="4"/>
  <c r="J480" i="4"/>
  <c r="F480" i="4"/>
  <c r="K479" i="4"/>
  <c r="J479" i="4"/>
  <c r="F479" i="4"/>
  <c r="L479" i="4" s="1"/>
  <c r="L478" i="4"/>
  <c r="K478" i="4"/>
  <c r="J478" i="4"/>
  <c r="F478" i="4"/>
  <c r="K477" i="4"/>
  <c r="J477" i="4"/>
  <c r="F477" i="4"/>
  <c r="L477" i="4" s="1"/>
  <c r="L476" i="4"/>
  <c r="K476" i="4"/>
  <c r="J476" i="4"/>
  <c r="F476" i="4"/>
  <c r="K475" i="4"/>
  <c r="J475" i="4"/>
  <c r="F475" i="4"/>
  <c r="L475" i="4" s="1"/>
  <c r="L474" i="4"/>
  <c r="K474" i="4"/>
  <c r="J474" i="4"/>
  <c r="F474" i="4"/>
  <c r="K473" i="4"/>
  <c r="J473" i="4"/>
  <c r="F473" i="4"/>
  <c r="L473" i="4" s="1"/>
  <c r="L472" i="4"/>
  <c r="K472" i="4"/>
  <c r="J472" i="4"/>
  <c r="F472" i="4"/>
  <c r="K471" i="4"/>
  <c r="J471" i="4"/>
  <c r="F471" i="4"/>
  <c r="L471" i="4" s="1"/>
  <c r="L470" i="4"/>
  <c r="K470" i="4"/>
  <c r="J470" i="4"/>
  <c r="F470" i="4"/>
  <c r="L469" i="4"/>
  <c r="K469" i="4"/>
  <c r="J469" i="4"/>
  <c r="F469" i="4"/>
  <c r="L468" i="4"/>
  <c r="K468" i="4"/>
  <c r="J468" i="4"/>
  <c r="F468" i="4"/>
  <c r="K467" i="4"/>
  <c r="J467" i="4"/>
  <c r="F467" i="4"/>
  <c r="L467" i="4" s="1"/>
  <c r="L466" i="4"/>
  <c r="K466" i="4"/>
  <c r="J466" i="4"/>
  <c r="F466" i="4"/>
  <c r="I465" i="4"/>
  <c r="I576" i="4" s="1"/>
  <c r="H465" i="4"/>
  <c r="H576" i="4" s="1"/>
  <c r="G465" i="4"/>
  <c r="E465" i="4"/>
  <c r="D465" i="4"/>
  <c r="C465" i="4"/>
  <c r="L464" i="4"/>
  <c r="K464" i="4"/>
  <c r="J464" i="4"/>
  <c r="F464" i="4"/>
  <c r="L463" i="4"/>
  <c r="K463" i="4"/>
  <c r="J463" i="4"/>
  <c r="F463" i="4"/>
  <c r="L462" i="4"/>
  <c r="K462" i="4"/>
  <c r="J462" i="4"/>
  <c r="F462" i="4"/>
  <c r="K461" i="4"/>
  <c r="J461" i="4"/>
  <c r="F461" i="4"/>
  <c r="L461" i="4" s="1"/>
  <c r="L460" i="4"/>
  <c r="K460" i="4"/>
  <c r="J460" i="4"/>
  <c r="F460" i="4"/>
  <c r="K459" i="4"/>
  <c r="J459" i="4"/>
  <c r="F459" i="4"/>
  <c r="L459" i="4" s="1"/>
  <c r="L458" i="4"/>
  <c r="K458" i="4"/>
  <c r="J458" i="4"/>
  <c r="F458" i="4"/>
  <c r="K457" i="4"/>
  <c r="J457" i="4"/>
  <c r="F457" i="4"/>
  <c r="L457" i="4" s="1"/>
  <c r="L456" i="4"/>
  <c r="K456" i="4"/>
  <c r="J456" i="4"/>
  <c r="F456" i="4"/>
  <c r="K455" i="4"/>
  <c r="J455" i="4"/>
  <c r="F455" i="4"/>
  <c r="L455" i="4" s="1"/>
  <c r="L454" i="4"/>
  <c r="K454" i="4"/>
  <c r="J454" i="4"/>
  <c r="F454" i="4"/>
  <c r="K453" i="4"/>
  <c r="J453" i="4"/>
  <c r="F453" i="4"/>
  <c r="L453" i="4" s="1"/>
  <c r="L452" i="4"/>
  <c r="K452" i="4"/>
  <c r="J452" i="4"/>
  <c r="F452" i="4"/>
  <c r="K451" i="4"/>
  <c r="J451" i="4"/>
  <c r="F451" i="4"/>
  <c r="L451" i="4" s="1"/>
  <c r="L450" i="4"/>
  <c r="K450" i="4"/>
  <c r="J450" i="4"/>
  <c r="F450" i="4"/>
  <c r="K449" i="4"/>
  <c r="J449" i="4"/>
  <c r="F449" i="4"/>
  <c r="L449" i="4" s="1"/>
  <c r="L448" i="4"/>
  <c r="K448" i="4"/>
  <c r="J448" i="4"/>
  <c r="F448" i="4"/>
  <c r="L447" i="4"/>
  <c r="K447" i="4"/>
  <c r="J447" i="4"/>
  <c r="F447" i="4"/>
  <c r="L446" i="4"/>
  <c r="K446" i="4"/>
  <c r="J446" i="4"/>
  <c r="F446" i="4"/>
  <c r="K445" i="4"/>
  <c r="J445" i="4"/>
  <c r="F445" i="4"/>
  <c r="L445" i="4" s="1"/>
  <c r="L444" i="4"/>
  <c r="K444" i="4"/>
  <c r="K465" i="4" s="1"/>
  <c r="J444" i="4"/>
  <c r="F444" i="4"/>
  <c r="K443" i="4"/>
  <c r="J443" i="4"/>
  <c r="F443" i="4"/>
  <c r="L443" i="4" s="1"/>
  <c r="L442" i="4"/>
  <c r="K442" i="4"/>
  <c r="J442" i="4"/>
  <c r="F442" i="4"/>
  <c r="K441" i="4"/>
  <c r="J441" i="4"/>
  <c r="F441" i="4"/>
  <c r="L441" i="4" s="1"/>
  <c r="L440" i="4"/>
  <c r="K440" i="4"/>
  <c r="J440" i="4"/>
  <c r="F440" i="4"/>
  <c r="L439" i="4"/>
  <c r="K439" i="4"/>
  <c r="J439" i="4"/>
  <c r="F439" i="4"/>
  <c r="L438" i="4"/>
  <c r="K438" i="4"/>
  <c r="J438" i="4"/>
  <c r="F438" i="4"/>
  <c r="K437" i="4"/>
  <c r="J437" i="4"/>
  <c r="F437" i="4"/>
  <c r="F465" i="4" s="1"/>
  <c r="I436" i="4"/>
  <c r="H436" i="4"/>
  <c r="G436" i="4"/>
  <c r="E436" i="4"/>
  <c r="D436" i="4"/>
  <c r="C436" i="4"/>
  <c r="L435" i="4"/>
  <c r="K435" i="4"/>
  <c r="J435" i="4"/>
  <c r="F435" i="4"/>
  <c r="K434" i="4"/>
  <c r="J434" i="4"/>
  <c r="F434" i="4"/>
  <c r="L434" i="4" s="1"/>
  <c r="L433" i="4"/>
  <c r="K433" i="4"/>
  <c r="J433" i="4"/>
  <c r="F433" i="4"/>
  <c r="L432" i="4"/>
  <c r="K432" i="4"/>
  <c r="J432" i="4"/>
  <c r="F432" i="4"/>
  <c r="L431" i="4"/>
  <c r="K431" i="4"/>
  <c r="J431" i="4"/>
  <c r="F431" i="4"/>
  <c r="K430" i="4"/>
  <c r="J430" i="4"/>
  <c r="F430" i="4"/>
  <c r="L430" i="4" s="1"/>
  <c r="L429" i="4"/>
  <c r="K429" i="4"/>
  <c r="J429" i="4"/>
  <c r="F429" i="4"/>
  <c r="L428" i="4"/>
  <c r="K428" i="4"/>
  <c r="J428" i="4"/>
  <c r="F428" i="4"/>
  <c r="L427" i="4"/>
  <c r="K427" i="4"/>
  <c r="J427" i="4"/>
  <c r="F427" i="4"/>
  <c r="K426" i="4"/>
  <c r="J426" i="4"/>
  <c r="F426" i="4"/>
  <c r="L426" i="4" s="1"/>
  <c r="L425" i="4"/>
  <c r="K425" i="4"/>
  <c r="J425" i="4"/>
  <c r="F425" i="4"/>
  <c r="L424" i="4"/>
  <c r="K424" i="4"/>
  <c r="J424" i="4"/>
  <c r="F424" i="4"/>
  <c r="I423" i="4"/>
  <c r="H423" i="4"/>
  <c r="G423" i="4"/>
  <c r="E423" i="4"/>
  <c r="D423" i="4"/>
  <c r="C423" i="4"/>
  <c r="K422" i="4"/>
  <c r="J422" i="4"/>
  <c r="F422" i="4"/>
  <c r="L422" i="4" s="1"/>
  <c r="L421" i="4"/>
  <c r="K421" i="4"/>
  <c r="J421" i="4"/>
  <c r="F421" i="4"/>
  <c r="K420" i="4"/>
  <c r="J420" i="4"/>
  <c r="F420" i="4"/>
  <c r="L420" i="4" s="1"/>
  <c r="L419" i="4"/>
  <c r="K419" i="4"/>
  <c r="J419" i="4"/>
  <c r="F419" i="4"/>
  <c r="K418" i="4"/>
  <c r="J418" i="4"/>
  <c r="F418" i="4"/>
  <c r="L418" i="4" s="1"/>
  <c r="L417" i="4"/>
  <c r="K417" i="4"/>
  <c r="J417" i="4"/>
  <c r="F417" i="4"/>
  <c r="K416" i="4"/>
  <c r="J416" i="4"/>
  <c r="F416" i="4"/>
  <c r="L416" i="4" s="1"/>
  <c r="L415" i="4"/>
  <c r="K415" i="4"/>
  <c r="J415" i="4"/>
  <c r="F415" i="4"/>
  <c r="L414" i="4"/>
  <c r="K414" i="4"/>
  <c r="J414" i="4"/>
  <c r="F414" i="4"/>
  <c r="L413" i="4"/>
  <c r="K413" i="4"/>
  <c r="J413" i="4"/>
  <c r="F413" i="4"/>
  <c r="K412" i="4"/>
  <c r="J412" i="4"/>
  <c r="F412" i="4"/>
  <c r="L412" i="4" s="1"/>
  <c r="L411" i="4"/>
  <c r="K411" i="4"/>
  <c r="J411" i="4"/>
  <c r="F411" i="4"/>
  <c r="K410" i="4"/>
  <c r="J410" i="4"/>
  <c r="F410" i="4"/>
  <c r="L410" i="4" s="1"/>
  <c r="L409" i="4"/>
  <c r="K409" i="4"/>
  <c r="J409" i="4"/>
  <c r="F409" i="4"/>
  <c r="K408" i="4"/>
  <c r="J408" i="4"/>
  <c r="F408" i="4"/>
  <c r="L408" i="4" s="1"/>
  <c r="L407" i="4"/>
  <c r="K407" i="4"/>
  <c r="J407" i="4"/>
  <c r="F407" i="4"/>
  <c r="L406" i="4"/>
  <c r="K406" i="4"/>
  <c r="J406" i="4"/>
  <c r="F406" i="4"/>
  <c r="L405" i="4"/>
  <c r="K405" i="4"/>
  <c r="J405" i="4"/>
  <c r="F405" i="4"/>
  <c r="K404" i="4"/>
  <c r="J404" i="4"/>
  <c r="F404" i="4"/>
  <c r="L404" i="4" s="1"/>
  <c r="L403" i="4"/>
  <c r="K403" i="4"/>
  <c r="J403" i="4"/>
  <c r="F403" i="4"/>
  <c r="K402" i="4"/>
  <c r="J402" i="4"/>
  <c r="F402" i="4"/>
  <c r="L402" i="4" s="1"/>
  <c r="L401" i="4"/>
  <c r="K401" i="4"/>
  <c r="J401" i="4"/>
  <c r="F401" i="4"/>
  <c r="K400" i="4"/>
  <c r="J400" i="4"/>
  <c r="F400" i="4"/>
  <c r="L400" i="4" s="1"/>
  <c r="L399" i="4"/>
  <c r="K399" i="4"/>
  <c r="J399" i="4"/>
  <c r="F399" i="4"/>
  <c r="K398" i="4"/>
  <c r="J398" i="4"/>
  <c r="F398" i="4"/>
  <c r="L398" i="4" s="1"/>
  <c r="L397" i="4"/>
  <c r="K397" i="4"/>
  <c r="J397" i="4"/>
  <c r="F397" i="4"/>
  <c r="K396" i="4"/>
  <c r="J396" i="4"/>
  <c r="F396" i="4"/>
  <c r="L396" i="4" s="1"/>
  <c r="L395" i="4"/>
  <c r="K395" i="4"/>
  <c r="J395" i="4"/>
  <c r="F395" i="4"/>
  <c r="K394" i="4"/>
  <c r="J394" i="4"/>
  <c r="F394" i="4"/>
  <c r="L394" i="4" s="1"/>
  <c r="L393" i="4"/>
  <c r="K393" i="4"/>
  <c r="J393" i="4"/>
  <c r="F393" i="4"/>
  <c r="K392" i="4"/>
  <c r="J392" i="4"/>
  <c r="F392" i="4"/>
  <c r="L392" i="4" s="1"/>
  <c r="L391" i="4"/>
  <c r="K391" i="4"/>
  <c r="J391" i="4"/>
  <c r="F391" i="4"/>
  <c r="L390" i="4"/>
  <c r="K390" i="4"/>
  <c r="J390" i="4"/>
  <c r="F390" i="4"/>
  <c r="L389" i="4"/>
  <c r="K389" i="4"/>
  <c r="J389" i="4"/>
  <c r="F389" i="4"/>
  <c r="K388" i="4"/>
  <c r="J388" i="4"/>
  <c r="F388" i="4"/>
  <c r="L388" i="4" s="1"/>
  <c r="L387" i="4"/>
  <c r="K387" i="4"/>
  <c r="J387" i="4"/>
  <c r="F387" i="4"/>
  <c r="K386" i="4"/>
  <c r="J386" i="4"/>
  <c r="F386" i="4"/>
  <c r="L386" i="4" s="1"/>
  <c r="L385" i="4"/>
  <c r="K385" i="4"/>
  <c r="J385" i="4"/>
  <c r="F385" i="4"/>
  <c r="K384" i="4"/>
  <c r="J384" i="4"/>
  <c r="F384" i="4"/>
  <c r="L384" i="4" s="1"/>
  <c r="L383" i="4"/>
  <c r="K383" i="4"/>
  <c r="J383" i="4"/>
  <c r="F383" i="4"/>
  <c r="L382" i="4"/>
  <c r="K382" i="4"/>
  <c r="J382" i="4"/>
  <c r="F382" i="4"/>
  <c r="L381" i="4"/>
  <c r="K381" i="4"/>
  <c r="J381" i="4"/>
  <c r="F381" i="4"/>
  <c r="K380" i="4"/>
  <c r="J380" i="4"/>
  <c r="F380" i="4"/>
  <c r="L380" i="4" s="1"/>
  <c r="L379" i="4"/>
  <c r="K379" i="4"/>
  <c r="J379" i="4"/>
  <c r="F379" i="4"/>
  <c r="L378" i="4"/>
  <c r="K378" i="4"/>
  <c r="J378" i="4"/>
  <c r="F378" i="4"/>
  <c r="L377" i="4"/>
  <c r="K377" i="4"/>
  <c r="J377" i="4"/>
  <c r="F377" i="4"/>
  <c r="K376" i="4"/>
  <c r="J376" i="4"/>
  <c r="F376" i="4"/>
  <c r="L376" i="4" s="1"/>
  <c r="L375" i="4"/>
  <c r="K375" i="4"/>
  <c r="J375" i="4"/>
  <c r="F375" i="4"/>
  <c r="L374" i="4"/>
  <c r="K374" i="4"/>
  <c r="J374" i="4"/>
  <c r="F374" i="4"/>
  <c r="L373" i="4"/>
  <c r="K373" i="4"/>
  <c r="J373" i="4"/>
  <c r="F373" i="4"/>
  <c r="K372" i="4"/>
  <c r="J372" i="4"/>
  <c r="F372" i="4"/>
  <c r="L372" i="4" s="1"/>
  <c r="L371" i="4"/>
  <c r="K371" i="4"/>
  <c r="J371" i="4"/>
  <c r="F371" i="4"/>
  <c r="K370" i="4"/>
  <c r="J370" i="4"/>
  <c r="F370" i="4"/>
  <c r="L370" i="4" s="1"/>
  <c r="L369" i="4"/>
  <c r="K369" i="4"/>
  <c r="J369" i="4"/>
  <c r="F369" i="4"/>
  <c r="K368" i="4"/>
  <c r="J368" i="4"/>
  <c r="F368" i="4"/>
  <c r="L368" i="4" s="1"/>
  <c r="L367" i="4"/>
  <c r="K367" i="4"/>
  <c r="J367" i="4"/>
  <c r="F367" i="4"/>
  <c r="K366" i="4"/>
  <c r="J366" i="4"/>
  <c r="F366" i="4"/>
  <c r="L366" i="4" s="1"/>
  <c r="L365" i="4"/>
  <c r="K365" i="4"/>
  <c r="J365" i="4"/>
  <c r="F365" i="4"/>
  <c r="K364" i="4"/>
  <c r="J364" i="4"/>
  <c r="F364" i="4"/>
  <c r="L364" i="4" s="1"/>
  <c r="L363" i="4"/>
  <c r="K363" i="4"/>
  <c r="J363" i="4"/>
  <c r="F363" i="4"/>
  <c r="K362" i="4"/>
  <c r="J362" i="4"/>
  <c r="F362" i="4"/>
  <c r="L362" i="4" s="1"/>
  <c r="L361" i="4"/>
  <c r="K361" i="4"/>
  <c r="J361" i="4"/>
  <c r="F361" i="4"/>
  <c r="K360" i="4"/>
  <c r="J360" i="4"/>
  <c r="F360" i="4"/>
  <c r="L360" i="4" s="1"/>
  <c r="L359" i="4"/>
  <c r="K359" i="4"/>
  <c r="J359" i="4"/>
  <c r="F359" i="4"/>
  <c r="L358" i="4"/>
  <c r="K358" i="4"/>
  <c r="J358" i="4"/>
  <c r="F358" i="4"/>
  <c r="L357" i="4"/>
  <c r="K357" i="4"/>
  <c r="J357" i="4"/>
  <c r="F357" i="4"/>
  <c r="K356" i="4"/>
  <c r="J356" i="4"/>
  <c r="F356" i="4"/>
  <c r="L356" i="4" s="1"/>
  <c r="L355" i="4"/>
  <c r="K355" i="4"/>
  <c r="J355" i="4"/>
  <c r="F355" i="4"/>
  <c r="K354" i="4"/>
  <c r="J354" i="4"/>
  <c r="F354" i="4"/>
  <c r="L354" i="4" s="1"/>
  <c r="L353" i="4"/>
  <c r="K353" i="4"/>
  <c r="J353" i="4"/>
  <c r="F353" i="4"/>
  <c r="K352" i="4"/>
  <c r="J352" i="4"/>
  <c r="F352" i="4"/>
  <c r="L352" i="4" s="1"/>
  <c r="L351" i="4"/>
  <c r="K351" i="4"/>
  <c r="J351" i="4"/>
  <c r="F351" i="4"/>
  <c r="L350" i="4"/>
  <c r="K350" i="4"/>
  <c r="J350" i="4"/>
  <c r="F350" i="4"/>
  <c r="L349" i="4"/>
  <c r="K349" i="4"/>
  <c r="J349" i="4"/>
  <c r="F349" i="4"/>
  <c r="K348" i="4"/>
  <c r="J348" i="4"/>
  <c r="F348" i="4"/>
  <c r="L348" i="4" s="1"/>
  <c r="L347" i="4"/>
  <c r="K347" i="4"/>
  <c r="J347" i="4"/>
  <c r="F347" i="4"/>
  <c r="L346" i="4"/>
  <c r="K346" i="4"/>
  <c r="J346" i="4"/>
  <c r="F346" i="4"/>
  <c r="F423" i="4" s="1"/>
  <c r="L345" i="4"/>
  <c r="K345" i="4"/>
  <c r="J345" i="4"/>
  <c r="F345" i="4"/>
  <c r="L340" i="4"/>
  <c r="E335" i="4"/>
  <c r="I330" i="4"/>
  <c r="I340" i="4" s="1"/>
  <c r="I325" i="4"/>
  <c r="H325" i="4"/>
  <c r="G325" i="4"/>
  <c r="E325" i="4"/>
  <c r="D325" i="4"/>
  <c r="C325" i="4"/>
  <c r="K324" i="4"/>
  <c r="J324" i="4"/>
  <c r="F324" i="4"/>
  <c r="M323" i="4"/>
  <c r="K323" i="4"/>
  <c r="J323" i="4"/>
  <c r="F323" i="4"/>
  <c r="L323" i="4" s="1"/>
  <c r="M322" i="4"/>
  <c r="L322" i="4"/>
  <c r="K322" i="4"/>
  <c r="J322" i="4"/>
  <c r="F322" i="4"/>
  <c r="K321" i="4"/>
  <c r="J321" i="4"/>
  <c r="F321" i="4"/>
  <c r="M320" i="4"/>
  <c r="L320" i="4"/>
  <c r="K320" i="4"/>
  <c r="J320" i="4"/>
  <c r="F320" i="4"/>
  <c r="L319" i="4"/>
  <c r="K319" i="4"/>
  <c r="J319" i="4"/>
  <c r="F319" i="4"/>
  <c r="M319" i="4" s="1"/>
  <c r="K318" i="4"/>
  <c r="J318" i="4"/>
  <c r="F318" i="4"/>
  <c r="M318" i="4" s="1"/>
  <c r="L317" i="4"/>
  <c r="K317" i="4"/>
  <c r="J317" i="4"/>
  <c r="F317" i="4"/>
  <c r="M317" i="4" s="1"/>
  <c r="L316" i="4"/>
  <c r="K316" i="4"/>
  <c r="J316" i="4"/>
  <c r="F316" i="4"/>
  <c r="M316" i="4" s="1"/>
  <c r="M315" i="4"/>
  <c r="K315" i="4"/>
  <c r="J315" i="4"/>
  <c r="F315" i="4"/>
  <c r="L315" i="4" s="1"/>
  <c r="L314" i="4"/>
  <c r="K314" i="4"/>
  <c r="J314" i="4"/>
  <c r="F314" i="4"/>
  <c r="M314" i="4" s="1"/>
  <c r="M313" i="4"/>
  <c r="K313" i="4"/>
  <c r="J313" i="4"/>
  <c r="F313" i="4"/>
  <c r="L313" i="4" s="1"/>
  <c r="M312" i="4"/>
  <c r="L312" i="4"/>
  <c r="K312" i="4"/>
  <c r="J312" i="4"/>
  <c r="F312" i="4"/>
  <c r="K311" i="4"/>
  <c r="J311" i="4"/>
  <c r="F311" i="4"/>
  <c r="L310" i="4"/>
  <c r="K310" i="4"/>
  <c r="J310" i="4"/>
  <c r="F310" i="4"/>
  <c r="M310" i="4" s="1"/>
  <c r="M309" i="4"/>
  <c r="L309" i="4"/>
  <c r="K309" i="4"/>
  <c r="J309" i="4"/>
  <c r="F309" i="4"/>
  <c r="K308" i="4"/>
  <c r="J308" i="4"/>
  <c r="F308" i="4"/>
  <c r="H307" i="4"/>
  <c r="G307" i="4"/>
  <c r="E307" i="4"/>
  <c r="F307" i="4" s="1"/>
  <c r="M306" i="4"/>
  <c r="K306" i="4"/>
  <c r="J306" i="4"/>
  <c r="F306" i="4"/>
  <c r="L306" i="4" s="1"/>
  <c r="L305" i="4"/>
  <c r="K305" i="4"/>
  <c r="J305" i="4"/>
  <c r="F305" i="4"/>
  <c r="M305" i="4" s="1"/>
  <c r="M304" i="4"/>
  <c r="K304" i="4"/>
  <c r="J304" i="4"/>
  <c r="F304" i="4"/>
  <c r="L304" i="4" s="1"/>
  <c r="M303" i="4"/>
  <c r="L303" i="4"/>
  <c r="K303" i="4"/>
  <c r="J303" i="4"/>
  <c r="F303" i="4"/>
  <c r="K302" i="4"/>
  <c r="J302" i="4"/>
  <c r="F302" i="4"/>
  <c r="L301" i="4"/>
  <c r="K301" i="4"/>
  <c r="J301" i="4"/>
  <c r="F301" i="4"/>
  <c r="M301" i="4" s="1"/>
  <c r="M300" i="4"/>
  <c r="L300" i="4"/>
  <c r="K300" i="4"/>
  <c r="F300" i="4"/>
  <c r="K299" i="4"/>
  <c r="J299" i="4"/>
  <c r="F299" i="4"/>
  <c r="M298" i="4"/>
  <c r="K298" i="4"/>
  <c r="J298" i="4"/>
  <c r="F298" i="4"/>
  <c r="L298" i="4" s="1"/>
  <c r="M297" i="4"/>
  <c r="L297" i="4"/>
  <c r="K297" i="4"/>
  <c r="J297" i="4"/>
  <c r="F297" i="4"/>
  <c r="K296" i="4"/>
  <c r="J296" i="4"/>
  <c r="F296" i="4"/>
  <c r="M295" i="4"/>
  <c r="L295" i="4"/>
  <c r="K295" i="4"/>
  <c r="J295" i="4"/>
  <c r="F295" i="4"/>
  <c r="K294" i="4"/>
  <c r="J294" i="4"/>
  <c r="F294" i="4"/>
  <c r="K293" i="4"/>
  <c r="J293" i="4"/>
  <c r="F293" i="4"/>
  <c r="M293" i="4" s="1"/>
  <c r="M292" i="4"/>
  <c r="K292" i="4"/>
  <c r="J292" i="4"/>
  <c r="F292" i="4"/>
  <c r="L292" i="4" s="1"/>
  <c r="K291" i="4"/>
  <c r="J291" i="4"/>
  <c r="F291" i="4"/>
  <c r="K290" i="4"/>
  <c r="J290" i="4"/>
  <c r="C290" i="4"/>
  <c r="F290" i="4" s="1"/>
  <c r="M289" i="4"/>
  <c r="L289" i="4"/>
  <c r="K289" i="4"/>
  <c r="J289" i="4"/>
  <c r="F289" i="4"/>
  <c r="L288" i="4"/>
  <c r="K288" i="4"/>
  <c r="J288" i="4"/>
  <c r="F288" i="4"/>
  <c r="M288" i="4" s="1"/>
  <c r="M287" i="4"/>
  <c r="K287" i="4"/>
  <c r="J287" i="4"/>
  <c r="F287" i="4"/>
  <c r="L287" i="4" s="1"/>
  <c r="K286" i="4"/>
  <c r="J286" i="4"/>
  <c r="C286" i="4"/>
  <c r="F286" i="4" s="1"/>
  <c r="L285" i="4"/>
  <c r="K285" i="4"/>
  <c r="J285" i="4"/>
  <c r="F285" i="4"/>
  <c r="M285" i="4" s="1"/>
  <c r="M284" i="4"/>
  <c r="K284" i="4"/>
  <c r="J284" i="4"/>
  <c r="C284" i="4"/>
  <c r="F284" i="4" s="1"/>
  <c r="L284" i="4" s="1"/>
  <c r="M283" i="4"/>
  <c r="L283" i="4"/>
  <c r="K283" i="4"/>
  <c r="J283" i="4"/>
  <c r="F283" i="4"/>
  <c r="K282" i="4"/>
  <c r="J282" i="4"/>
  <c r="F282" i="4"/>
  <c r="M282" i="4" s="1"/>
  <c r="M281" i="4"/>
  <c r="K281" i="4"/>
  <c r="J281" i="4"/>
  <c r="F281" i="4"/>
  <c r="L281" i="4" s="1"/>
  <c r="L280" i="4"/>
  <c r="K280" i="4"/>
  <c r="J280" i="4"/>
  <c r="F280" i="4"/>
  <c r="M280" i="4" s="1"/>
  <c r="M279" i="4"/>
  <c r="K279" i="4"/>
  <c r="J279" i="4"/>
  <c r="F279" i="4"/>
  <c r="L279" i="4" s="1"/>
  <c r="M278" i="4"/>
  <c r="L278" i="4"/>
  <c r="K278" i="4"/>
  <c r="J278" i="4"/>
  <c r="F278" i="4"/>
  <c r="K277" i="4"/>
  <c r="J277" i="4"/>
  <c r="F277" i="4"/>
  <c r="K276" i="4"/>
  <c r="J276" i="4"/>
  <c r="F276" i="4"/>
  <c r="M275" i="4"/>
  <c r="L275" i="4"/>
  <c r="K275" i="4"/>
  <c r="J275" i="4"/>
  <c r="F275" i="4"/>
  <c r="K274" i="4"/>
  <c r="J274" i="4"/>
  <c r="F274" i="4"/>
  <c r="K273" i="4"/>
  <c r="J273" i="4"/>
  <c r="F273" i="4"/>
  <c r="L273" i="4" s="1"/>
  <c r="M272" i="4"/>
  <c r="L272" i="4"/>
  <c r="K272" i="4"/>
  <c r="J272" i="4"/>
  <c r="F272" i="4"/>
  <c r="K271" i="4"/>
  <c r="J271" i="4"/>
  <c r="F271" i="4"/>
  <c r="M270" i="4"/>
  <c r="L270" i="4"/>
  <c r="K270" i="4"/>
  <c r="J270" i="4"/>
  <c r="F270" i="4"/>
  <c r="K269" i="4"/>
  <c r="J269" i="4"/>
  <c r="F269" i="4"/>
  <c r="K268" i="4"/>
  <c r="J268" i="4"/>
  <c r="F268" i="4"/>
  <c r="M268" i="4" s="1"/>
  <c r="K267" i="4"/>
  <c r="J267" i="4"/>
  <c r="F267" i="4"/>
  <c r="M266" i="4"/>
  <c r="L266" i="4"/>
  <c r="K266" i="4"/>
  <c r="J266" i="4"/>
  <c r="F266" i="4"/>
  <c r="M265" i="4"/>
  <c r="K265" i="4"/>
  <c r="J265" i="4"/>
  <c r="F265" i="4"/>
  <c r="L265" i="4" s="1"/>
  <c r="L264" i="4"/>
  <c r="K264" i="4"/>
  <c r="J264" i="4"/>
  <c r="F264" i="4"/>
  <c r="M264" i="4" s="1"/>
  <c r="K263" i="4"/>
  <c r="J263" i="4"/>
  <c r="F263" i="4"/>
  <c r="M262" i="4"/>
  <c r="L262" i="4"/>
  <c r="K262" i="4"/>
  <c r="J262" i="4"/>
  <c r="F262" i="4"/>
  <c r="K261" i="4"/>
  <c r="J261" i="4"/>
  <c r="F261" i="4"/>
  <c r="C261" i="4"/>
  <c r="K260" i="4"/>
  <c r="J260" i="4"/>
  <c r="C260" i="4"/>
  <c r="F260" i="4" s="1"/>
  <c r="M259" i="4"/>
  <c r="K259" i="4"/>
  <c r="J259" i="4"/>
  <c r="C259" i="4"/>
  <c r="F259" i="4" s="1"/>
  <c r="L259" i="4" s="1"/>
  <c r="K258" i="4"/>
  <c r="J258" i="4"/>
  <c r="F258" i="4"/>
  <c r="L257" i="4"/>
  <c r="K257" i="4"/>
  <c r="J257" i="4"/>
  <c r="F257" i="4"/>
  <c r="M257" i="4" s="1"/>
  <c r="M256" i="4"/>
  <c r="K256" i="4"/>
  <c r="J256" i="4"/>
  <c r="F256" i="4"/>
  <c r="L256" i="4" s="1"/>
  <c r="L255" i="4"/>
  <c r="K255" i="4"/>
  <c r="J255" i="4"/>
  <c r="F255" i="4"/>
  <c r="M255" i="4" s="1"/>
  <c r="K254" i="4"/>
  <c r="J254" i="4"/>
  <c r="F254" i="4"/>
  <c r="L253" i="4"/>
  <c r="K253" i="4"/>
  <c r="J253" i="4"/>
  <c r="F253" i="4"/>
  <c r="M253" i="4" s="1"/>
  <c r="K252" i="4"/>
  <c r="J252" i="4"/>
  <c r="F252" i="4"/>
  <c r="K251" i="4"/>
  <c r="J251" i="4"/>
  <c r="F251" i="4"/>
  <c r="C251" i="4"/>
  <c r="K250" i="4"/>
  <c r="J250" i="4"/>
  <c r="F250" i="4"/>
  <c r="L250" i="4" s="1"/>
  <c r="C250" i="4"/>
  <c r="L249" i="4"/>
  <c r="K249" i="4"/>
  <c r="J249" i="4"/>
  <c r="F249" i="4"/>
  <c r="M249" i="4" s="1"/>
  <c r="K248" i="4"/>
  <c r="J248" i="4"/>
  <c r="F248" i="4"/>
  <c r="M247" i="4"/>
  <c r="L247" i="4"/>
  <c r="K247" i="4"/>
  <c r="J247" i="4"/>
  <c r="F247" i="4"/>
  <c r="K246" i="4"/>
  <c r="J246" i="4"/>
  <c r="F246" i="4"/>
  <c r="M245" i="4"/>
  <c r="L245" i="4"/>
  <c r="K245" i="4"/>
  <c r="J245" i="4"/>
  <c r="F245" i="4"/>
  <c r="H244" i="4"/>
  <c r="G244" i="4"/>
  <c r="E244" i="4"/>
  <c r="K243" i="4"/>
  <c r="J243" i="4"/>
  <c r="F243" i="4"/>
  <c r="M242" i="4"/>
  <c r="L242" i="4"/>
  <c r="K242" i="4"/>
  <c r="J242" i="4"/>
  <c r="F242" i="4"/>
  <c r="M241" i="4"/>
  <c r="K241" i="4"/>
  <c r="J241" i="4"/>
  <c r="F241" i="4"/>
  <c r="L241" i="4" s="1"/>
  <c r="K240" i="4"/>
  <c r="J240" i="4"/>
  <c r="F240" i="4"/>
  <c r="L240" i="4" s="1"/>
  <c r="M239" i="4"/>
  <c r="L239" i="4"/>
  <c r="K239" i="4"/>
  <c r="J239" i="4"/>
  <c r="F239" i="4"/>
  <c r="K238" i="4"/>
  <c r="J238" i="4"/>
  <c r="F238" i="4"/>
  <c r="L237" i="4"/>
  <c r="K237" i="4"/>
  <c r="J237" i="4"/>
  <c r="F237" i="4"/>
  <c r="M237" i="4" s="1"/>
  <c r="K236" i="4"/>
  <c r="J236" i="4"/>
  <c r="F236" i="4"/>
  <c r="M236" i="4" s="1"/>
  <c r="M235" i="4"/>
  <c r="K235" i="4"/>
  <c r="J235" i="4"/>
  <c r="C235" i="4"/>
  <c r="F235" i="4" s="1"/>
  <c r="L235" i="4" s="1"/>
  <c r="K234" i="4"/>
  <c r="J234" i="4"/>
  <c r="F234" i="4"/>
  <c r="L233" i="4"/>
  <c r="K233" i="4"/>
  <c r="J233" i="4"/>
  <c r="F233" i="4"/>
  <c r="M233" i="4" s="1"/>
  <c r="M232" i="4"/>
  <c r="L232" i="4"/>
  <c r="K232" i="4"/>
  <c r="J232" i="4"/>
  <c r="F232" i="4"/>
  <c r="K231" i="4"/>
  <c r="J231" i="4"/>
  <c r="F231" i="4"/>
  <c r="M230" i="4"/>
  <c r="K230" i="4"/>
  <c r="J230" i="4"/>
  <c r="F230" i="4"/>
  <c r="L230" i="4" s="1"/>
  <c r="M229" i="4"/>
  <c r="L229" i="4"/>
  <c r="K229" i="4"/>
  <c r="J229" i="4"/>
  <c r="F229" i="4"/>
  <c r="L228" i="4"/>
  <c r="K228" i="4"/>
  <c r="J228" i="4"/>
  <c r="F228" i="4"/>
  <c r="M228" i="4" s="1"/>
  <c r="M227" i="4"/>
  <c r="K227" i="4"/>
  <c r="J227" i="4"/>
  <c r="F227" i="4"/>
  <c r="L227" i="4" s="1"/>
  <c r="L226" i="4"/>
  <c r="K226" i="4"/>
  <c r="J226" i="4"/>
  <c r="F226" i="4"/>
  <c r="M226" i="4" s="1"/>
  <c r="K225" i="4"/>
  <c r="J225" i="4"/>
  <c r="F225" i="4"/>
  <c r="K224" i="4"/>
  <c r="J224" i="4"/>
  <c r="F224" i="4"/>
  <c r="K223" i="4"/>
  <c r="J223" i="4"/>
  <c r="F223" i="4"/>
  <c r="M222" i="4"/>
  <c r="K222" i="4"/>
  <c r="J222" i="4"/>
  <c r="F222" i="4"/>
  <c r="L222" i="4" s="1"/>
  <c r="K221" i="4"/>
  <c r="J221" i="4"/>
  <c r="C221" i="4"/>
  <c r="F221" i="4" s="1"/>
  <c r="M220" i="4"/>
  <c r="L220" i="4"/>
  <c r="K220" i="4"/>
  <c r="J220" i="4"/>
  <c r="F220" i="4"/>
  <c r="K219" i="4"/>
  <c r="J219" i="4"/>
  <c r="F219" i="4"/>
  <c r="M218" i="4"/>
  <c r="K218" i="4"/>
  <c r="J218" i="4"/>
  <c r="F218" i="4"/>
  <c r="L218" i="4" s="1"/>
  <c r="L217" i="4"/>
  <c r="K217" i="4"/>
  <c r="J217" i="4"/>
  <c r="F217" i="4"/>
  <c r="M217" i="4" s="1"/>
  <c r="K216" i="4"/>
  <c r="J216" i="4"/>
  <c r="F216" i="4"/>
  <c r="M215" i="4"/>
  <c r="L215" i="4"/>
  <c r="K215" i="4"/>
  <c r="J215" i="4"/>
  <c r="F215" i="4"/>
  <c r="K214" i="4"/>
  <c r="J214" i="4"/>
  <c r="F214" i="4"/>
  <c r="M213" i="4"/>
  <c r="L213" i="4"/>
  <c r="K213" i="4"/>
  <c r="J213" i="4"/>
  <c r="F213" i="4"/>
  <c r="M212" i="4"/>
  <c r="L212" i="4"/>
  <c r="K212" i="4"/>
  <c r="J212" i="4"/>
  <c r="F212" i="4"/>
  <c r="K211" i="4"/>
  <c r="J211" i="4"/>
  <c r="F211" i="4"/>
  <c r="M210" i="4"/>
  <c r="L210" i="4"/>
  <c r="K210" i="4"/>
  <c r="J210" i="4"/>
  <c r="F210" i="4"/>
  <c r="K209" i="4"/>
  <c r="J209" i="4"/>
  <c r="F209" i="4"/>
  <c r="M209" i="4" s="1"/>
  <c r="L208" i="4"/>
  <c r="K208" i="4"/>
  <c r="J208" i="4"/>
  <c r="F208" i="4"/>
  <c r="M208" i="4" s="1"/>
  <c r="K207" i="4"/>
  <c r="J207" i="4"/>
  <c r="F207" i="4"/>
  <c r="K206" i="4"/>
  <c r="J206" i="4"/>
  <c r="F206" i="4"/>
  <c r="M205" i="4"/>
  <c r="L205" i="4"/>
  <c r="K205" i="4"/>
  <c r="J205" i="4"/>
  <c r="F205" i="4"/>
  <c r="C205" i="4"/>
  <c r="K204" i="4"/>
  <c r="J204" i="4"/>
  <c r="F204" i="4"/>
  <c r="K203" i="4"/>
  <c r="J203" i="4"/>
  <c r="F203" i="4"/>
  <c r="M202" i="4"/>
  <c r="L202" i="4"/>
  <c r="K202" i="4"/>
  <c r="J202" i="4"/>
  <c r="F202" i="4"/>
  <c r="L201" i="4"/>
  <c r="K201" i="4"/>
  <c r="J201" i="4"/>
  <c r="F201" i="4"/>
  <c r="M201" i="4" s="1"/>
  <c r="M200" i="4"/>
  <c r="K200" i="4"/>
  <c r="J200" i="4"/>
  <c r="F200" i="4"/>
  <c r="L200" i="4" s="1"/>
  <c r="K199" i="4"/>
  <c r="J199" i="4"/>
  <c r="F199" i="4"/>
  <c r="M198" i="4"/>
  <c r="L198" i="4"/>
  <c r="K198" i="4"/>
  <c r="J198" i="4"/>
  <c r="F198" i="4"/>
  <c r="K197" i="4"/>
  <c r="J197" i="4"/>
  <c r="F197" i="4"/>
  <c r="K196" i="4"/>
  <c r="J196" i="4"/>
  <c r="C196" i="4"/>
  <c r="F196" i="4" s="1"/>
  <c r="M196" i="4" s="1"/>
  <c r="M195" i="4"/>
  <c r="L195" i="4"/>
  <c r="K195" i="4"/>
  <c r="J195" i="4"/>
  <c r="F195" i="4"/>
  <c r="K194" i="4"/>
  <c r="J194" i="4"/>
  <c r="F194" i="4"/>
  <c r="K193" i="4"/>
  <c r="J193" i="4"/>
  <c r="F193" i="4"/>
  <c r="C193" i="4"/>
  <c r="M192" i="4"/>
  <c r="L192" i="4"/>
  <c r="K192" i="4"/>
  <c r="J192" i="4"/>
  <c r="F192" i="4"/>
  <c r="K191" i="4"/>
  <c r="J191" i="4"/>
  <c r="F191" i="4"/>
  <c r="L190" i="4"/>
  <c r="K190" i="4"/>
  <c r="J190" i="4"/>
  <c r="F190" i="4"/>
  <c r="M190" i="4" s="1"/>
  <c r="M189" i="4"/>
  <c r="L189" i="4"/>
  <c r="K189" i="4"/>
  <c r="J189" i="4"/>
  <c r="F189" i="4"/>
  <c r="M188" i="4"/>
  <c r="L188" i="4"/>
  <c r="K188" i="4"/>
  <c r="J188" i="4"/>
  <c r="F188" i="4"/>
  <c r="M187" i="4"/>
  <c r="K187" i="4"/>
  <c r="J187" i="4"/>
  <c r="F187" i="4"/>
  <c r="L187" i="4" s="1"/>
  <c r="M186" i="4"/>
  <c r="L186" i="4"/>
  <c r="K186" i="4"/>
  <c r="J186" i="4"/>
  <c r="F186" i="4"/>
  <c r="M185" i="4"/>
  <c r="L185" i="4"/>
  <c r="K185" i="4"/>
  <c r="J185" i="4"/>
  <c r="F185" i="4"/>
  <c r="K184" i="4"/>
  <c r="J184" i="4"/>
  <c r="F184" i="4"/>
  <c r="M182" i="4"/>
  <c r="L182" i="4"/>
  <c r="K182" i="4"/>
  <c r="J182" i="4"/>
  <c r="F182" i="4"/>
  <c r="M181" i="4"/>
  <c r="L181" i="4"/>
  <c r="K181" i="4"/>
  <c r="J181" i="4"/>
  <c r="F181" i="4"/>
  <c r="M180" i="4"/>
  <c r="L180" i="4"/>
  <c r="K180" i="4"/>
  <c r="J180" i="4"/>
  <c r="F180" i="4"/>
  <c r="M179" i="4"/>
  <c r="K179" i="4"/>
  <c r="J179" i="4"/>
  <c r="F179" i="4"/>
  <c r="L179" i="4" s="1"/>
  <c r="M178" i="4"/>
  <c r="L178" i="4"/>
  <c r="K178" i="4"/>
  <c r="J178" i="4"/>
  <c r="F178" i="4"/>
  <c r="L177" i="4"/>
  <c r="K177" i="4"/>
  <c r="J177" i="4"/>
  <c r="F177" i="4"/>
  <c r="M176" i="4"/>
  <c r="K176" i="4"/>
  <c r="J176" i="4"/>
  <c r="F176" i="4"/>
  <c r="L176" i="4" s="1"/>
  <c r="M175" i="4"/>
  <c r="L175" i="4"/>
  <c r="K175" i="4"/>
  <c r="J175" i="4"/>
  <c r="F175" i="4"/>
  <c r="K174" i="4"/>
  <c r="J174" i="4"/>
  <c r="F174" i="4"/>
  <c r="M173" i="4"/>
  <c r="L173" i="4"/>
  <c r="K173" i="4"/>
  <c r="J173" i="4"/>
  <c r="F173" i="4"/>
  <c r="M172" i="4"/>
  <c r="L172" i="4"/>
  <c r="K172" i="4"/>
  <c r="J172" i="4"/>
  <c r="F172" i="4"/>
  <c r="K171" i="4"/>
  <c r="J171" i="4"/>
  <c r="F171" i="4"/>
  <c r="L171" i="4" s="1"/>
  <c r="L170" i="4"/>
  <c r="K170" i="4"/>
  <c r="J170" i="4"/>
  <c r="F170" i="4"/>
  <c r="M170" i="4" s="1"/>
  <c r="M169" i="4"/>
  <c r="K169" i="4"/>
  <c r="J169" i="4"/>
  <c r="F169" i="4"/>
  <c r="L169" i="4" s="1"/>
  <c r="M168" i="4"/>
  <c r="L168" i="4"/>
  <c r="K168" i="4"/>
  <c r="J168" i="4"/>
  <c r="F168" i="4"/>
  <c r="K167" i="4"/>
  <c r="J167" i="4"/>
  <c r="F167" i="4"/>
  <c r="K166" i="4"/>
  <c r="J166" i="4"/>
  <c r="F166" i="4"/>
  <c r="M165" i="4"/>
  <c r="L165" i="4"/>
  <c r="K165" i="4"/>
  <c r="J165" i="4"/>
  <c r="F165" i="4"/>
  <c r="K164" i="4"/>
  <c r="J164" i="4"/>
  <c r="F164" i="4"/>
  <c r="K163" i="4"/>
  <c r="J163" i="4"/>
  <c r="F163" i="4"/>
  <c r="M162" i="4"/>
  <c r="L162" i="4"/>
  <c r="K162" i="4"/>
  <c r="J162" i="4"/>
  <c r="F162" i="4"/>
  <c r="L161" i="4"/>
  <c r="K161" i="4"/>
  <c r="J161" i="4"/>
  <c r="F161" i="4"/>
  <c r="M161" i="4" s="1"/>
  <c r="M160" i="4"/>
  <c r="K160" i="4"/>
  <c r="J160" i="4"/>
  <c r="F160" i="4"/>
  <c r="L160" i="4" s="1"/>
  <c r="I159" i="4"/>
  <c r="H159" i="4"/>
  <c r="G159" i="4"/>
  <c r="E159" i="4"/>
  <c r="D159" i="4"/>
  <c r="C159" i="4"/>
  <c r="M158" i="4"/>
  <c r="L158" i="4"/>
  <c r="K158" i="4"/>
  <c r="J158" i="4"/>
  <c r="F158" i="4"/>
  <c r="K157" i="4"/>
  <c r="J157" i="4"/>
  <c r="F157" i="4"/>
  <c r="M156" i="4"/>
  <c r="K156" i="4"/>
  <c r="J156" i="4"/>
  <c r="F156" i="4"/>
  <c r="L156" i="4" s="1"/>
  <c r="L155" i="4"/>
  <c r="K155" i="4"/>
  <c r="J155" i="4"/>
  <c r="F155" i="4"/>
  <c r="M155" i="4" s="1"/>
  <c r="M154" i="4"/>
  <c r="K154" i="4"/>
  <c r="J154" i="4"/>
  <c r="F154" i="4"/>
  <c r="L154" i="4" s="1"/>
  <c r="M153" i="4"/>
  <c r="L153" i="4"/>
  <c r="K153" i="4"/>
  <c r="J153" i="4"/>
  <c r="F153" i="4"/>
  <c r="K152" i="4"/>
  <c r="K159" i="4" s="1"/>
  <c r="E332" i="4" s="1"/>
  <c r="J152" i="4"/>
  <c r="F152" i="4"/>
  <c r="L151" i="4"/>
  <c r="K151" i="4"/>
  <c r="J151" i="4"/>
  <c r="F151" i="4"/>
  <c r="M151" i="4" s="1"/>
  <c r="M150" i="4"/>
  <c r="L150" i="4"/>
  <c r="K150" i="4"/>
  <c r="J150" i="4"/>
  <c r="F150" i="4"/>
  <c r="K149" i="4"/>
  <c r="J149" i="4"/>
  <c r="J159" i="4" s="1"/>
  <c r="D332" i="4" s="1"/>
  <c r="F149" i="4"/>
  <c r="K148" i="4"/>
  <c r="J148" i="4"/>
  <c r="F148" i="4"/>
  <c r="I147" i="4"/>
  <c r="H147" i="4"/>
  <c r="G147" i="4"/>
  <c r="L146" i="4"/>
  <c r="K146" i="4"/>
  <c r="J146" i="4"/>
  <c r="F146" i="4"/>
  <c r="M146" i="4" s="1"/>
  <c r="M145" i="4"/>
  <c r="K145" i="4"/>
  <c r="J145" i="4"/>
  <c r="F145" i="4"/>
  <c r="L145" i="4" s="1"/>
  <c r="M144" i="4"/>
  <c r="L144" i="4"/>
  <c r="K144" i="4"/>
  <c r="J144" i="4"/>
  <c r="F144" i="4"/>
  <c r="K143" i="4"/>
  <c r="J143" i="4"/>
  <c r="F143" i="4"/>
  <c r="K142" i="4"/>
  <c r="J142" i="4"/>
  <c r="F142" i="4"/>
  <c r="M142" i="4" s="1"/>
  <c r="M141" i="4"/>
  <c r="L141" i="4"/>
  <c r="K141" i="4"/>
  <c r="J141" i="4"/>
  <c r="F141" i="4"/>
  <c r="K140" i="4"/>
  <c r="J140" i="4"/>
  <c r="F140" i="4"/>
  <c r="M139" i="4"/>
  <c r="K139" i="4"/>
  <c r="J139" i="4"/>
  <c r="F139" i="4"/>
  <c r="L139" i="4" s="1"/>
  <c r="M138" i="4"/>
  <c r="L138" i="4"/>
  <c r="K138" i="4"/>
  <c r="J138" i="4"/>
  <c r="F138" i="4"/>
  <c r="K137" i="4"/>
  <c r="J137" i="4"/>
  <c r="F137" i="4"/>
  <c r="M136" i="4"/>
  <c r="L136" i="4"/>
  <c r="K136" i="4"/>
  <c r="J136" i="4"/>
  <c r="F136" i="4"/>
  <c r="M135" i="4"/>
  <c r="L135" i="4"/>
  <c r="K135" i="4"/>
  <c r="J135" i="4"/>
  <c r="F135" i="4"/>
  <c r="L134" i="4"/>
  <c r="K134" i="4"/>
  <c r="J134" i="4"/>
  <c r="F134" i="4"/>
  <c r="M134" i="4" s="1"/>
  <c r="K133" i="4"/>
  <c r="J133" i="4"/>
  <c r="F133" i="4"/>
  <c r="L132" i="4"/>
  <c r="K132" i="4"/>
  <c r="J132" i="4"/>
  <c r="F132" i="4"/>
  <c r="M132" i="4" s="1"/>
  <c r="M131" i="4"/>
  <c r="K131" i="4"/>
  <c r="J131" i="4"/>
  <c r="F131" i="4"/>
  <c r="L131" i="4" s="1"/>
  <c r="L130" i="4"/>
  <c r="K130" i="4"/>
  <c r="J130" i="4"/>
  <c r="F130" i="4"/>
  <c r="M130" i="4" s="1"/>
  <c r="K129" i="4"/>
  <c r="J129" i="4"/>
  <c r="F129" i="4"/>
  <c r="M128" i="4"/>
  <c r="L128" i="4"/>
  <c r="K128" i="4"/>
  <c r="J128" i="4"/>
  <c r="F128" i="4"/>
  <c r="K127" i="4"/>
  <c r="J127" i="4"/>
  <c r="F127" i="4"/>
  <c r="K126" i="4"/>
  <c r="J126" i="4"/>
  <c r="F126" i="4"/>
  <c r="M125" i="4"/>
  <c r="L125" i="4"/>
  <c r="K125" i="4"/>
  <c r="J125" i="4"/>
  <c r="F125" i="4"/>
  <c r="K124" i="4"/>
  <c r="J124" i="4"/>
  <c r="F124" i="4"/>
  <c r="K123" i="4"/>
  <c r="J123" i="4"/>
  <c r="F123" i="4"/>
  <c r="L123" i="4" s="1"/>
  <c r="M122" i="4"/>
  <c r="L122" i="4"/>
  <c r="K122" i="4"/>
  <c r="J122" i="4"/>
  <c r="F122" i="4"/>
  <c r="K121" i="4"/>
  <c r="J121" i="4"/>
  <c r="F121" i="4"/>
  <c r="M120" i="4"/>
  <c r="L120" i="4"/>
  <c r="K120" i="4"/>
  <c r="J120" i="4"/>
  <c r="F120" i="4"/>
  <c r="K119" i="4"/>
  <c r="J119" i="4"/>
  <c r="F119" i="4"/>
  <c r="L118" i="4"/>
  <c r="K118" i="4"/>
  <c r="J118" i="4"/>
  <c r="F118" i="4"/>
  <c r="M118" i="4" s="1"/>
  <c r="M117" i="4"/>
  <c r="K117" i="4"/>
  <c r="J117" i="4"/>
  <c r="F117" i="4"/>
  <c r="L117" i="4" s="1"/>
  <c r="L116" i="4"/>
  <c r="K116" i="4"/>
  <c r="J116" i="4"/>
  <c r="F116" i="4"/>
  <c r="M116" i="4" s="1"/>
  <c r="M115" i="4"/>
  <c r="K115" i="4"/>
  <c r="J115" i="4"/>
  <c r="F115" i="4"/>
  <c r="J300" i="4" s="1"/>
  <c r="L114" i="4"/>
  <c r="K114" i="4"/>
  <c r="J114" i="4"/>
  <c r="F114" i="4"/>
  <c r="M114" i="4" s="1"/>
  <c r="K113" i="4"/>
  <c r="J113" i="4"/>
  <c r="F113" i="4"/>
  <c r="M112" i="4"/>
  <c r="L112" i="4"/>
  <c r="K112" i="4"/>
  <c r="J112" i="4"/>
  <c r="F112" i="4"/>
  <c r="K111" i="4"/>
  <c r="J111" i="4"/>
  <c r="F111" i="4"/>
  <c r="K110" i="4"/>
  <c r="J110" i="4"/>
  <c r="F110" i="4"/>
  <c r="M109" i="4"/>
  <c r="L109" i="4"/>
  <c r="K109" i="4"/>
  <c r="J109" i="4"/>
  <c r="F109" i="4"/>
  <c r="K108" i="4"/>
  <c r="J108" i="4"/>
  <c r="F108" i="4"/>
  <c r="M107" i="4"/>
  <c r="K107" i="4"/>
  <c r="J107" i="4"/>
  <c r="F107" i="4"/>
  <c r="L107" i="4" s="1"/>
  <c r="M106" i="4"/>
  <c r="L106" i="4"/>
  <c r="K106" i="4"/>
  <c r="J106" i="4"/>
  <c r="F106" i="4"/>
  <c r="K105" i="4"/>
  <c r="J105" i="4"/>
  <c r="F105" i="4"/>
  <c r="M104" i="4"/>
  <c r="L104" i="4"/>
  <c r="K104" i="4"/>
  <c r="J104" i="4"/>
  <c r="F104" i="4"/>
  <c r="M103" i="4"/>
  <c r="L103" i="4"/>
  <c r="K103" i="4"/>
  <c r="J103" i="4"/>
  <c r="F103" i="4"/>
  <c r="L102" i="4"/>
  <c r="K102" i="4"/>
  <c r="J102" i="4"/>
  <c r="F102" i="4"/>
  <c r="M102" i="4" s="1"/>
  <c r="M101" i="4"/>
  <c r="L101" i="4"/>
  <c r="K101" i="4"/>
  <c r="J101" i="4"/>
  <c r="F101" i="4"/>
  <c r="K100" i="4"/>
  <c r="J100" i="4"/>
  <c r="F100" i="4"/>
  <c r="M99" i="4"/>
  <c r="K99" i="4"/>
  <c r="J99" i="4"/>
  <c r="F99" i="4"/>
  <c r="L99" i="4" s="1"/>
  <c r="L98" i="4"/>
  <c r="K98" i="4"/>
  <c r="J98" i="4"/>
  <c r="F98" i="4"/>
  <c r="M98" i="4" s="1"/>
  <c r="M97" i="4"/>
  <c r="K97" i="4"/>
  <c r="J97" i="4"/>
  <c r="F97" i="4"/>
  <c r="L97" i="4" s="1"/>
  <c r="M96" i="4"/>
  <c r="L96" i="4"/>
  <c r="K96" i="4"/>
  <c r="J96" i="4"/>
  <c r="F96" i="4"/>
  <c r="K95" i="4"/>
  <c r="J95" i="4"/>
  <c r="F95" i="4"/>
  <c r="K94" i="4"/>
  <c r="J94" i="4"/>
  <c r="F94" i="4"/>
  <c r="M94" i="4" s="1"/>
  <c r="M93" i="4"/>
  <c r="L93" i="4"/>
  <c r="K93" i="4"/>
  <c r="J93" i="4"/>
  <c r="F93" i="4"/>
  <c r="K92" i="4"/>
  <c r="J92" i="4"/>
  <c r="F92" i="4"/>
  <c r="K91" i="4"/>
  <c r="J91" i="4"/>
  <c r="F91" i="4"/>
  <c r="M90" i="4"/>
  <c r="L90" i="4"/>
  <c r="K90" i="4"/>
  <c r="J90" i="4"/>
  <c r="F90" i="4"/>
  <c r="M89" i="4"/>
  <c r="K89" i="4"/>
  <c r="J89" i="4"/>
  <c r="F89" i="4"/>
  <c r="L89" i="4" s="1"/>
  <c r="M88" i="4"/>
  <c r="L88" i="4"/>
  <c r="K88" i="4"/>
  <c r="J88" i="4"/>
  <c r="F88" i="4"/>
  <c r="J87" i="4"/>
  <c r="D330" i="4" s="1"/>
  <c r="I87" i="4"/>
  <c r="H87" i="4"/>
  <c r="G87" i="4"/>
  <c r="K86" i="4"/>
  <c r="J86" i="4"/>
  <c r="F86" i="4"/>
  <c r="K85" i="4"/>
  <c r="J85" i="4"/>
  <c r="F85" i="4"/>
  <c r="L84" i="4"/>
  <c r="K84" i="4"/>
  <c r="J84" i="4"/>
  <c r="F84" i="4"/>
  <c r="M84" i="4" s="1"/>
  <c r="K83" i="4"/>
  <c r="J83" i="4"/>
  <c r="F83" i="4"/>
  <c r="M82" i="4"/>
  <c r="K82" i="4"/>
  <c r="J82" i="4"/>
  <c r="F82" i="4"/>
  <c r="L82" i="4" s="1"/>
  <c r="M81" i="4"/>
  <c r="L81" i="4"/>
  <c r="K81" i="4"/>
  <c r="J81" i="4"/>
  <c r="F81" i="4"/>
  <c r="K80" i="4"/>
  <c r="J80" i="4"/>
  <c r="C80" i="4"/>
  <c r="F80" i="4" s="1"/>
  <c r="K79" i="4"/>
  <c r="J79" i="4"/>
  <c r="F79" i="4"/>
  <c r="M78" i="4"/>
  <c r="L78" i="4"/>
  <c r="K78" i="4"/>
  <c r="J78" i="4"/>
  <c r="F78" i="4"/>
  <c r="M77" i="4"/>
  <c r="K77" i="4"/>
  <c r="J77" i="4"/>
  <c r="F77" i="4"/>
  <c r="L77" i="4" s="1"/>
  <c r="M76" i="4"/>
  <c r="L76" i="4"/>
  <c r="K76" i="4"/>
  <c r="J76" i="4"/>
  <c r="F76" i="4"/>
  <c r="M75" i="4"/>
  <c r="L75" i="4"/>
  <c r="K75" i="4"/>
  <c r="J75" i="4"/>
  <c r="F75" i="4"/>
  <c r="C75" i="4"/>
  <c r="K74" i="4"/>
  <c r="J74" i="4"/>
  <c r="F74" i="4"/>
  <c r="M73" i="4"/>
  <c r="L73" i="4"/>
  <c r="K73" i="4"/>
  <c r="J73" i="4"/>
  <c r="F73" i="4"/>
  <c r="M72" i="4"/>
  <c r="L72" i="4"/>
  <c r="K72" i="4"/>
  <c r="J72" i="4"/>
  <c r="F72" i="4"/>
  <c r="L71" i="4"/>
  <c r="K71" i="4"/>
  <c r="J71" i="4"/>
  <c r="F71" i="4"/>
  <c r="M71" i="4" s="1"/>
  <c r="L70" i="4"/>
  <c r="K70" i="4"/>
  <c r="J70" i="4"/>
  <c r="F70" i="4"/>
  <c r="M70" i="4" s="1"/>
  <c r="K69" i="4"/>
  <c r="J69" i="4"/>
  <c r="C69" i="4"/>
  <c r="F69" i="4" s="1"/>
  <c r="L68" i="4"/>
  <c r="K68" i="4"/>
  <c r="J68" i="4"/>
  <c r="F68" i="4"/>
  <c r="M68" i="4" s="1"/>
  <c r="M67" i="4"/>
  <c r="L67" i="4"/>
  <c r="K67" i="4"/>
  <c r="J67" i="4"/>
  <c r="F67" i="4"/>
  <c r="L66" i="4"/>
  <c r="K66" i="4"/>
  <c r="J66" i="4"/>
  <c r="F66" i="4"/>
  <c r="M66" i="4" s="1"/>
  <c r="M65" i="4"/>
  <c r="K65" i="4"/>
  <c r="J65" i="4"/>
  <c r="F65" i="4"/>
  <c r="L65" i="4" s="1"/>
  <c r="L64" i="4"/>
  <c r="K64" i="4"/>
  <c r="J64" i="4"/>
  <c r="F64" i="4"/>
  <c r="M64" i="4" s="1"/>
  <c r="M63" i="4"/>
  <c r="K63" i="4"/>
  <c r="J63" i="4"/>
  <c r="F63" i="4"/>
  <c r="L63" i="4" s="1"/>
  <c r="M62" i="4"/>
  <c r="L62" i="4"/>
  <c r="K62" i="4"/>
  <c r="J62" i="4"/>
  <c r="F62" i="4"/>
  <c r="K61" i="4"/>
  <c r="J61" i="4"/>
  <c r="F61" i="4"/>
  <c r="I60" i="4"/>
  <c r="G60" i="4"/>
  <c r="L59" i="4"/>
  <c r="K59" i="4"/>
  <c r="J59" i="4"/>
  <c r="F59" i="4"/>
  <c r="M59" i="4" s="1"/>
  <c r="M58" i="4"/>
  <c r="L58" i="4"/>
  <c r="K58" i="4"/>
  <c r="J58" i="4"/>
  <c r="F58" i="4"/>
  <c r="K57" i="4"/>
  <c r="J57" i="4"/>
  <c r="F57" i="4"/>
  <c r="M57" i="4" s="1"/>
  <c r="M56" i="4"/>
  <c r="K56" i="4"/>
  <c r="J56" i="4"/>
  <c r="F56" i="4"/>
  <c r="L56" i="4" s="1"/>
  <c r="L55" i="4"/>
  <c r="K55" i="4"/>
  <c r="J55" i="4"/>
  <c r="F55" i="4"/>
  <c r="M55" i="4" s="1"/>
  <c r="M54" i="4"/>
  <c r="K54" i="4"/>
  <c r="J54" i="4"/>
  <c r="F54" i="4"/>
  <c r="L54" i="4" s="1"/>
  <c r="C54" i="4"/>
  <c r="M53" i="4"/>
  <c r="K53" i="4"/>
  <c r="J53" i="4"/>
  <c r="F53" i="4"/>
  <c r="L53" i="4" s="1"/>
  <c r="C53" i="4"/>
  <c r="L52" i="4"/>
  <c r="K52" i="4"/>
  <c r="J52" i="4"/>
  <c r="F52" i="4"/>
  <c r="M52" i="4" s="1"/>
  <c r="K51" i="4"/>
  <c r="J51" i="4"/>
  <c r="F51" i="4"/>
  <c r="M51" i="4" s="1"/>
  <c r="M50" i="4"/>
  <c r="K50" i="4"/>
  <c r="J50" i="4"/>
  <c r="F50" i="4"/>
  <c r="L50" i="4" s="1"/>
  <c r="L49" i="4"/>
  <c r="K49" i="4"/>
  <c r="J49" i="4"/>
  <c r="F49" i="4"/>
  <c r="M49" i="4" s="1"/>
  <c r="M48" i="4"/>
  <c r="K48" i="4"/>
  <c r="J48" i="4"/>
  <c r="F48" i="4"/>
  <c r="L48" i="4" s="1"/>
  <c r="M47" i="4"/>
  <c r="L47" i="4"/>
  <c r="K47" i="4"/>
  <c r="J47" i="4"/>
  <c r="F47" i="4"/>
  <c r="K46" i="4"/>
  <c r="J46" i="4"/>
  <c r="F46" i="4"/>
  <c r="L45" i="4"/>
  <c r="K45" i="4"/>
  <c r="J45" i="4"/>
  <c r="F45" i="4"/>
  <c r="M45" i="4" s="1"/>
  <c r="M44" i="4"/>
  <c r="K44" i="4"/>
  <c r="J44" i="4"/>
  <c r="F44" i="4"/>
  <c r="L44" i="4" s="1"/>
  <c r="C44" i="4"/>
  <c r="K43" i="4"/>
  <c r="J43" i="4"/>
  <c r="F43" i="4"/>
  <c r="K42" i="4"/>
  <c r="J42" i="4"/>
  <c r="C42" i="4"/>
  <c r="F42" i="4" s="1"/>
  <c r="M41" i="4"/>
  <c r="L41" i="4"/>
  <c r="K41" i="4"/>
  <c r="J41" i="4"/>
  <c r="F41" i="4"/>
  <c r="K40" i="4"/>
  <c r="J40" i="4"/>
  <c r="F40" i="4"/>
  <c r="L39" i="4"/>
  <c r="K39" i="4"/>
  <c r="J39" i="4"/>
  <c r="F39" i="4"/>
  <c r="M39" i="4" s="1"/>
  <c r="K38" i="4"/>
  <c r="J38" i="4"/>
  <c r="F38" i="4"/>
  <c r="C38" i="4"/>
  <c r="K37" i="4"/>
  <c r="J37" i="4"/>
  <c r="F37" i="4"/>
  <c r="L36" i="4"/>
  <c r="K36" i="4"/>
  <c r="J36" i="4"/>
  <c r="F36" i="4"/>
  <c r="M36" i="4" s="1"/>
  <c r="M35" i="4"/>
  <c r="L35" i="4"/>
  <c r="K35" i="4"/>
  <c r="J35" i="4"/>
  <c r="F35" i="4"/>
  <c r="K34" i="4"/>
  <c r="J34" i="4"/>
  <c r="F34" i="4"/>
  <c r="K33" i="4"/>
  <c r="J33" i="4"/>
  <c r="F33" i="4"/>
  <c r="M32" i="4"/>
  <c r="L32" i="4"/>
  <c r="K32" i="4"/>
  <c r="J32" i="4"/>
  <c r="F32" i="4"/>
  <c r="M31" i="4"/>
  <c r="K31" i="4"/>
  <c r="J31" i="4"/>
  <c r="F31" i="4"/>
  <c r="L31" i="4" s="1"/>
  <c r="K30" i="4"/>
  <c r="J30" i="4"/>
  <c r="C30" i="4"/>
  <c r="F30" i="4" s="1"/>
  <c r="M29" i="4"/>
  <c r="L29" i="4"/>
  <c r="K29" i="4"/>
  <c r="J29" i="4"/>
  <c r="F29" i="4"/>
  <c r="M28" i="4"/>
  <c r="K28" i="4"/>
  <c r="J28" i="4"/>
  <c r="F28" i="4"/>
  <c r="L28" i="4" s="1"/>
  <c r="M27" i="4"/>
  <c r="L27" i="4"/>
  <c r="K27" i="4"/>
  <c r="J27" i="4"/>
  <c r="F27" i="4"/>
  <c r="L26" i="4"/>
  <c r="K26" i="4"/>
  <c r="J26" i="4"/>
  <c r="F26" i="4"/>
  <c r="M26" i="4" s="1"/>
  <c r="L25" i="4"/>
  <c r="K25" i="4"/>
  <c r="J25" i="4"/>
  <c r="F25" i="4"/>
  <c r="M25" i="4" s="1"/>
  <c r="M24" i="4"/>
  <c r="K24" i="4"/>
  <c r="J24" i="4"/>
  <c r="F24" i="4"/>
  <c r="L24" i="4" s="1"/>
  <c r="C24" i="4"/>
  <c r="K23" i="4"/>
  <c r="J23" i="4"/>
  <c r="F23" i="4"/>
  <c r="I22" i="4"/>
  <c r="H22" i="4"/>
  <c r="H60" i="4" s="1"/>
  <c r="G22" i="4"/>
  <c r="E22" i="4"/>
  <c r="D22" i="4"/>
  <c r="K21" i="4"/>
  <c r="J21" i="4"/>
  <c r="F21" i="4"/>
  <c r="L20" i="4"/>
  <c r="K20" i="4"/>
  <c r="J20" i="4"/>
  <c r="F20" i="4"/>
  <c r="M20" i="4" s="1"/>
  <c r="M19" i="4"/>
  <c r="L19" i="4"/>
  <c r="K19" i="4"/>
  <c r="J19" i="4"/>
  <c r="F19" i="4"/>
  <c r="C19" i="4"/>
  <c r="K18" i="4"/>
  <c r="J18" i="4"/>
  <c r="F18" i="4"/>
  <c r="M18" i="4" s="1"/>
  <c r="C18" i="4"/>
  <c r="K17" i="4"/>
  <c r="J17" i="4"/>
  <c r="F17" i="4"/>
  <c r="M16" i="4"/>
  <c r="L16" i="4"/>
  <c r="K16" i="4"/>
  <c r="J16" i="4"/>
  <c r="F16" i="4"/>
  <c r="M15" i="4"/>
  <c r="K15" i="4"/>
  <c r="J15" i="4"/>
  <c r="F15" i="4"/>
  <c r="L15" i="4" s="1"/>
  <c r="K14" i="4"/>
  <c r="J14" i="4"/>
  <c r="C14" i="4"/>
  <c r="F14" i="4" s="1"/>
  <c r="K13" i="4"/>
  <c r="J13" i="4"/>
  <c r="C13" i="4"/>
  <c r="F13" i="4" s="1"/>
  <c r="M13" i="4" s="1"/>
  <c r="M12" i="4"/>
  <c r="L12" i="4"/>
  <c r="K12" i="4"/>
  <c r="J12" i="4"/>
  <c r="C12" i="4"/>
  <c r="F12" i="4" s="1"/>
  <c r="K11" i="4"/>
  <c r="J11" i="4"/>
  <c r="F11" i="4"/>
  <c r="M10" i="4"/>
  <c r="K10" i="4"/>
  <c r="J10" i="4"/>
  <c r="F10" i="4"/>
  <c r="L10" i="4" s="1"/>
  <c r="K9" i="4"/>
  <c r="J9" i="4"/>
  <c r="C9" i="4"/>
  <c r="F9" i="4" s="1"/>
  <c r="K8" i="4"/>
  <c r="J8" i="4"/>
  <c r="F8" i="4"/>
  <c r="K7" i="4"/>
  <c r="J7" i="4"/>
  <c r="C7" i="4"/>
  <c r="F7" i="4" s="1"/>
  <c r="K6" i="4"/>
  <c r="J6" i="4"/>
  <c r="F6" i="4"/>
  <c r="M6" i="4" s="1"/>
  <c r="K5" i="4"/>
  <c r="J5" i="4"/>
  <c r="F5" i="4"/>
  <c r="M4" i="4"/>
  <c r="K4" i="4"/>
  <c r="J4" i="4"/>
  <c r="F4" i="4"/>
  <c r="L4" i="4" s="1"/>
  <c r="K3" i="4"/>
  <c r="J3" i="4"/>
  <c r="J22" i="4" s="1"/>
  <c r="D328" i="4" s="1"/>
  <c r="C3" i="4"/>
  <c r="E576" i="3"/>
  <c r="I575" i="3"/>
  <c r="I576" i="3" s="1"/>
  <c r="H575" i="3"/>
  <c r="E575" i="3"/>
  <c r="D575" i="3"/>
  <c r="C575" i="3"/>
  <c r="L574" i="3"/>
  <c r="K574" i="3"/>
  <c r="J574" i="3"/>
  <c r="F574" i="3"/>
  <c r="F573" i="3"/>
  <c r="K572" i="3"/>
  <c r="J572" i="3"/>
  <c r="F572" i="3"/>
  <c r="L572" i="3" s="1"/>
  <c r="K571" i="3"/>
  <c r="J571" i="3"/>
  <c r="F571" i="3"/>
  <c r="L571" i="3" s="1"/>
  <c r="K570" i="3"/>
  <c r="J570" i="3"/>
  <c r="F570" i="3"/>
  <c r="L570" i="3" s="1"/>
  <c r="L569" i="3"/>
  <c r="K569" i="3"/>
  <c r="J569" i="3"/>
  <c r="F569" i="3"/>
  <c r="K568" i="3"/>
  <c r="J568" i="3"/>
  <c r="F568" i="3"/>
  <c r="L568" i="3" s="1"/>
  <c r="K567" i="3"/>
  <c r="J567" i="3"/>
  <c r="F567" i="3"/>
  <c r="L567" i="3" s="1"/>
  <c r="K566" i="3"/>
  <c r="J566" i="3"/>
  <c r="F566" i="3"/>
  <c r="L566" i="3" s="1"/>
  <c r="K565" i="3"/>
  <c r="J565" i="3"/>
  <c r="F565" i="3"/>
  <c r="L565" i="3" s="1"/>
  <c r="K564" i="3"/>
  <c r="J564" i="3"/>
  <c r="F564" i="3"/>
  <c r="L564" i="3" s="1"/>
  <c r="K563" i="3"/>
  <c r="J563" i="3"/>
  <c r="F563" i="3"/>
  <c r="L563" i="3" s="1"/>
  <c r="K562" i="3"/>
  <c r="J562" i="3"/>
  <c r="F562" i="3"/>
  <c r="L562" i="3" s="1"/>
  <c r="L561" i="3"/>
  <c r="K561" i="3"/>
  <c r="J561" i="3"/>
  <c r="F561" i="3"/>
  <c r="K560" i="3"/>
  <c r="J560" i="3"/>
  <c r="F560" i="3"/>
  <c r="L560" i="3" s="1"/>
  <c r="K559" i="3"/>
  <c r="J559" i="3"/>
  <c r="F559" i="3"/>
  <c r="L559" i="3" s="1"/>
  <c r="K558" i="3"/>
  <c r="J558" i="3"/>
  <c r="F558" i="3"/>
  <c r="L558" i="3" s="1"/>
  <c r="L557" i="3"/>
  <c r="K557" i="3"/>
  <c r="J557" i="3"/>
  <c r="F557" i="3"/>
  <c r="K556" i="3"/>
  <c r="J556" i="3"/>
  <c r="F556" i="3"/>
  <c r="L556" i="3" s="1"/>
  <c r="K555" i="3"/>
  <c r="J555" i="3"/>
  <c r="F555" i="3"/>
  <c r="L555" i="3" s="1"/>
  <c r="K554" i="3"/>
  <c r="J554" i="3"/>
  <c r="F554" i="3"/>
  <c r="L554" i="3" s="1"/>
  <c r="L553" i="3"/>
  <c r="K553" i="3"/>
  <c r="J553" i="3"/>
  <c r="F553" i="3"/>
  <c r="K552" i="3"/>
  <c r="J552" i="3"/>
  <c r="F552" i="3"/>
  <c r="L552" i="3" s="1"/>
  <c r="K551" i="3"/>
  <c r="J551" i="3"/>
  <c r="F551" i="3"/>
  <c r="L551" i="3" s="1"/>
  <c r="K550" i="3"/>
  <c r="J550" i="3"/>
  <c r="F550" i="3"/>
  <c r="L550" i="3" s="1"/>
  <c r="L549" i="3"/>
  <c r="K549" i="3"/>
  <c r="J549" i="3"/>
  <c r="F549" i="3"/>
  <c r="K548" i="3"/>
  <c r="J548" i="3"/>
  <c r="F548" i="3"/>
  <c r="L548" i="3" s="1"/>
  <c r="K547" i="3"/>
  <c r="J547" i="3"/>
  <c r="F547" i="3"/>
  <c r="L547" i="3" s="1"/>
  <c r="K546" i="3"/>
  <c r="J546" i="3"/>
  <c r="F546" i="3"/>
  <c r="L546" i="3" s="1"/>
  <c r="K545" i="3"/>
  <c r="J545" i="3"/>
  <c r="F545" i="3"/>
  <c r="L545" i="3" s="1"/>
  <c r="M544" i="3"/>
  <c r="K544" i="3"/>
  <c r="J544" i="3"/>
  <c r="F544" i="3"/>
  <c r="L544" i="3" s="1"/>
  <c r="L543" i="3"/>
  <c r="K543" i="3"/>
  <c r="J543" i="3"/>
  <c r="F543" i="3"/>
  <c r="K542" i="3"/>
  <c r="J542" i="3"/>
  <c r="F542" i="3"/>
  <c r="L542" i="3" s="1"/>
  <c r="L541" i="3"/>
  <c r="K541" i="3"/>
  <c r="J541" i="3"/>
  <c r="F541" i="3"/>
  <c r="L540" i="3"/>
  <c r="K540" i="3"/>
  <c r="J540" i="3"/>
  <c r="F540" i="3"/>
  <c r="L539" i="3"/>
  <c r="K539" i="3"/>
  <c r="J539" i="3"/>
  <c r="F539" i="3"/>
  <c r="K538" i="3"/>
  <c r="J538" i="3"/>
  <c r="F538" i="3"/>
  <c r="L538" i="3" s="1"/>
  <c r="L537" i="3"/>
  <c r="K537" i="3"/>
  <c r="J537" i="3"/>
  <c r="F537" i="3"/>
  <c r="L536" i="3"/>
  <c r="K536" i="3"/>
  <c r="J536" i="3"/>
  <c r="F536" i="3"/>
  <c r="L535" i="3"/>
  <c r="K535" i="3"/>
  <c r="J535" i="3"/>
  <c r="F535" i="3"/>
  <c r="K534" i="3"/>
  <c r="J534" i="3"/>
  <c r="F534" i="3"/>
  <c r="L534" i="3" s="1"/>
  <c r="L533" i="3"/>
  <c r="K533" i="3"/>
  <c r="J533" i="3"/>
  <c r="F533" i="3"/>
  <c r="K532" i="3"/>
  <c r="J532" i="3"/>
  <c r="F532" i="3"/>
  <c r="L532" i="3" s="1"/>
  <c r="L531" i="3"/>
  <c r="K531" i="3"/>
  <c r="J531" i="3"/>
  <c r="F531" i="3"/>
  <c r="K530" i="3"/>
  <c r="J530" i="3"/>
  <c r="F530" i="3"/>
  <c r="L530" i="3" s="1"/>
  <c r="L529" i="3"/>
  <c r="K529" i="3"/>
  <c r="J529" i="3"/>
  <c r="F529" i="3"/>
  <c r="K528" i="3"/>
  <c r="J528" i="3"/>
  <c r="F528" i="3"/>
  <c r="L528" i="3" s="1"/>
  <c r="L527" i="3"/>
  <c r="K527" i="3"/>
  <c r="J527" i="3"/>
  <c r="F527" i="3"/>
  <c r="K526" i="3"/>
  <c r="J526" i="3"/>
  <c r="F526" i="3"/>
  <c r="L526" i="3" s="1"/>
  <c r="L525" i="3"/>
  <c r="J525" i="3"/>
  <c r="G525" i="3"/>
  <c r="K525" i="3" s="1"/>
  <c r="F525" i="3"/>
  <c r="K524" i="3"/>
  <c r="J524" i="3"/>
  <c r="F524" i="3"/>
  <c r="L524" i="3" s="1"/>
  <c r="K523" i="3"/>
  <c r="J523" i="3"/>
  <c r="F523" i="3"/>
  <c r="L523" i="3" s="1"/>
  <c r="K522" i="3"/>
  <c r="J522" i="3"/>
  <c r="F522" i="3"/>
  <c r="L522" i="3" s="1"/>
  <c r="K521" i="3"/>
  <c r="J521" i="3"/>
  <c r="F521" i="3"/>
  <c r="L521" i="3" s="1"/>
  <c r="K520" i="3"/>
  <c r="J520" i="3"/>
  <c r="F520" i="3"/>
  <c r="L520" i="3" s="1"/>
  <c r="K519" i="3"/>
  <c r="J519" i="3"/>
  <c r="F519" i="3"/>
  <c r="L519" i="3" s="1"/>
  <c r="K518" i="3"/>
  <c r="J518" i="3"/>
  <c r="F518" i="3"/>
  <c r="L518" i="3" s="1"/>
  <c r="K517" i="3"/>
  <c r="J517" i="3"/>
  <c r="F517" i="3"/>
  <c r="L517" i="3" s="1"/>
  <c r="K516" i="3"/>
  <c r="J516" i="3"/>
  <c r="F516" i="3"/>
  <c r="L516" i="3" s="1"/>
  <c r="K515" i="3"/>
  <c r="J515" i="3"/>
  <c r="F515" i="3"/>
  <c r="L515" i="3" s="1"/>
  <c r="K514" i="3"/>
  <c r="J514" i="3"/>
  <c r="F514" i="3"/>
  <c r="L514" i="3" s="1"/>
  <c r="K513" i="3"/>
  <c r="J513" i="3"/>
  <c r="F513" i="3"/>
  <c r="L513" i="3" s="1"/>
  <c r="L512" i="3"/>
  <c r="K512" i="3"/>
  <c r="J512" i="3"/>
  <c r="F512" i="3"/>
  <c r="K511" i="3"/>
  <c r="J511" i="3"/>
  <c r="F511" i="3"/>
  <c r="L511" i="3" s="1"/>
  <c r="K510" i="3"/>
  <c r="J510" i="3"/>
  <c r="F510" i="3"/>
  <c r="L510" i="3" s="1"/>
  <c r="K509" i="3"/>
  <c r="J509" i="3"/>
  <c r="F509" i="3"/>
  <c r="L509" i="3" s="1"/>
  <c r="K508" i="3"/>
  <c r="J508" i="3"/>
  <c r="F508" i="3"/>
  <c r="L508" i="3" s="1"/>
  <c r="K507" i="3"/>
  <c r="J507" i="3"/>
  <c r="F507" i="3"/>
  <c r="L507" i="3" s="1"/>
  <c r="K506" i="3"/>
  <c r="J506" i="3"/>
  <c r="F506" i="3"/>
  <c r="L506" i="3" s="1"/>
  <c r="K505" i="3"/>
  <c r="J505" i="3"/>
  <c r="F505" i="3"/>
  <c r="L505" i="3" s="1"/>
  <c r="K504" i="3"/>
  <c r="J504" i="3"/>
  <c r="F504" i="3"/>
  <c r="L504" i="3" s="1"/>
  <c r="K503" i="3"/>
  <c r="J503" i="3"/>
  <c r="F503" i="3"/>
  <c r="L503" i="3" s="1"/>
  <c r="K502" i="3"/>
  <c r="J502" i="3"/>
  <c r="F502" i="3"/>
  <c r="L502" i="3" s="1"/>
  <c r="K501" i="3"/>
  <c r="J501" i="3"/>
  <c r="F501" i="3"/>
  <c r="L501" i="3" s="1"/>
  <c r="L500" i="3"/>
  <c r="K500" i="3"/>
  <c r="J500" i="3"/>
  <c r="F500" i="3"/>
  <c r="K499" i="3"/>
  <c r="J499" i="3"/>
  <c r="G499" i="3"/>
  <c r="G575" i="3" s="1"/>
  <c r="F499" i="3"/>
  <c r="L498" i="3"/>
  <c r="K498" i="3"/>
  <c r="J498" i="3"/>
  <c r="F498" i="3"/>
  <c r="K497" i="3"/>
  <c r="J497" i="3"/>
  <c r="F497" i="3"/>
  <c r="L497" i="3" s="1"/>
  <c r="L496" i="3"/>
  <c r="K496" i="3"/>
  <c r="J496" i="3"/>
  <c r="F496" i="3"/>
  <c r="L495" i="3"/>
  <c r="K495" i="3"/>
  <c r="J495" i="3"/>
  <c r="F495" i="3"/>
  <c r="L494" i="3"/>
  <c r="K494" i="3"/>
  <c r="J494" i="3"/>
  <c r="F494" i="3"/>
  <c r="K493" i="3"/>
  <c r="J493" i="3"/>
  <c r="F493" i="3"/>
  <c r="L493" i="3" s="1"/>
  <c r="L492" i="3"/>
  <c r="K492" i="3"/>
  <c r="J492" i="3"/>
  <c r="F492" i="3"/>
  <c r="L491" i="3"/>
  <c r="K491" i="3"/>
  <c r="J491" i="3"/>
  <c r="F491" i="3"/>
  <c r="L490" i="3"/>
  <c r="K490" i="3"/>
  <c r="J490" i="3"/>
  <c r="F490" i="3"/>
  <c r="K489" i="3"/>
  <c r="J489" i="3"/>
  <c r="F489" i="3"/>
  <c r="L489" i="3" s="1"/>
  <c r="L488" i="3"/>
  <c r="K488" i="3"/>
  <c r="J488" i="3"/>
  <c r="F488" i="3"/>
  <c r="L487" i="3"/>
  <c r="K487" i="3"/>
  <c r="J487" i="3"/>
  <c r="F487" i="3"/>
  <c r="L486" i="3"/>
  <c r="K486" i="3"/>
  <c r="J486" i="3"/>
  <c r="F486" i="3"/>
  <c r="K485" i="3"/>
  <c r="J485" i="3"/>
  <c r="F485" i="3"/>
  <c r="L485" i="3" s="1"/>
  <c r="L484" i="3"/>
  <c r="K484" i="3"/>
  <c r="J484" i="3"/>
  <c r="F484" i="3"/>
  <c r="L483" i="3"/>
  <c r="K483" i="3"/>
  <c r="J483" i="3"/>
  <c r="F483" i="3"/>
  <c r="L482" i="3"/>
  <c r="K482" i="3"/>
  <c r="J482" i="3"/>
  <c r="F482" i="3"/>
  <c r="K481" i="3"/>
  <c r="J481" i="3"/>
  <c r="F481" i="3"/>
  <c r="L481" i="3" s="1"/>
  <c r="L480" i="3"/>
  <c r="K480" i="3"/>
  <c r="J480" i="3"/>
  <c r="F480" i="3"/>
  <c r="L479" i="3"/>
  <c r="K479" i="3"/>
  <c r="J479" i="3"/>
  <c r="F479" i="3"/>
  <c r="L478" i="3"/>
  <c r="K478" i="3"/>
  <c r="J478" i="3"/>
  <c r="F478" i="3"/>
  <c r="K477" i="3"/>
  <c r="J477" i="3"/>
  <c r="F477" i="3"/>
  <c r="L477" i="3" s="1"/>
  <c r="L476" i="3"/>
  <c r="K476" i="3"/>
  <c r="J476" i="3"/>
  <c r="F476" i="3"/>
  <c r="L475" i="3"/>
  <c r="K475" i="3"/>
  <c r="J475" i="3"/>
  <c r="F475" i="3"/>
  <c r="L474" i="3"/>
  <c r="K474" i="3"/>
  <c r="J474" i="3"/>
  <c r="F474" i="3"/>
  <c r="K473" i="3"/>
  <c r="J473" i="3"/>
  <c r="F473" i="3"/>
  <c r="L473" i="3" s="1"/>
  <c r="L472" i="3"/>
  <c r="K472" i="3"/>
  <c r="J472" i="3"/>
  <c r="F472" i="3"/>
  <c r="L471" i="3"/>
  <c r="K471" i="3"/>
  <c r="J471" i="3"/>
  <c r="F471" i="3"/>
  <c r="L470" i="3"/>
  <c r="K470" i="3"/>
  <c r="J470" i="3"/>
  <c r="F470" i="3"/>
  <c r="K469" i="3"/>
  <c r="J469" i="3"/>
  <c r="F469" i="3"/>
  <c r="L468" i="3"/>
  <c r="K468" i="3"/>
  <c r="J468" i="3"/>
  <c r="F468" i="3"/>
  <c r="L467" i="3"/>
  <c r="K467" i="3"/>
  <c r="J467" i="3"/>
  <c r="F467" i="3"/>
  <c r="L466" i="3"/>
  <c r="K466" i="3"/>
  <c r="K575" i="3" s="1"/>
  <c r="J466" i="3"/>
  <c r="F466" i="3"/>
  <c r="I465" i="3"/>
  <c r="H465" i="3"/>
  <c r="G465" i="3"/>
  <c r="E465" i="3"/>
  <c r="D465" i="3"/>
  <c r="C465" i="3"/>
  <c r="K464" i="3"/>
  <c r="J464" i="3"/>
  <c r="F464" i="3"/>
  <c r="L464" i="3" s="1"/>
  <c r="L463" i="3"/>
  <c r="K463" i="3"/>
  <c r="J463" i="3"/>
  <c r="F463" i="3"/>
  <c r="K462" i="3"/>
  <c r="J462" i="3"/>
  <c r="F462" i="3"/>
  <c r="L462" i="3" s="1"/>
  <c r="L461" i="3"/>
  <c r="K461" i="3"/>
  <c r="J461" i="3"/>
  <c r="F461" i="3"/>
  <c r="K460" i="3"/>
  <c r="J460" i="3"/>
  <c r="F460" i="3"/>
  <c r="L460" i="3" s="1"/>
  <c r="L459" i="3"/>
  <c r="K459" i="3"/>
  <c r="J459" i="3"/>
  <c r="F459" i="3"/>
  <c r="K458" i="3"/>
  <c r="J458" i="3"/>
  <c r="F458" i="3"/>
  <c r="L458" i="3" s="1"/>
  <c r="L457" i="3"/>
  <c r="K457" i="3"/>
  <c r="J457" i="3"/>
  <c r="F457" i="3"/>
  <c r="K456" i="3"/>
  <c r="J456" i="3"/>
  <c r="F456" i="3"/>
  <c r="L456" i="3" s="1"/>
  <c r="L455" i="3"/>
  <c r="K455" i="3"/>
  <c r="J455" i="3"/>
  <c r="F455" i="3"/>
  <c r="L454" i="3"/>
  <c r="K454" i="3"/>
  <c r="J454" i="3"/>
  <c r="F454" i="3"/>
  <c r="L453" i="3"/>
  <c r="K453" i="3"/>
  <c r="J453" i="3"/>
  <c r="F453" i="3"/>
  <c r="K452" i="3"/>
  <c r="J452" i="3"/>
  <c r="F452" i="3"/>
  <c r="L452" i="3" s="1"/>
  <c r="L451" i="3"/>
  <c r="K451" i="3"/>
  <c r="J451" i="3"/>
  <c r="F451" i="3"/>
  <c r="L450" i="3"/>
  <c r="K450" i="3"/>
  <c r="J450" i="3"/>
  <c r="F450" i="3"/>
  <c r="L449" i="3"/>
  <c r="K449" i="3"/>
  <c r="J449" i="3"/>
  <c r="F449" i="3"/>
  <c r="K448" i="3"/>
  <c r="J448" i="3"/>
  <c r="F448" i="3"/>
  <c r="L448" i="3" s="1"/>
  <c r="L447" i="3"/>
  <c r="K447" i="3"/>
  <c r="J447" i="3"/>
  <c r="F447" i="3"/>
  <c r="L446" i="3"/>
  <c r="K446" i="3"/>
  <c r="J446" i="3"/>
  <c r="F446" i="3"/>
  <c r="L445" i="3"/>
  <c r="K445" i="3"/>
  <c r="J445" i="3"/>
  <c r="F445" i="3"/>
  <c r="K444" i="3"/>
  <c r="J444" i="3"/>
  <c r="F444" i="3"/>
  <c r="L444" i="3" s="1"/>
  <c r="L443" i="3"/>
  <c r="K443" i="3"/>
  <c r="J443" i="3"/>
  <c r="F443" i="3"/>
  <c r="K442" i="3"/>
  <c r="J442" i="3"/>
  <c r="F442" i="3"/>
  <c r="L442" i="3" s="1"/>
  <c r="L441" i="3"/>
  <c r="K441" i="3"/>
  <c r="J441" i="3"/>
  <c r="F441" i="3"/>
  <c r="K440" i="3"/>
  <c r="J440" i="3"/>
  <c r="F440" i="3"/>
  <c r="L440" i="3" s="1"/>
  <c r="L439" i="3"/>
  <c r="K439" i="3"/>
  <c r="J439" i="3"/>
  <c r="F439" i="3"/>
  <c r="K438" i="3"/>
  <c r="J438" i="3"/>
  <c r="F438" i="3"/>
  <c r="L437" i="3"/>
  <c r="K437" i="3"/>
  <c r="J437" i="3"/>
  <c r="F437" i="3"/>
  <c r="I436" i="3"/>
  <c r="H436" i="3"/>
  <c r="G436" i="3"/>
  <c r="F436" i="3"/>
  <c r="E436" i="3"/>
  <c r="D436" i="3"/>
  <c r="C436" i="3"/>
  <c r="L435" i="3"/>
  <c r="K435" i="3"/>
  <c r="J435" i="3"/>
  <c r="F435" i="3"/>
  <c r="L434" i="3"/>
  <c r="K434" i="3"/>
  <c r="J434" i="3"/>
  <c r="F434" i="3"/>
  <c r="L433" i="3"/>
  <c r="K433" i="3"/>
  <c r="J433" i="3"/>
  <c r="F433" i="3"/>
  <c r="L432" i="3"/>
  <c r="K432" i="3"/>
  <c r="J432" i="3"/>
  <c r="F432" i="3"/>
  <c r="L431" i="3"/>
  <c r="K431" i="3"/>
  <c r="J431" i="3"/>
  <c r="F431" i="3"/>
  <c r="L430" i="3"/>
  <c r="K430" i="3"/>
  <c r="J430" i="3"/>
  <c r="F430" i="3"/>
  <c r="L429" i="3"/>
  <c r="K429" i="3"/>
  <c r="J429" i="3"/>
  <c r="F429" i="3"/>
  <c r="L428" i="3"/>
  <c r="K428" i="3"/>
  <c r="J428" i="3"/>
  <c r="F428" i="3"/>
  <c r="L427" i="3"/>
  <c r="K427" i="3"/>
  <c r="J427" i="3"/>
  <c r="F427" i="3"/>
  <c r="L426" i="3"/>
  <c r="K426" i="3"/>
  <c r="J426" i="3"/>
  <c r="F426" i="3"/>
  <c r="L425" i="3"/>
  <c r="K425" i="3"/>
  <c r="J425" i="3"/>
  <c r="F425" i="3"/>
  <c r="L424" i="3"/>
  <c r="K424" i="3"/>
  <c r="J424" i="3"/>
  <c r="F424" i="3"/>
  <c r="I423" i="3"/>
  <c r="H423" i="3"/>
  <c r="G423" i="3"/>
  <c r="E423" i="3"/>
  <c r="D423" i="3"/>
  <c r="C423" i="3"/>
  <c r="K422" i="3"/>
  <c r="J422" i="3"/>
  <c r="F422" i="3"/>
  <c r="L422" i="3" s="1"/>
  <c r="K421" i="3"/>
  <c r="J421" i="3"/>
  <c r="F421" i="3"/>
  <c r="L421" i="3" s="1"/>
  <c r="L420" i="3"/>
  <c r="K420" i="3"/>
  <c r="J420" i="3"/>
  <c r="F420" i="3"/>
  <c r="K419" i="3"/>
  <c r="J419" i="3"/>
  <c r="F419" i="3"/>
  <c r="L419" i="3" s="1"/>
  <c r="L418" i="3"/>
  <c r="K418" i="3"/>
  <c r="J418" i="3"/>
  <c r="F418" i="3"/>
  <c r="K417" i="3"/>
  <c r="J417" i="3"/>
  <c r="F417" i="3"/>
  <c r="L417" i="3" s="1"/>
  <c r="L416" i="3"/>
  <c r="K416" i="3"/>
  <c r="J416" i="3"/>
  <c r="F416" i="3"/>
  <c r="K415" i="3"/>
  <c r="J415" i="3"/>
  <c r="F415" i="3"/>
  <c r="L415" i="3" s="1"/>
  <c r="K414" i="3"/>
  <c r="J414" i="3"/>
  <c r="F414" i="3"/>
  <c r="L414" i="3" s="1"/>
  <c r="K413" i="3"/>
  <c r="J413" i="3"/>
  <c r="F413" i="3"/>
  <c r="L413" i="3" s="1"/>
  <c r="L412" i="3"/>
  <c r="K412" i="3"/>
  <c r="J412" i="3"/>
  <c r="F412" i="3"/>
  <c r="K411" i="3"/>
  <c r="J411" i="3"/>
  <c r="F411" i="3"/>
  <c r="L411" i="3" s="1"/>
  <c r="K410" i="3"/>
  <c r="J410" i="3"/>
  <c r="F410" i="3"/>
  <c r="L410" i="3" s="1"/>
  <c r="L409" i="3"/>
  <c r="K409" i="3"/>
  <c r="J409" i="3"/>
  <c r="F409" i="3"/>
  <c r="L408" i="3"/>
  <c r="K408" i="3"/>
  <c r="J408" i="3"/>
  <c r="F408" i="3"/>
  <c r="K407" i="3"/>
  <c r="J407" i="3"/>
  <c r="F407" i="3"/>
  <c r="L407" i="3" s="1"/>
  <c r="K406" i="3"/>
  <c r="J406" i="3"/>
  <c r="F406" i="3"/>
  <c r="L406" i="3" s="1"/>
  <c r="L405" i="3"/>
  <c r="K405" i="3"/>
  <c r="J405" i="3"/>
  <c r="F405" i="3"/>
  <c r="L404" i="3"/>
  <c r="K404" i="3"/>
  <c r="J404" i="3"/>
  <c r="F404" i="3"/>
  <c r="K403" i="3"/>
  <c r="J403" i="3"/>
  <c r="F403" i="3"/>
  <c r="L403" i="3" s="1"/>
  <c r="L402" i="3"/>
  <c r="K402" i="3"/>
  <c r="J402" i="3"/>
  <c r="F402" i="3"/>
  <c r="L401" i="3"/>
  <c r="K401" i="3"/>
  <c r="J401" i="3"/>
  <c r="F401" i="3"/>
  <c r="L400" i="3"/>
  <c r="K400" i="3"/>
  <c r="J400" i="3"/>
  <c r="F400" i="3"/>
  <c r="K399" i="3"/>
  <c r="J399" i="3"/>
  <c r="F399" i="3"/>
  <c r="L399" i="3" s="1"/>
  <c r="L398" i="3"/>
  <c r="K398" i="3"/>
  <c r="J398" i="3"/>
  <c r="F398" i="3"/>
  <c r="K397" i="3"/>
  <c r="J397" i="3"/>
  <c r="F397" i="3"/>
  <c r="L397" i="3" s="1"/>
  <c r="L396" i="3"/>
  <c r="K396" i="3"/>
  <c r="J396" i="3"/>
  <c r="F396" i="3"/>
  <c r="K395" i="3"/>
  <c r="J395" i="3"/>
  <c r="F395" i="3"/>
  <c r="L395" i="3" s="1"/>
  <c r="L394" i="3"/>
  <c r="K394" i="3"/>
  <c r="J394" i="3"/>
  <c r="F394" i="3"/>
  <c r="K393" i="3"/>
  <c r="J393" i="3"/>
  <c r="F393" i="3"/>
  <c r="L393" i="3" s="1"/>
  <c r="L392" i="3"/>
  <c r="K392" i="3"/>
  <c r="J392" i="3"/>
  <c r="F392" i="3"/>
  <c r="K391" i="3"/>
  <c r="J391" i="3"/>
  <c r="F391" i="3"/>
  <c r="L391" i="3" s="1"/>
  <c r="K390" i="3"/>
  <c r="J390" i="3"/>
  <c r="F390" i="3"/>
  <c r="L390" i="3" s="1"/>
  <c r="K389" i="3"/>
  <c r="J389" i="3"/>
  <c r="F389" i="3"/>
  <c r="L389" i="3" s="1"/>
  <c r="L388" i="3"/>
  <c r="K388" i="3"/>
  <c r="J388" i="3"/>
  <c r="F388" i="3"/>
  <c r="K387" i="3"/>
  <c r="J387" i="3"/>
  <c r="F387" i="3"/>
  <c r="L387" i="3" s="1"/>
  <c r="K386" i="3"/>
  <c r="J386" i="3"/>
  <c r="F386" i="3"/>
  <c r="L386" i="3" s="1"/>
  <c r="L385" i="3"/>
  <c r="K385" i="3"/>
  <c r="J385" i="3"/>
  <c r="F385" i="3"/>
  <c r="L384" i="3"/>
  <c r="K384" i="3"/>
  <c r="J384" i="3"/>
  <c r="F384" i="3"/>
  <c r="K383" i="3"/>
  <c r="J383" i="3"/>
  <c r="F383" i="3"/>
  <c r="L383" i="3" s="1"/>
  <c r="K382" i="3"/>
  <c r="J382" i="3"/>
  <c r="F382" i="3"/>
  <c r="L382" i="3" s="1"/>
  <c r="L381" i="3"/>
  <c r="K381" i="3"/>
  <c r="J381" i="3"/>
  <c r="F381" i="3"/>
  <c r="L380" i="3"/>
  <c r="K380" i="3"/>
  <c r="J380" i="3"/>
  <c r="F380" i="3"/>
  <c r="K379" i="3"/>
  <c r="J379" i="3"/>
  <c r="F379" i="3"/>
  <c r="L379" i="3" s="1"/>
  <c r="L378" i="3"/>
  <c r="K378" i="3"/>
  <c r="J378" i="3"/>
  <c r="F378" i="3"/>
  <c r="L377" i="3"/>
  <c r="K377" i="3"/>
  <c r="J377" i="3"/>
  <c r="F377" i="3"/>
  <c r="L376" i="3"/>
  <c r="K376" i="3"/>
  <c r="J376" i="3"/>
  <c r="F376" i="3"/>
  <c r="K375" i="3"/>
  <c r="J375" i="3"/>
  <c r="F375" i="3"/>
  <c r="L375" i="3" s="1"/>
  <c r="K374" i="3"/>
  <c r="J374" i="3"/>
  <c r="F374" i="3"/>
  <c r="L374" i="3" s="1"/>
  <c r="K373" i="3"/>
  <c r="J373" i="3"/>
  <c r="F373" i="3"/>
  <c r="L373" i="3" s="1"/>
  <c r="L372" i="3"/>
  <c r="K372" i="3"/>
  <c r="J372" i="3"/>
  <c r="F372" i="3"/>
  <c r="K371" i="3"/>
  <c r="J371" i="3"/>
  <c r="F371" i="3"/>
  <c r="L371" i="3" s="1"/>
  <c r="L370" i="3"/>
  <c r="K370" i="3"/>
  <c r="J370" i="3"/>
  <c r="F370" i="3"/>
  <c r="K369" i="3"/>
  <c r="J369" i="3"/>
  <c r="F369" i="3"/>
  <c r="L369" i="3" s="1"/>
  <c r="L368" i="3"/>
  <c r="K368" i="3"/>
  <c r="J368" i="3"/>
  <c r="F368" i="3"/>
  <c r="K367" i="3"/>
  <c r="J367" i="3"/>
  <c r="F367" i="3"/>
  <c r="L367" i="3" s="1"/>
  <c r="K366" i="3"/>
  <c r="J366" i="3"/>
  <c r="F366" i="3"/>
  <c r="L366" i="3" s="1"/>
  <c r="L365" i="3"/>
  <c r="K365" i="3"/>
  <c r="J365" i="3"/>
  <c r="F365" i="3"/>
  <c r="L364" i="3"/>
  <c r="K364" i="3"/>
  <c r="J364" i="3"/>
  <c r="F364" i="3"/>
  <c r="K363" i="3"/>
  <c r="J363" i="3"/>
  <c r="F363" i="3"/>
  <c r="L363" i="3" s="1"/>
  <c r="L362" i="3"/>
  <c r="K362" i="3"/>
  <c r="J362" i="3"/>
  <c r="F362" i="3"/>
  <c r="L361" i="3"/>
  <c r="K361" i="3"/>
  <c r="J361" i="3"/>
  <c r="F361" i="3"/>
  <c r="L360" i="3"/>
  <c r="K360" i="3"/>
  <c r="J360" i="3"/>
  <c r="F360" i="3"/>
  <c r="K359" i="3"/>
  <c r="J359" i="3"/>
  <c r="F359" i="3"/>
  <c r="L359" i="3" s="1"/>
  <c r="K358" i="3"/>
  <c r="J358" i="3"/>
  <c r="F358" i="3"/>
  <c r="L358" i="3" s="1"/>
  <c r="K357" i="3"/>
  <c r="J357" i="3"/>
  <c r="F357" i="3"/>
  <c r="L357" i="3" s="1"/>
  <c r="L356" i="3"/>
  <c r="K356" i="3"/>
  <c r="J356" i="3"/>
  <c r="F356" i="3"/>
  <c r="K355" i="3"/>
  <c r="J355" i="3"/>
  <c r="F355" i="3"/>
  <c r="L355" i="3" s="1"/>
  <c r="L354" i="3"/>
  <c r="K354" i="3"/>
  <c r="J354" i="3"/>
  <c r="F354" i="3"/>
  <c r="K353" i="3"/>
  <c r="J353" i="3"/>
  <c r="F353" i="3"/>
  <c r="L353" i="3" s="1"/>
  <c r="L352" i="3"/>
  <c r="K352" i="3"/>
  <c r="J352" i="3"/>
  <c r="F352" i="3"/>
  <c r="K351" i="3"/>
  <c r="J351" i="3"/>
  <c r="F351" i="3"/>
  <c r="L351" i="3" s="1"/>
  <c r="K350" i="3"/>
  <c r="J350" i="3"/>
  <c r="F350" i="3"/>
  <c r="L350" i="3" s="1"/>
  <c r="K349" i="3"/>
  <c r="J349" i="3"/>
  <c r="F349" i="3"/>
  <c r="L349" i="3" s="1"/>
  <c r="L348" i="3"/>
  <c r="K348" i="3"/>
  <c r="J348" i="3"/>
  <c r="F348" i="3"/>
  <c r="K347" i="3"/>
  <c r="J347" i="3"/>
  <c r="F347" i="3"/>
  <c r="L347" i="3" s="1"/>
  <c r="K346" i="3"/>
  <c r="J346" i="3"/>
  <c r="F346" i="3"/>
  <c r="L346" i="3" s="1"/>
  <c r="L345" i="3"/>
  <c r="K345" i="3"/>
  <c r="J345" i="3"/>
  <c r="F345" i="3"/>
  <c r="L340" i="3"/>
  <c r="E335" i="3"/>
  <c r="D335" i="3"/>
  <c r="I330" i="3"/>
  <c r="I340" i="3" s="1"/>
  <c r="I325" i="3"/>
  <c r="H325" i="3"/>
  <c r="G325" i="3"/>
  <c r="E325" i="3"/>
  <c r="D325" i="3"/>
  <c r="C325" i="3"/>
  <c r="L324" i="3"/>
  <c r="K324" i="3"/>
  <c r="J324" i="3"/>
  <c r="F324" i="3"/>
  <c r="M324" i="3" s="1"/>
  <c r="K323" i="3"/>
  <c r="J323" i="3"/>
  <c r="F323" i="3"/>
  <c r="L322" i="3"/>
  <c r="K322" i="3"/>
  <c r="J322" i="3"/>
  <c r="F322" i="3"/>
  <c r="M322" i="3" s="1"/>
  <c r="M321" i="3"/>
  <c r="K321" i="3"/>
  <c r="J321" i="3"/>
  <c r="F321" i="3"/>
  <c r="L321" i="3" s="1"/>
  <c r="L320" i="3"/>
  <c r="K320" i="3"/>
  <c r="J320" i="3"/>
  <c r="F320" i="3"/>
  <c r="M320" i="3" s="1"/>
  <c r="K319" i="3"/>
  <c r="J319" i="3"/>
  <c r="F319" i="3"/>
  <c r="M318" i="3"/>
  <c r="L318" i="3"/>
  <c r="K318" i="3"/>
  <c r="J318" i="3"/>
  <c r="F318" i="3"/>
  <c r="K317" i="3"/>
  <c r="J317" i="3"/>
  <c r="F317" i="3"/>
  <c r="K316" i="3"/>
  <c r="J316" i="3"/>
  <c r="F316" i="3"/>
  <c r="M315" i="3"/>
  <c r="K315" i="3"/>
  <c r="J315" i="3"/>
  <c r="F315" i="3"/>
  <c r="L315" i="3" s="1"/>
  <c r="K314" i="3"/>
  <c r="J314" i="3"/>
  <c r="F314" i="3"/>
  <c r="M313" i="3"/>
  <c r="L313" i="3"/>
  <c r="K313" i="3"/>
  <c r="J313" i="3"/>
  <c r="F313" i="3"/>
  <c r="M312" i="3"/>
  <c r="L312" i="3"/>
  <c r="K312" i="3"/>
  <c r="K325" i="3" s="1"/>
  <c r="E336" i="3" s="1"/>
  <c r="J312" i="3"/>
  <c r="F312" i="3"/>
  <c r="K311" i="3"/>
  <c r="J311" i="3"/>
  <c r="F311" i="3"/>
  <c r="M310" i="3"/>
  <c r="L310" i="3"/>
  <c r="K310" i="3"/>
  <c r="J310" i="3"/>
  <c r="J325" i="3" s="1"/>
  <c r="D336" i="3" s="1"/>
  <c r="F310" i="3"/>
  <c r="K309" i="3"/>
  <c r="J309" i="3"/>
  <c r="F309" i="3"/>
  <c r="L308" i="3"/>
  <c r="K308" i="3"/>
  <c r="J308" i="3"/>
  <c r="F308" i="3"/>
  <c r="M308" i="3" s="1"/>
  <c r="H307" i="3"/>
  <c r="G307" i="3"/>
  <c r="F307" i="3"/>
  <c r="E307" i="3"/>
  <c r="K306" i="3"/>
  <c r="J306" i="3"/>
  <c r="F306" i="3"/>
  <c r="K305" i="3"/>
  <c r="J305" i="3"/>
  <c r="F305" i="3"/>
  <c r="K304" i="3"/>
  <c r="J304" i="3"/>
  <c r="F304" i="3"/>
  <c r="M304" i="3" s="1"/>
  <c r="M303" i="3"/>
  <c r="L303" i="3"/>
  <c r="K303" i="3"/>
  <c r="J303" i="3"/>
  <c r="F303" i="3"/>
  <c r="M302" i="3"/>
  <c r="K302" i="3"/>
  <c r="J302" i="3"/>
  <c r="F302" i="3"/>
  <c r="L302" i="3" s="1"/>
  <c r="K301" i="3"/>
  <c r="J301" i="3"/>
  <c r="F301" i="3"/>
  <c r="M300" i="3"/>
  <c r="L300" i="3"/>
  <c r="K300" i="3"/>
  <c r="J300" i="3"/>
  <c r="F300" i="3"/>
  <c r="L299" i="3"/>
  <c r="K299" i="3"/>
  <c r="J299" i="3"/>
  <c r="F299" i="3"/>
  <c r="M299" i="3" s="1"/>
  <c r="K298" i="3"/>
  <c r="J298" i="3"/>
  <c r="F298" i="3"/>
  <c r="L298" i="3" s="1"/>
  <c r="M297" i="3"/>
  <c r="K297" i="3"/>
  <c r="J297" i="3"/>
  <c r="F297" i="3"/>
  <c r="L297" i="3" s="1"/>
  <c r="M296" i="3"/>
  <c r="K296" i="3"/>
  <c r="J296" i="3"/>
  <c r="F296" i="3"/>
  <c r="L296" i="3" s="1"/>
  <c r="L295" i="3"/>
  <c r="K295" i="3"/>
  <c r="J295" i="3"/>
  <c r="F295" i="3"/>
  <c r="M295" i="3" s="1"/>
  <c r="K294" i="3"/>
  <c r="J294" i="3"/>
  <c r="F294" i="3"/>
  <c r="M293" i="3"/>
  <c r="L293" i="3"/>
  <c r="K293" i="3"/>
  <c r="J293" i="3"/>
  <c r="F293" i="3"/>
  <c r="K292" i="3"/>
  <c r="J292" i="3"/>
  <c r="F292" i="3"/>
  <c r="M291" i="3"/>
  <c r="K291" i="3"/>
  <c r="J291" i="3"/>
  <c r="F291" i="3"/>
  <c r="L291" i="3" s="1"/>
  <c r="K290" i="3"/>
  <c r="J290" i="3"/>
  <c r="F290" i="3"/>
  <c r="M290" i="3" s="1"/>
  <c r="C290" i="3"/>
  <c r="K289" i="3"/>
  <c r="J289" i="3"/>
  <c r="F289" i="3"/>
  <c r="K288" i="3"/>
  <c r="J288" i="3"/>
  <c r="F288" i="3"/>
  <c r="M287" i="3"/>
  <c r="K287" i="3"/>
  <c r="J287" i="3"/>
  <c r="F287" i="3"/>
  <c r="L287" i="3" s="1"/>
  <c r="K286" i="3"/>
  <c r="J286" i="3"/>
  <c r="C286" i="3"/>
  <c r="F286" i="3" s="1"/>
  <c r="M285" i="3"/>
  <c r="L285" i="3"/>
  <c r="K285" i="3"/>
  <c r="J285" i="3"/>
  <c r="F285" i="3"/>
  <c r="M284" i="3"/>
  <c r="L284" i="3"/>
  <c r="K284" i="3"/>
  <c r="J284" i="3"/>
  <c r="F284" i="3"/>
  <c r="C284" i="3"/>
  <c r="M283" i="3"/>
  <c r="K283" i="3"/>
  <c r="J283" i="3"/>
  <c r="F283" i="3"/>
  <c r="L283" i="3" s="1"/>
  <c r="M282" i="3"/>
  <c r="L282" i="3"/>
  <c r="K282" i="3"/>
  <c r="J282" i="3"/>
  <c r="F282" i="3"/>
  <c r="M281" i="3"/>
  <c r="L281" i="3"/>
  <c r="K281" i="3"/>
  <c r="J281" i="3"/>
  <c r="F281" i="3"/>
  <c r="L280" i="3"/>
  <c r="K280" i="3"/>
  <c r="J280" i="3"/>
  <c r="F280" i="3"/>
  <c r="M280" i="3" s="1"/>
  <c r="L279" i="3"/>
  <c r="K279" i="3"/>
  <c r="J279" i="3"/>
  <c r="F279" i="3"/>
  <c r="M279" i="3" s="1"/>
  <c r="M278" i="3"/>
  <c r="L278" i="3"/>
  <c r="K278" i="3"/>
  <c r="K307" i="3" s="1"/>
  <c r="E334" i="3" s="1"/>
  <c r="J278" i="3"/>
  <c r="F278" i="3"/>
  <c r="M277" i="3"/>
  <c r="K277" i="3"/>
  <c r="J277" i="3"/>
  <c r="F277" i="3"/>
  <c r="L277" i="3" s="1"/>
  <c r="K276" i="3"/>
  <c r="J276" i="3"/>
  <c r="F276" i="3"/>
  <c r="M275" i="3"/>
  <c r="K275" i="3"/>
  <c r="J275" i="3"/>
  <c r="F275" i="3"/>
  <c r="L275" i="3" s="1"/>
  <c r="K274" i="3"/>
  <c r="J274" i="3"/>
  <c r="F274" i="3"/>
  <c r="M273" i="3"/>
  <c r="L273" i="3"/>
  <c r="K273" i="3"/>
  <c r="J273" i="3"/>
  <c r="F273" i="3"/>
  <c r="K272" i="3"/>
  <c r="J272" i="3"/>
  <c r="F272" i="3"/>
  <c r="K271" i="3"/>
  <c r="J271" i="3"/>
  <c r="F271" i="3"/>
  <c r="M270" i="3"/>
  <c r="L270" i="3"/>
  <c r="K270" i="3"/>
  <c r="J270" i="3"/>
  <c r="F270" i="3"/>
  <c r="K269" i="3"/>
  <c r="J269" i="3"/>
  <c r="F269" i="3"/>
  <c r="M268" i="3"/>
  <c r="L268" i="3"/>
  <c r="K268" i="3"/>
  <c r="J268" i="3"/>
  <c r="F268" i="3"/>
  <c r="K267" i="3"/>
  <c r="J267" i="3"/>
  <c r="F267" i="3"/>
  <c r="M267" i="3" s="1"/>
  <c r="K266" i="3"/>
  <c r="J266" i="3"/>
  <c r="F266" i="3"/>
  <c r="M265" i="3"/>
  <c r="K265" i="3"/>
  <c r="J265" i="3"/>
  <c r="F265" i="3"/>
  <c r="L265" i="3" s="1"/>
  <c r="K264" i="3"/>
  <c r="J264" i="3"/>
  <c r="F264" i="3"/>
  <c r="M263" i="3"/>
  <c r="L263" i="3"/>
  <c r="K263" i="3"/>
  <c r="J263" i="3"/>
  <c r="F263" i="3"/>
  <c r="M262" i="3"/>
  <c r="L262" i="3"/>
  <c r="K262" i="3"/>
  <c r="J262" i="3"/>
  <c r="F262" i="3"/>
  <c r="K261" i="3"/>
  <c r="J261" i="3"/>
  <c r="C261" i="3"/>
  <c r="F261" i="3" s="1"/>
  <c r="M260" i="3"/>
  <c r="L260" i="3"/>
  <c r="K260" i="3"/>
  <c r="J260" i="3"/>
  <c r="C260" i="3"/>
  <c r="F260" i="3" s="1"/>
  <c r="K259" i="3"/>
  <c r="J259" i="3"/>
  <c r="F259" i="3"/>
  <c r="C259" i="3"/>
  <c r="M258" i="3"/>
  <c r="L258" i="3"/>
  <c r="K258" i="3"/>
  <c r="J258" i="3"/>
  <c r="F258" i="3"/>
  <c r="M257" i="3"/>
  <c r="L257" i="3"/>
  <c r="K257" i="3"/>
  <c r="J257" i="3"/>
  <c r="F257" i="3"/>
  <c r="K256" i="3"/>
  <c r="J256" i="3"/>
  <c r="F256" i="3"/>
  <c r="K255" i="3"/>
  <c r="J255" i="3"/>
  <c r="F255" i="3"/>
  <c r="M255" i="3" s="1"/>
  <c r="M254" i="3"/>
  <c r="L254" i="3"/>
  <c r="K254" i="3"/>
  <c r="J254" i="3"/>
  <c r="F254" i="3"/>
  <c r="M253" i="3"/>
  <c r="L253" i="3"/>
  <c r="K253" i="3"/>
  <c r="J253" i="3"/>
  <c r="F253" i="3"/>
  <c r="M252" i="3"/>
  <c r="K252" i="3"/>
  <c r="J252" i="3"/>
  <c r="F252" i="3"/>
  <c r="L252" i="3" s="1"/>
  <c r="M251" i="3"/>
  <c r="L251" i="3"/>
  <c r="K251" i="3"/>
  <c r="J251" i="3"/>
  <c r="F251" i="3"/>
  <c r="C251" i="3"/>
  <c r="L250" i="3"/>
  <c r="K250" i="3"/>
  <c r="J250" i="3"/>
  <c r="C250" i="3"/>
  <c r="F250" i="3" s="1"/>
  <c r="M250" i="3" s="1"/>
  <c r="K249" i="3"/>
  <c r="J249" i="3"/>
  <c r="F249" i="3"/>
  <c r="M248" i="3"/>
  <c r="L248" i="3"/>
  <c r="K248" i="3"/>
  <c r="J248" i="3"/>
  <c r="F248" i="3"/>
  <c r="M247" i="3"/>
  <c r="L247" i="3"/>
  <c r="K247" i="3"/>
  <c r="J247" i="3"/>
  <c r="F247" i="3"/>
  <c r="K246" i="3"/>
  <c r="J246" i="3"/>
  <c r="F246" i="3"/>
  <c r="M246" i="3" s="1"/>
  <c r="M245" i="3"/>
  <c r="L245" i="3"/>
  <c r="K245" i="3"/>
  <c r="J245" i="3"/>
  <c r="F245" i="3"/>
  <c r="H244" i="3"/>
  <c r="G244" i="3"/>
  <c r="E244" i="3"/>
  <c r="K243" i="3"/>
  <c r="J243" i="3"/>
  <c r="F243" i="3"/>
  <c r="M242" i="3"/>
  <c r="L242" i="3"/>
  <c r="K242" i="3"/>
  <c r="J242" i="3"/>
  <c r="F242" i="3"/>
  <c r="L241" i="3"/>
  <c r="K241" i="3"/>
  <c r="J241" i="3"/>
  <c r="F241" i="3"/>
  <c r="M241" i="3" s="1"/>
  <c r="M240" i="3"/>
  <c r="K240" i="3"/>
  <c r="J240" i="3"/>
  <c r="F240" i="3"/>
  <c r="L240" i="3" s="1"/>
  <c r="M239" i="3"/>
  <c r="L239" i="3"/>
  <c r="K239" i="3"/>
  <c r="J239" i="3"/>
  <c r="F239" i="3"/>
  <c r="K238" i="3"/>
  <c r="J238" i="3"/>
  <c r="F238" i="3"/>
  <c r="L237" i="3"/>
  <c r="K237" i="3"/>
  <c r="J237" i="3"/>
  <c r="F237" i="3"/>
  <c r="M237" i="3" s="1"/>
  <c r="M236" i="3"/>
  <c r="K236" i="3"/>
  <c r="J236" i="3"/>
  <c r="F236" i="3"/>
  <c r="L236" i="3" s="1"/>
  <c r="K235" i="3"/>
  <c r="J235" i="3"/>
  <c r="C235" i="3"/>
  <c r="F235" i="3" s="1"/>
  <c r="K234" i="3"/>
  <c r="J234" i="3"/>
  <c r="F234" i="3"/>
  <c r="M233" i="3"/>
  <c r="L233" i="3"/>
  <c r="K233" i="3"/>
  <c r="J233" i="3"/>
  <c r="F233" i="3"/>
  <c r="K232" i="3"/>
  <c r="J232" i="3"/>
  <c r="F232" i="3"/>
  <c r="K231" i="3"/>
  <c r="J231" i="3"/>
  <c r="F231" i="3"/>
  <c r="K230" i="3"/>
  <c r="J230" i="3"/>
  <c r="F230" i="3"/>
  <c r="M229" i="3"/>
  <c r="K229" i="3"/>
  <c r="J229" i="3"/>
  <c r="F229" i="3"/>
  <c r="L229" i="3" s="1"/>
  <c r="M228" i="3"/>
  <c r="L228" i="3"/>
  <c r="K228" i="3"/>
  <c r="J228" i="3"/>
  <c r="F228" i="3"/>
  <c r="K227" i="3"/>
  <c r="J227" i="3"/>
  <c r="F227" i="3"/>
  <c r="M227" i="3" s="1"/>
  <c r="M226" i="3"/>
  <c r="L226" i="3"/>
  <c r="K226" i="3"/>
  <c r="J226" i="3"/>
  <c r="F226" i="3"/>
  <c r="K225" i="3"/>
  <c r="J225" i="3"/>
  <c r="F225" i="3"/>
  <c r="M225" i="3" s="1"/>
  <c r="K224" i="3"/>
  <c r="J224" i="3"/>
  <c r="F224" i="3"/>
  <c r="M223" i="3"/>
  <c r="L223" i="3"/>
  <c r="K223" i="3"/>
  <c r="J223" i="3"/>
  <c r="F223" i="3"/>
  <c r="L222" i="3"/>
  <c r="K222" i="3"/>
  <c r="J222" i="3"/>
  <c r="F222" i="3"/>
  <c r="M222" i="3" s="1"/>
  <c r="K221" i="3"/>
  <c r="J221" i="3"/>
  <c r="C221" i="3"/>
  <c r="F221" i="3" s="1"/>
  <c r="M220" i="3"/>
  <c r="L220" i="3"/>
  <c r="K220" i="3"/>
  <c r="J220" i="3"/>
  <c r="F220" i="3"/>
  <c r="L219" i="3"/>
  <c r="K219" i="3"/>
  <c r="J219" i="3"/>
  <c r="F219" i="3"/>
  <c r="M219" i="3" s="1"/>
  <c r="M218" i="3"/>
  <c r="K218" i="3"/>
  <c r="J218" i="3"/>
  <c r="F218" i="3"/>
  <c r="L218" i="3" s="1"/>
  <c r="M217" i="3"/>
  <c r="L217" i="3"/>
  <c r="K217" i="3"/>
  <c r="J217" i="3"/>
  <c r="F217" i="3"/>
  <c r="K216" i="3"/>
  <c r="J216" i="3"/>
  <c r="F216" i="3"/>
  <c r="K215" i="3"/>
  <c r="J215" i="3"/>
  <c r="F215" i="3"/>
  <c r="M215" i="3" s="1"/>
  <c r="M214" i="3"/>
  <c r="K214" i="3"/>
  <c r="J214" i="3"/>
  <c r="F214" i="3"/>
  <c r="L214" i="3" s="1"/>
  <c r="K213" i="3"/>
  <c r="J213" i="3"/>
  <c r="F213" i="3"/>
  <c r="M212" i="3"/>
  <c r="K212" i="3"/>
  <c r="J212" i="3"/>
  <c r="F212" i="3"/>
  <c r="L212" i="3" s="1"/>
  <c r="K211" i="3"/>
  <c r="J211" i="3"/>
  <c r="F211" i="3"/>
  <c r="M211" i="3" s="1"/>
  <c r="M210" i="3"/>
  <c r="K210" i="3"/>
  <c r="J210" i="3"/>
  <c r="F210" i="3"/>
  <c r="L210" i="3" s="1"/>
  <c r="M209" i="3"/>
  <c r="L209" i="3"/>
  <c r="K209" i="3"/>
  <c r="J209" i="3"/>
  <c r="F209" i="3"/>
  <c r="L208" i="3"/>
  <c r="K208" i="3"/>
  <c r="J208" i="3"/>
  <c r="F208" i="3"/>
  <c r="M208" i="3" s="1"/>
  <c r="M207" i="3"/>
  <c r="L207" i="3"/>
  <c r="K207" i="3"/>
  <c r="J207" i="3"/>
  <c r="F207" i="3"/>
  <c r="K206" i="3"/>
  <c r="J206" i="3"/>
  <c r="F206" i="3"/>
  <c r="M206" i="3" s="1"/>
  <c r="L205" i="3"/>
  <c r="K205" i="3"/>
  <c r="J205" i="3"/>
  <c r="F205" i="3"/>
  <c r="M205" i="3" s="1"/>
  <c r="C205" i="3"/>
  <c r="M204" i="3"/>
  <c r="L204" i="3"/>
  <c r="K204" i="3"/>
  <c r="J204" i="3"/>
  <c r="F204" i="3"/>
  <c r="K203" i="3"/>
  <c r="J203" i="3"/>
  <c r="F203" i="3"/>
  <c r="M203" i="3" s="1"/>
  <c r="L202" i="3"/>
  <c r="K202" i="3"/>
  <c r="J202" i="3"/>
  <c r="F202" i="3"/>
  <c r="M202" i="3" s="1"/>
  <c r="M201" i="3"/>
  <c r="L201" i="3"/>
  <c r="K201" i="3"/>
  <c r="J201" i="3"/>
  <c r="F201" i="3"/>
  <c r="L200" i="3"/>
  <c r="K200" i="3"/>
  <c r="J200" i="3"/>
  <c r="F200" i="3"/>
  <c r="M200" i="3" s="1"/>
  <c r="K199" i="3"/>
  <c r="J199" i="3"/>
  <c r="F199" i="3"/>
  <c r="M198" i="3"/>
  <c r="L198" i="3"/>
  <c r="K198" i="3"/>
  <c r="J198" i="3"/>
  <c r="F198" i="3"/>
  <c r="K197" i="3"/>
  <c r="J197" i="3"/>
  <c r="F197" i="3"/>
  <c r="K196" i="3"/>
  <c r="J196" i="3"/>
  <c r="C196" i="3"/>
  <c r="F196" i="3" s="1"/>
  <c r="M196" i="3" s="1"/>
  <c r="M195" i="3"/>
  <c r="L195" i="3"/>
  <c r="K195" i="3"/>
  <c r="J195" i="3"/>
  <c r="F195" i="3"/>
  <c r="K194" i="3"/>
  <c r="J194" i="3"/>
  <c r="F194" i="3"/>
  <c r="L193" i="3"/>
  <c r="K193" i="3"/>
  <c r="J193" i="3"/>
  <c r="F193" i="3"/>
  <c r="M193" i="3" s="1"/>
  <c r="C193" i="3"/>
  <c r="M192" i="3"/>
  <c r="L192" i="3"/>
  <c r="K192" i="3"/>
  <c r="J192" i="3"/>
  <c r="F192" i="3"/>
  <c r="K191" i="3"/>
  <c r="J191" i="3"/>
  <c r="F191" i="3"/>
  <c r="K190" i="3"/>
  <c r="J190" i="3"/>
  <c r="F190" i="3"/>
  <c r="M189" i="3"/>
  <c r="L189" i="3"/>
  <c r="K189" i="3"/>
  <c r="J189" i="3"/>
  <c r="F189" i="3"/>
  <c r="K188" i="3"/>
  <c r="J188" i="3"/>
  <c r="F188" i="3"/>
  <c r="K187" i="3"/>
  <c r="J187" i="3"/>
  <c r="F187" i="3"/>
  <c r="K186" i="3"/>
  <c r="J186" i="3"/>
  <c r="F186" i="3"/>
  <c r="M185" i="3"/>
  <c r="K185" i="3"/>
  <c r="J185" i="3"/>
  <c r="F185" i="3"/>
  <c r="L185" i="3" s="1"/>
  <c r="M184" i="3"/>
  <c r="L184" i="3"/>
  <c r="K184" i="3"/>
  <c r="J184" i="3"/>
  <c r="F184" i="3"/>
  <c r="K182" i="3"/>
  <c r="J182" i="3"/>
  <c r="F182" i="3"/>
  <c r="K181" i="3"/>
  <c r="J181" i="3"/>
  <c r="F181" i="3"/>
  <c r="K180" i="3"/>
  <c r="J180" i="3"/>
  <c r="F180" i="3"/>
  <c r="L180" i="3" s="1"/>
  <c r="M179" i="3"/>
  <c r="L179" i="3"/>
  <c r="K179" i="3"/>
  <c r="J179" i="3"/>
  <c r="F179" i="3"/>
  <c r="M178" i="3"/>
  <c r="K178" i="3"/>
  <c r="J178" i="3"/>
  <c r="F178" i="3"/>
  <c r="L178" i="3" s="1"/>
  <c r="M177" i="3"/>
  <c r="L177" i="3"/>
  <c r="K177" i="3"/>
  <c r="J177" i="3"/>
  <c r="F177" i="3"/>
  <c r="K176" i="3"/>
  <c r="J176" i="3"/>
  <c r="F176" i="3"/>
  <c r="M176" i="3" s="1"/>
  <c r="M175" i="3"/>
  <c r="L175" i="3"/>
  <c r="K175" i="3"/>
  <c r="J175" i="3"/>
  <c r="F175" i="3"/>
  <c r="K174" i="3"/>
  <c r="J174" i="3"/>
  <c r="F174" i="3"/>
  <c r="K173" i="3"/>
  <c r="J173" i="3"/>
  <c r="F173" i="3"/>
  <c r="M173" i="3" s="1"/>
  <c r="M172" i="3"/>
  <c r="L172" i="3"/>
  <c r="K172" i="3"/>
  <c r="J172" i="3"/>
  <c r="F172" i="3"/>
  <c r="L171" i="3"/>
  <c r="K171" i="3"/>
  <c r="J171" i="3"/>
  <c r="F171" i="3"/>
  <c r="M171" i="3" s="1"/>
  <c r="M170" i="3"/>
  <c r="K170" i="3"/>
  <c r="J170" i="3"/>
  <c r="F170" i="3"/>
  <c r="L170" i="3" s="1"/>
  <c r="M169" i="3"/>
  <c r="L169" i="3"/>
  <c r="K169" i="3"/>
  <c r="J169" i="3"/>
  <c r="F169" i="3"/>
  <c r="K168" i="3"/>
  <c r="J168" i="3"/>
  <c r="F168" i="3"/>
  <c r="K167" i="3"/>
  <c r="J167" i="3"/>
  <c r="F167" i="3"/>
  <c r="M166" i="3"/>
  <c r="L166" i="3"/>
  <c r="K166" i="3"/>
  <c r="J166" i="3"/>
  <c r="F166" i="3"/>
  <c r="K165" i="3"/>
  <c r="J165" i="3"/>
  <c r="F165" i="3"/>
  <c r="M164" i="3"/>
  <c r="K164" i="3"/>
  <c r="J164" i="3"/>
  <c r="F164" i="3"/>
  <c r="L164" i="3" s="1"/>
  <c r="L163" i="3"/>
  <c r="K163" i="3"/>
  <c r="J163" i="3"/>
  <c r="F163" i="3"/>
  <c r="M163" i="3" s="1"/>
  <c r="M162" i="3"/>
  <c r="K162" i="3"/>
  <c r="J162" i="3"/>
  <c r="F162" i="3"/>
  <c r="L162" i="3" s="1"/>
  <c r="M161" i="3"/>
  <c r="L161" i="3"/>
  <c r="K161" i="3"/>
  <c r="J161" i="3"/>
  <c r="F161" i="3"/>
  <c r="K160" i="3"/>
  <c r="J160" i="3"/>
  <c r="F160" i="3"/>
  <c r="L160" i="3" s="1"/>
  <c r="I159" i="3"/>
  <c r="H159" i="3"/>
  <c r="G159" i="3"/>
  <c r="E159" i="3"/>
  <c r="D159" i="3"/>
  <c r="C159" i="3"/>
  <c r="M158" i="3"/>
  <c r="K158" i="3"/>
  <c r="J158" i="3"/>
  <c r="F158" i="3"/>
  <c r="L158" i="3" s="1"/>
  <c r="M157" i="3"/>
  <c r="L157" i="3"/>
  <c r="K157" i="3"/>
  <c r="J157" i="3"/>
  <c r="F157" i="3"/>
  <c r="L156" i="3"/>
  <c r="K156" i="3"/>
  <c r="J156" i="3"/>
  <c r="F156" i="3"/>
  <c r="M156" i="3" s="1"/>
  <c r="K155" i="3"/>
  <c r="J155" i="3"/>
  <c r="F155" i="3"/>
  <c r="M155" i="3" s="1"/>
  <c r="M154" i="3"/>
  <c r="L154" i="3"/>
  <c r="K154" i="3"/>
  <c r="J154" i="3"/>
  <c r="F154" i="3"/>
  <c r="L153" i="3"/>
  <c r="K153" i="3"/>
  <c r="J153" i="3"/>
  <c r="F153" i="3"/>
  <c r="M153" i="3" s="1"/>
  <c r="K152" i="3"/>
  <c r="J152" i="3"/>
  <c r="F152" i="3"/>
  <c r="L152" i="3" s="1"/>
  <c r="M151" i="3"/>
  <c r="L151" i="3"/>
  <c r="K151" i="3"/>
  <c r="J151" i="3"/>
  <c r="F151" i="3"/>
  <c r="K150" i="3"/>
  <c r="J150" i="3"/>
  <c r="F150" i="3"/>
  <c r="K149" i="3"/>
  <c r="J149" i="3"/>
  <c r="F149" i="3"/>
  <c r="M149" i="3" s="1"/>
  <c r="K148" i="3"/>
  <c r="J148" i="3"/>
  <c r="F148" i="3"/>
  <c r="M148" i="3" s="1"/>
  <c r="I147" i="3"/>
  <c r="H147" i="3"/>
  <c r="G147" i="3"/>
  <c r="K146" i="3"/>
  <c r="J146" i="3"/>
  <c r="F146" i="3"/>
  <c r="M145" i="3"/>
  <c r="L145" i="3"/>
  <c r="K145" i="3"/>
  <c r="J145" i="3"/>
  <c r="F145" i="3"/>
  <c r="L144" i="3"/>
  <c r="K144" i="3"/>
  <c r="J144" i="3"/>
  <c r="F144" i="3"/>
  <c r="M144" i="3" s="1"/>
  <c r="K143" i="3"/>
  <c r="J143" i="3"/>
  <c r="F143" i="3"/>
  <c r="L143" i="3" s="1"/>
  <c r="M142" i="3"/>
  <c r="L142" i="3"/>
  <c r="K142" i="3"/>
  <c r="J142" i="3"/>
  <c r="F142" i="3"/>
  <c r="K141" i="3"/>
  <c r="J141" i="3"/>
  <c r="F141" i="3"/>
  <c r="K140" i="3"/>
  <c r="J140" i="3"/>
  <c r="F140" i="3"/>
  <c r="L139" i="3"/>
  <c r="K139" i="3"/>
  <c r="J139" i="3"/>
  <c r="F139" i="3"/>
  <c r="M139" i="3" s="1"/>
  <c r="K138" i="3"/>
  <c r="J138" i="3"/>
  <c r="F138" i="3"/>
  <c r="M137" i="3"/>
  <c r="K137" i="3"/>
  <c r="J137" i="3"/>
  <c r="F137" i="3"/>
  <c r="L137" i="3" s="1"/>
  <c r="K136" i="3"/>
  <c r="J136" i="3"/>
  <c r="F136" i="3"/>
  <c r="M136" i="3" s="1"/>
  <c r="M135" i="3"/>
  <c r="K135" i="3"/>
  <c r="J135" i="3"/>
  <c r="F135" i="3"/>
  <c r="L135" i="3" s="1"/>
  <c r="M134" i="3"/>
  <c r="L134" i="3"/>
  <c r="K134" i="3"/>
  <c r="J134" i="3"/>
  <c r="F134" i="3"/>
  <c r="K133" i="3"/>
  <c r="J133" i="3"/>
  <c r="F133" i="3"/>
  <c r="M133" i="3" s="1"/>
  <c r="M132" i="3"/>
  <c r="L132" i="3"/>
  <c r="K132" i="3"/>
  <c r="J132" i="3"/>
  <c r="F132" i="3"/>
  <c r="L131" i="3"/>
  <c r="K131" i="3"/>
  <c r="J131" i="3"/>
  <c r="F131" i="3"/>
  <c r="M131" i="3" s="1"/>
  <c r="L130" i="3"/>
  <c r="K130" i="3"/>
  <c r="J130" i="3"/>
  <c r="F130" i="3"/>
  <c r="M130" i="3" s="1"/>
  <c r="M129" i="3"/>
  <c r="L129" i="3"/>
  <c r="K129" i="3"/>
  <c r="J129" i="3"/>
  <c r="F129" i="3"/>
  <c r="L128" i="3"/>
  <c r="K128" i="3"/>
  <c r="J128" i="3"/>
  <c r="F128" i="3"/>
  <c r="M128" i="3" s="1"/>
  <c r="M127" i="3"/>
  <c r="K127" i="3"/>
  <c r="J127" i="3"/>
  <c r="F127" i="3"/>
  <c r="L127" i="3" s="1"/>
  <c r="M126" i="3"/>
  <c r="L126" i="3"/>
  <c r="K126" i="3"/>
  <c r="J126" i="3"/>
  <c r="F126" i="3"/>
  <c r="K125" i="3"/>
  <c r="J125" i="3"/>
  <c r="F125" i="3"/>
  <c r="K124" i="3"/>
  <c r="J124" i="3"/>
  <c r="F124" i="3"/>
  <c r="M124" i="3" s="1"/>
  <c r="M123" i="3"/>
  <c r="K123" i="3"/>
  <c r="J123" i="3"/>
  <c r="F123" i="3"/>
  <c r="L123" i="3" s="1"/>
  <c r="K122" i="3"/>
  <c r="J122" i="3"/>
  <c r="F122" i="3"/>
  <c r="K121" i="3"/>
  <c r="J121" i="3"/>
  <c r="F121" i="3"/>
  <c r="L121" i="3" s="1"/>
  <c r="K120" i="3"/>
  <c r="J120" i="3"/>
  <c r="F120" i="3"/>
  <c r="M119" i="3"/>
  <c r="K119" i="3"/>
  <c r="J119" i="3"/>
  <c r="F119" i="3"/>
  <c r="L119" i="3" s="1"/>
  <c r="M118" i="3"/>
  <c r="L118" i="3"/>
  <c r="K118" i="3"/>
  <c r="J118" i="3"/>
  <c r="F118" i="3"/>
  <c r="M117" i="3"/>
  <c r="K117" i="3"/>
  <c r="J117" i="3"/>
  <c r="F117" i="3"/>
  <c r="L117" i="3" s="1"/>
  <c r="M116" i="3"/>
  <c r="L116" i="3"/>
  <c r="K116" i="3"/>
  <c r="J116" i="3"/>
  <c r="F116" i="3"/>
  <c r="L115" i="3"/>
  <c r="K115" i="3"/>
  <c r="J115" i="3"/>
  <c r="F115" i="3"/>
  <c r="M115" i="3" s="1"/>
  <c r="K114" i="3"/>
  <c r="J114" i="3"/>
  <c r="F114" i="3"/>
  <c r="M114" i="3" s="1"/>
  <c r="M113" i="3"/>
  <c r="L113" i="3"/>
  <c r="K113" i="3"/>
  <c r="J113" i="3"/>
  <c r="F113" i="3"/>
  <c r="L112" i="3"/>
  <c r="K112" i="3"/>
  <c r="J112" i="3"/>
  <c r="F112" i="3"/>
  <c r="M112" i="3" s="1"/>
  <c r="K111" i="3"/>
  <c r="J111" i="3"/>
  <c r="F111" i="3"/>
  <c r="L111" i="3" s="1"/>
  <c r="M110" i="3"/>
  <c r="L110" i="3"/>
  <c r="K110" i="3"/>
  <c r="J110" i="3"/>
  <c r="F110" i="3"/>
  <c r="K109" i="3"/>
  <c r="J109" i="3"/>
  <c r="F109" i="3"/>
  <c r="L108" i="3"/>
  <c r="K108" i="3"/>
  <c r="J108" i="3"/>
  <c r="F108" i="3"/>
  <c r="M108" i="3" s="1"/>
  <c r="K107" i="3"/>
  <c r="J107" i="3"/>
  <c r="F107" i="3"/>
  <c r="M107" i="3" s="1"/>
  <c r="K106" i="3"/>
  <c r="J106" i="3"/>
  <c r="F106" i="3"/>
  <c r="K105" i="3"/>
  <c r="J105" i="3"/>
  <c r="F105" i="3"/>
  <c r="M104" i="3"/>
  <c r="L104" i="3"/>
  <c r="K104" i="3"/>
  <c r="J104" i="3"/>
  <c r="F104" i="3"/>
  <c r="M103" i="3"/>
  <c r="K103" i="3"/>
  <c r="J103" i="3"/>
  <c r="F103" i="3"/>
  <c r="L103" i="3" s="1"/>
  <c r="M102" i="3"/>
  <c r="L102" i="3"/>
  <c r="K102" i="3"/>
  <c r="J102" i="3"/>
  <c r="F102" i="3"/>
  <c r="M101" i="3"/>
  <c r="L101" i="3"/>
  <c r="K101" i="3"/>
  <c r="J101" i="3"/>
  <c r="F101" i="3"/>
  <c r="M100" i="3"/>
  <c r="L100" i="3"/>
  <c r="K100" i="3"/>
  <c r="J100" i="3"/>
  <c r="F100" i="3"/>
  <c r="K99" i="3"/>
  <c r="J99" i="3"/>
  <c r="F99" i="3"/>
  <c r="K98" i="3"/>
  <c r="J98" i="3"/>
  <c r="F98" i="3"/>
  <c r="M97" i="3"/>
  <c r="L97" i="3"/>
  <c r="K97" i="3"/>
  <c r="J97" i="3"/>
  <c r="F97" i="3"/>
  <c r="L96" i="3"/>
  <c r="K96" i="3"/>
  <c r="J96" i="3"/>
  <c r="F96" i="3"/>
  <c r="M96" i="3" s="1"/>
  <c r="M95" i="3"/>
  <c r="K95" i="3"/>
  <c r="J95" i="3"/>
  <c r="F95" i="3"/>
  <c r="L95" i="3" s="1"/>
  <c r="M94" i="3"/>
  <c r="L94" i="3"/>
  <c r="K94" i="3"/>
  <c r="J94" i="3"/>
  <c r="F94" i="3"/>
  <c r="K93" i="3"/>
  <c r="J93" i="3"/>
  <c r="F93" i="3"/>
  <c r="K92" i="3"/>
  <c r="J92" i="3"/>
  <c r="F92" i="3"/>
  <c r="M92" i="3" s="1"/>
  <c r="M91" i="3"/>
  <c r="K91" i="3"/>
  <c r="J91" i="3"/>
  <c r="F91" i="3"/>
  <c r="L91" i="3" s="1"/>
  <c r="K90" i="3"/>
  <c r="J90" i="3"/>
  <c r="F90" i="3"/>
  <c r="M89" i="3"/>
  <c r="K89" i="3"/>
  <c r="J89" i="3"/>
  <c r="F89" i="3"/>
  <c r="L89" i="3" s="1"/>
  <c r="K88" i="3"/>
  <c r="J88" i="3"/>
  <c r="F88" i="3"/>
  <c r="I87" i="3"/>
  <c r="H87" i="3"/>
  <c r="G87" i="3"/>
  <c r="M86" i="3"/>
  <c r="K86" i="3"/>
  <c r="J86" i="3"/>
  <c r="F86" i="3"/>
  <c r="L86" i="3" s="1"/>
  <c r="M85" i="3"/>
  <c r="L85" i="3"/>
  <c r="K85" i="3"/>
  <c r="J85" i="3"/>
  <c r="F85" i="3"/>
  <c r="K84" i="3"/>
  <c r="J84" i="3"/>
  <c r="F84" i="3"/>
  <c r="K83" i="3"/>
  <c r="J83" i="3"/>
  <c r="F83" i="3"/>
  <c r="M83" i="3" s="1"/>
  <c r="M82" i="3"/>
  <c r="L82" i="3"/>
  <c r="K82" i="3"/>
  <c r="J82" i="3"/>
  <c r="F82" i="3"/>
  <c r="K81" i="3"/>
  <c r="J81" i="3"/>
  <c r="F81" i="3"/>
  <c r="K80" i="3"/>
  <c r="J80" i="3"/>
  <c r="F80" i="3"/>
  <c r="C80" i="3"/>
  <c r="K79" i="3"/>
  <c r="J79" i="3"/>
  <c r="F79" i="3"/>
  <c r="K78" i="3"/>
  <c r="J78" i="3"/>
  <c r="F78" i="3"/>
  <c r="M77" i="3"/>
  <c r="K77" i="3"/>
  <c r="J77" i="3"/>
  <c r="F77" i="3"/>
  <c r="L77" i="3" s="1"/>
  <c r="K76" i="3"/>
  <c r="J76" i="3"/>
  <c r="F76" i="3"/>
  <c r="K75" i="3"/>
  <c r="J75" i="3"/>
  <c r="C75" i="3"/>
  <c r="F75" i="3" s="1"/>
  <c r="K74" i="3"/>
  <c r="J74" i="3"/>
  <c r="F74" i="3"/>
  <c r="L74" i="3" s="1"/>
  <c r="K73" i="3"/>
  <c r="J73" i="3"/>
  <c r="F73" i="3"/>
  <c r="M73" i="3" s="1"/>
  <c r="M72" i="3"/>
  <c r="K72" i="3"/>
  <c r="J72" i="3"/>
  <c r="F72" i="3"/>
  <c r="L72" i="3" s="1"/>
  <c r="M71" i="3"/>
  <c r="L71" i="3"/>
  <c r="K71" i="3"/>
  <c r="J71" i="3"/>
  <c r="F71" i="3"/>
  <c r="M70" i="3"/>
  <c r="L70" i="3"/>
  <c r="K70" i="3"/>
  <c r="J70" i="3"/>
  <c r="F70" i="3"/>
  <c r="K69" i="3"/>
  <c r="J69" i="3"/>
  <c r="C69" i="3"/>
  <c r="F69" i="3" s="1"/>
  <c r="M68" i="3"/>
  <c r="L68" i="3"/>
  <c r="K68" i="3"/>
  <c r="J68" i="3"/>
  <c r="F68" i="3"/>
  <c r="M67" i="3"/>
  <c r="L67" i="3"/>
  <c r="K67" i="3"/>
  <c r="J67" i="3"/>
  <c r="F67" i="3"/>
  <c r="M66" i="3"/>
  <c r="L66" i="3"/>
  <c r="K66" i="3"/>
  <c r="J66" i="3"/>
  <c r="F66" i="3"/>
  <c r="K65" i="3"/>
  <c r="J65" i="3"/>
  <c r="F65" i="3"/>
  <c r="M65" i="3" s="1"/>
  <c r="L64" i="3"/>
  <c r="K64" i="3"/>
  <c r="J64" i="3"/>
  <c r="F64" i="3"/>
  <c r="M64" i="3" s="1"/>
  <c r="M63" i="3"/>
  <c r="L63" i="3"/>
  <c r="K63" i="3"/>
  <c r="J63" i="3"/>
  <c r="F63" i="3"/>
  <c r="L62" i="3"/>
  <c r="K62" i="3"/>
  <c r="J62" i="3"/>
  <c r="F62" i="3"/>
  <c r="M62" i="3" s="1"/>
  <c r="K61" i="3"/>
  <c r="J61" i="3"/>
  <c r="F61" i="3"/>
  <c r="I60" i="3"/>
  <c r="M59" i="3"/>
  <c r="L59" i="3"/>
  <c r="K59" i="3"/>
  <c r="J59" i="3"/>
  <c r="F59" i="3"/>
  <c r="K58" i="3"/>
  <c r="J58" i="3"/>
  <c r="F58" i="3"/>
  <c r="M58" i="3" s="1"/>
  <c r="M57" i="3"/>
  <c r="L57" i="3"/>
  <c r="K57" i="3"/>
  <c r="J57" i="3"/>
  <c r="F57" i="3"/>
  <c r="K56" i="3"/>
  <c r="J56" i="3"/>
  <c r="F56" i="3"/>
  <c r="M56" i="3" s="1"/>
  <c r="L55" i="3"/>
  <c r="K55" i="3"/>
  <c r="J55" i="3"/>
  <c r="F55" i="3"/>
  <c r="M55" i="3" s="1"/>
  <c r="K54" i="3"/>
  <c r="J54" i="3"/>
  <c r="C54" i="3"/>
  <c r="F54" i="3" s="1"/>
  <c r="M54" i="3" s="1"/>
  <c r="M53" i="3"/>
  <c r="L53" i="3"/>
  <c r="K53" i="3"/>
  <c r="J53" i="3"/>
  <c r="F53" i="3"/>
  <c r="C53" i="3"/>
  <c r="M52" i="3"/>
  <c r="L52" i="3"/>
  <c r="K52" i="3"/>
  <c r="J52" i="3"/>
  <c r="F52" i="3"/>
  <c r="M51" i="3"/>
  <c r="L51" i="3"/>
  <c r="K51" i="3"/>
  <c r="J51" i="3"/>
  <c r="F51" i="3"/>
  <c r="M50" i="3"/>
  <c r="L50" i="3"/>
  <c r="K50" i="3"/>
  <c r="J50" i="3"/>
  <c r="F50" i="3"/>
  <c r="K49" i="3"/>
  <c r="J49" i="3"/>
  <c r="F49" i="3"/>
  <c r="M49" i="3" s="1"/>
  <c r="M48" i="3"/>
  <c r="L48" i="3"/>
  <c r="K48" i="3"/>
  <c r="J48" i="3"/>
  <c r="F48" i="3"/>
  <c r="L47" i="3"/>
  <c r="K47" i="3"/>
  <c r="J47" i="3"/>
  <c r="F47" i="3"/>
  <c r="M47" i="3" s="1"/>
  <c r="K46" i="3"/>
  <c r="J46" i="3"/>
  <c r="F46" i="3"/>
  <c r="L46" i="3" s="1"/>
  <c r="M45" i="3"/>
  <c r="L45" i="3"/>
  <c r="K45" i="3"/>
  <c r="J45" i="3"/>
  <c r="F45" i="3"/>
  <c r="K44" i="3"/>
  <c r="J44" i="3"/>
  <c r="F44" i="3"/>
  <c r="C44" i="3"/>
  <c r="M43" i="3"/>
  <c r="K43" i="3"/>
  <c r="J43" i="3"/>
  <c r="F43" i="3"/>
  <c r="L43" i="3" s="1"/>
  <c r="M42" i="3"/>
  <c r="L42" i="3"/>
  <c r="K42" i="3"/>
  <c r="J42" i="3"/>
  <c r="F42" i="3"/>
  <c r="C42" i="3"/>
  <c r="L41" i="3"/>
  <c r="K41" i="3"/>
  <c r="J41" i="3"/>
  <c r="F41" i="3"/>
  <c r="M41" i="3" s="1"/>
  <c r="M40" i="3"/>
  <c r="K40" i="3"/>
  <c r="J40" i="3"/>
  <c r="F40" i="3"/>
  <c r="L40" i="3" s="1"/>
  <c r="M39" i="3"/>
  <c r="L39" i="3"/>
  <c r="K39" i="3"/>
  <c r="J39" i="3"/>
  <c r="F39" i="3"/>
  <c r="K38" i="3"/>
  <c r="J38" i="3"/>
  <c r="F38" i="3"/>
  <c r="C38" i="3"/>
  <c r="K37" i="3"/>
  <c r="J37" i="3"/>
  <c r="F37" i="3"/>
  <c r="M36" i="3"/>
  <c r="L36" i="3"/>
  <c r="K36" i="3"/>
  <c r="J36" i="3"/>
  <c r="F36" i="3"/>
  <c r="K35" i="3"/>
  <c r="J35" i="3"/>
  <c r="F35" i="3"/>
  <c r="K34" i="3"/>
  <c r="J34" i="3"/>
  <c r="F34" i="3"/>
  <c r="K33" i="3"/>
  <c r="J33" i="3"/>
  <c r="F33" i="3"/>
  <c r="K32" i="3"/>
  <c r="J32" i="3"/>
  <c r="F32" i="3"/>
  <c r="K31" i="3"/>
  <c r="J31" i="3"/>
  <c r="F31" i="3"/>
  <c r="L31" i="3" s="1"/>
  <c r="K30" i="3"/>
  <c r="J30" i="3"/>
  <c r="C30" i="3"/>
  <c r="F30" i="3" s="1"/>
  <c r="K29" i="3"/>
  <c r="J29" i="3"/>
  <c r="F29" i="3"/>
  <c r="M28" i="3"/>
  <c r="K28" i="3"/>
  <c r="K60" i="3" s="1"/>
  <c r="E329" i="3" s="1"/>
  <c r="J28" i="3"/>
  <c r="F28" i="3"/>
  <c r="L28" i="3" s="1"/>
  <c r="K27" i="3"/>
  <c r="J27" i="3"/>
  <c r="F27" i="3"/>
  <c r="K26" i="3"/>
  <c r="J26" i="3"/>
  <c r="F26" i="3"/>
  <c r="L26" i="3" s="1"/>
  <c r="M25" i="3"/>
  <c r="L25" i="3"/>
  <c r="K25" i="3"/>
  <c r="J25" i="3"/>
  <c r="J60" i="3" s="1"/>
  <c r="D329" i="3" s="1"/>
  <c r="F25" i="3"/>
  <c r="K24" i="3"/>
  <c r="J24" i="3"/>
  <c r="C24" i="3"/>
  <c r="F24" i="3" s="1"/>
  <c r="M23" i="3"/>
  <c r="K23" i="3"/>
  <c r="J23" i="3"/>
  <c r="F23" i="3"/>
  <c r="I22" i="3"/>
  <c r="H22" i="3"/>
  <c r="H60" i="3" s="1"/>
  <c r="G22" i="3"/>
  <c r="G60" i="3" s="1"/>
  <c r="E22" i="3"/>
  <c r="K21" i="3"/>
  <c r="J21" i="3"/>
  <c r="F21" i="3"/>
  <c r="L21" i="3" s="1"/>
  <c r="M20" i="3"/>
  <c r="L20" i="3"/>
  <c r="K20" i="3"/>
  <c r="J20" i="3"/>
  <c r="F20" i="3"/>
  <c r="K19" i="3"/>
  <c r="J19" i="3"/>
  <c r="C19" i="3"/>
  <c r="F19" i="3" s="1"/>
  <c r="M19" i="3" s="1"/>
  <c r="K18" i="3"/>
  <c r="J18" i="3"/>
  <c r="F18" i="3"/>
  <c r="D18" i="3"/>
  <c r="C18" i="3"/>
  <c r="K17" i="3"/>
  <c r="J17" i="3"/>
  <c r="F17" i="3"/>
  <c r="M16" i="3"/>
  <c r="L16" i="3"/>
  <c r="K16" i="3"/>
  <c r="J16" i="3"/>
  <c r="F16" i="3"/>
  <c r="K15" i="3"/>
  <c r="J15" i="3"/>
  <c r="F15" i="3"/>
  <c r="K14" i="3"/>
  <c r="J14" i="3"/>
  <c r="F14" i="3"/>
  <c r="D14" i="3"/>
  <c r="C14" i="3"/>
  <c r="C22" i="3" s="1"/>
  <c r="M13" i="3"/>
  <c r="L13" i="3"/>
  <c r="K13" i="3"/>
  <c r="J13" i="3"/>
  <c r="F13" i="3"/>
  <c r="C13" i="3"/>
  <c r="K12" i="3"/>
  <c r="J12" i="3"/>
  <c r="C12" i="3"/>
  <c r="F12" i="3" s="1"/>
  <c r="M12" i="3" s="1"/>
  <c r="K11" i="3"/>
  <c r="J11" i="3"/>
  <c r="F11" i="3"/>
  <c r="M10" i="3"/>
  <c r="L10" i="3"/>
  <c r="K10" i="3"/>
  <c r="J10" i="3"/>
  <c r="F10" i="3"/>
  <c r="L9" i="3"/>
  <c r="K9" i="3"/>
  <c r="J9" i="3"/>
  <c r="C9" i="3"/>
  <c r="F9" i="3" s="1"/>
  <c r="M9" i="3" s="1"/>
  <c r="K8" i="3"/>
  <c r="J8" i="3"/>
  <c r="F8" i="3"/>
  <c r="M8" i="3" s="1"/>
  <c r="M7" i="3"/>
  <c r="K7" i="3"/>
  <c r="J7" i="3"/>
  <c r="C7" i="3"/>
  <c r="F7" i="3" s="1"/>
  <c r="L7" i="3" s="1"/>
  <c r="M6" i="3"/>
  <c r="L6" i="3"/>
  <c r="K6" i="3"/>
  <c r="J6" i="3"/>
  <c r="F6" i="3"/>
  <c r="L5" i="3"/>
  <c r="K5" i="3"/>
  <c r="J5" i="3"/>
  <c r="F5" i="3"/>
  <c r="M5" i="3" s="1"/>
  <c r="M4" i="3"/>
  <c r="L4" i="3"/>
  <c r="K4" i="3"/>
  <c r="J4" i="3"/>
  <c r="F4" i="3"/>
  <c r="K3" i="3"/>
  <c r="J3" i="3"/>
  <c r="D3" i="3"/>
  <c r="C3" i="3"/>
  <c r="I564" i="2"/>
  <c r="I565" i="2" s="1"/>
  <c r="H564" i="2"/>
  <c r="E564" i="2"/>
  <c r="D564" i="2"/>
  <c r="C564" i="2"/>
  <c r="K563" i="2"/>
  <c r="J563" i="2"/>
  <c r="F563" i="2"/>
  <c r="L563" i="2" s="1"/>
  <c r="K562" i="2"/>
  <c r="J562" i="2"/>
  <c r="F562" i="2"/>
  <c r="L562" i="2" s="1"/>
  <c r="K561" i="2"/>
  <c r="J561" i="2"/>
  <c r="F561" i="2"/>
  <c r="L561" i="2" s="1"/>
  <c r="K560" i="2"/>
  <c r="J560" i="2"/>
  <c r="F560" i="2"/>
  <c r="L560" i="2" s="1"/>
  <c r="L559" i="2"/>
  <c r="K559" i="2"/>
  <c r="J559" i="2"/>
  <c r="F559" i="2"/>
  <c r="K558" i="2"/>
  <c r="J558" i="2"/>
  <c r="F558" i="2"/>
  <c r="L558" i="2" s="1"/>
  <c r="K557" i="2"/>
  <c r="J557" i="2"/>
  <c r="F557" i="2"/>
  <c r="L557" i="2" s="1"/>
  <c r="K556" i="2"/>
  <c r="J556" i="2"/>
  <c r="F556" i="2"/>
  <c r="L556" i="2" s="1"/>
  <c r="K555" i="2"/>
  <c r="J555" i="2"/>
  <c r="F555" i="2"/>
  <c r="L555" i="2" s="1"/>
  <c r="K554" i="2"/>
  <c r="J554" i="2"/>
  <c r="F554" i="2"/>
  <c r="L554" i="2" s="1"/>
  <c r="L553" i="2"/>
  <c r="K553" i="2"/>
  <c r="J553" i="2"/>
  <c r="F553" i="2"/>
  <c r="K552" i="2"/>
  <c r="J552" i="2"/>
  <c r="F552" i="2"/>
  <c r="L552" i="2" s="1"/>
  <c r="K551" i="2"/>
  <c r="J551" i="2"/>
  <c r="F551" i="2"/>
  <c r="L551" i="2" s="1"/>
  <c r="K550" i="2"/>
  <c r="J550" i="2"/>
  <c r="F550" i="2"/>
  <c r="L550" i="2" s="1"/>
  <c r="L549" i="2"/>
  <c r="K549" i="2"/>
  <c r="J549" i="2"/>
  <c r="F549" i="2"/>
  <c r="K548" i="2"/>
  <c r="J548" i="2"/>
  <c r="F548" i="2"/>
  <c r="L548" i="2" s="1"/>
  <c r="K547" i="2"/>
  <c r="J547" i="2"/>
  <c r="F547" i="2"/>
  <c r="L547" i="2" s="1"/>
  <c r="K546" i="2"/>
  <c r="J546" i="2"/>
  <c r="F546" i="2"/>
  <c r="L546" i="2" s="1"/>
  <c r="L545" i="2"/>
  <c r="K545" i="2"/>
  <c r="J545" i="2"/>
  <c r="F545" i="2"/>
  <c r="K544" i="2"/>
  <c r="J544" i="2"/>
  <c r="F544" i="2"/>
  <c r="L544" i="2" s="1"/>
  <c r="K543" i="2"/>
  <c r="J543" i="2"/>
  <c r="F543" i="2"/>
  <c r="L543" i="2" s="1"/>
  <c r="K542" i="2"/>
  <c r="J542" i="2"/>
  <c r="F542" i="2"/>
  <c r="L542" i="2" s="1"/>
  <c r="K541" i="2"/>
  <c r="J541" i="2"/>
  <c r="F541" i="2"/>
  <c r="L541" i="2" s="1"/>
  <c r="K540" i="2"/>
  <c r="J540" i="2"/>
  <c r="F540" i="2"/>
  <c r="L540" i="2" s="1"/>
  <c r="K539" i="2"/>
  <c r="J539" i="2"/>
  <c r="F539" i="2"/>
  <c r="L539" i="2" s="1"/>
  <c r="K538" i="2"/>
  <c r="J538" i="2"/>
  <c r="F538" i="2"/>
  <c r="L538" i="2" s="1"/>
  <c r="L537" i="2"/>
  <c r="K537" i="2"/>
  <c r="J537" i="2"/>
  <c r="F537" i="2"/>
  <c r="K536" i="2"/>
  <c r="J536" i="2"/>
  <c r="F536" i="2"/>
  <c r="L536" i="2" s="1"/>
  <c r="L535" i="2"/>
  <c r="K535" i="2"/>
  <c r="J535" i="2"/>
  <c r="F535" i="2"/>
  <c r="M534" i="2"/>
  <c r="K534" i="2"/>
  <c r="J534" i="2"/>
  <c r="F534" i="2"/>
  <c r="L534" i="2" s="1"/>
  <c r="L533" i="2"/>
  <c r="K533" i="2"/>
  <c r="J533" i="2"/>
  <c r="F533" i="2"/>
  <c r="K532" i="2"/>
  <c r="J532" i="2"/>
  <c r="F532" i="2"/>
  <c r="L532" i="2" s="1"/>
  <c r="L531" i="2"/>
  <c r="K531" i="2"/>
  <c r="J531" i="2"/>
  <c r="F531" i="2"/>
  <c r="K530" i="2"/>
  <c r="J530" i="2"/>
  <c r="F530" i="2"/>
  <c r="L530" i="2" s="1"/>
  <c r="L529" i="2"/>
  <c r="K529" i="2"/>
  <c r="J529" i="2"/>
  <c r="F529" i="2"/>
  <c r="L528" i="2"/>
  <c r="K528" i="2"/>
  <c r="J528" i="2"/>
  <c r="F528" i="2"/>
  <c r="L527" i="2"/>
  <c r="K527" i="2"/>
  <c r="J527" i="2"/>
  <c r="F527" i="2"/>
  <c r="K526" i="2"/>
  <c r="J526" i="2"/>
  <c r="F526" i="2"/>
  <c r="L526" i="2" s="1"/>
  <c r="L525" i="2"/>
  <c r="K525" i="2"/>
  <c r="J525" i="2"/>
  <c r="F525" i="2"/>
  <c r="K524" i="2"/>
  <c r="J524" i="2"/>
  <c r="F524" i="2"/>
  <c r="L524" i="2" s="1"/>
  <c r="L523" i="2"/>
  <c r="K523" i="2"/>
  <c r="J523" i="2"/>
  <c r="F523" i="2"/>
  <c r="K522" i="2"/>
  <c r="J522" i="2"/>
  <c r="F522" i="2"/>
  <c r="L522" i="2" s="1"/>
  <c r="L521" i="2"/>
  <c r="K521" i="2"/>
  <c r="J521" i="2"/>
  <c r="F521" i="2"/>
  <c r="K520" i="2"/>
  <c r="J520" i="2"/>
  <c r="F520" i="2"/>
  <c r="L520" i="2" s="1"/>
  <c r="L519" i="2"/>
  <c r="K519" i="2"/>
  <c r="J519" i="2"/>
  <c r="F519" i="2"/>
  <c r="K518" i="2"/>
  <c r="J518" i="2"/>
  <c r="F518" i="2"/>
  <c r="L518" i="2" s="1"/>
  <c r="L517" i="2"/>
  <c r="K517" i="2"/>
  <c r="J517" i="2"/>
  <c r="F517" i="2"/>
  <c r="K516" i="2"/>
  <c r="J516" i="2"/>
  <c r="F516" i="2"/>
  <c r="L516" i="2" s="1"/>
  <c r="L515" i="2"/>
  <c r="K515" i="2"/>
  <c r="J515" i="2"/>
  <c r="G515" i="2"/>
  <c r="F515" i="2"/>
  <c r="K514" i="2"/>
  <c r="J514" i="2"/>
  <c r="F514" i="2"/>
  <c r="L514" i="2" s="1"/>
  <c r="K513" i="2"/>
  <c r="J513" i="2"/>
  <c r="F513" i="2"/>
  <c r="L513" i="2" s="1"/>
  <c r="L512" i="2"/>
  <c r="K512" i="2"/>
  <c r="J512" i="2"/>
  <c r="F512" i="2"/>
  <c r="L511" i="2"/>
  <c r="K511" i="2"/>
  <c r="J511" i="2"/>
  <c r="F511" i="2"/>
  <c r="K510" i="2"/>
  <c r="J510" i="2"/>
  <c r="F510" i="2"/>
  <c r="L510" i="2" s="1"/>
  <c r="K509" i="2"/>
  <c r="J509" i="2"/>
  <c r="F509" i="2"/>
  <c r="L509" i="2" s="1"/>
  <c r="K508" i="2"/>
  <c r="J508" i="2"/>
  <c r="F508" i="2"/>
  <c r="L508" i="2" s="1"/>
  <c r="L507" i="2"/>
  <c r="K507" i="2"/>
  <c r="J507" i="2"/>
  <c r="F507" i="2"/>
  <c r="K506" i="2"/>
  <c r="J506" i="2"/>
  <c r="F506" i="2"/>
  <c r="L506" i="2" s="1"/>
  <c r="K505" i="2"/>
  <c r="J505" i="2"/>
  <c r="F505" i="2"/>
  <c r="L505" i="2" s="1"/>
  <c r="K504" i="2"/>
  <c r="J504" i="2"/>
  <c r="F504" i="2"/>
  <c r="L504" i="2" s="1"/>
  <c r="L503" i="2"/>
  <c r="K503" i="2"/>
  <c r="J503" i="2"/>
  <c r="F503" i="2"/>
  <c r="K502" i="2"/>
  <c r="J502" i="2"/>
  <c r="F502" i="2"/>
  <c r="L502" i="2" s="1"/>
  <c r="K501" i="2"/>
  <c r="J501" i="2"/>
  <c r="F501" i="2"/>
  <c r="L501" i="2" s="1"/>
  <c r="L500" i="2"/>
  <c r="K500" i="2"/>
  <c r="J500" i="2"/>
  <c r="F500" i="2"/>
  <c r="L499" i="2"/>
  <c r="K499" i="2"/>
  <c r="J499" i="2"/>
  <c r="F499" i="2"/>
  <c r="K498" i="2"/>
  <c r="J498" i="2"/>
  <c r="F498" i="2"/>
  <c r="L498" i="2" s="1"/>
  <c r="K497" i="2"/>
  <c r="J497" i="2"/>
  <c r="F497" i="2"/>
  <c r="L497" i="2" s="1"/>
  <c r="L496" i="2"/>
  <c r="K496" i="2"/>
  <c r="J496" i="2"/>
  <c r="F496" i="2"/>
  <c r="L495" i="2"/>
  <c r="K495" i="2"/>
  <c r="J495" i="2"/>
  <c r="F495" i="2"/>
  <c r="K494" i="2"/>
  <c r="J494" i="2"/>
  <c r="F494" i="2"/>
  <c r="L494" i="2" s="1"/>
  <c r="K493" i="2"/>
  <c r="J493" i="2"/>
  <c r="F493" i="2"/>
  <c r="L493" i="2" s="1"/>
  <c r="L492" i="2"/>
  <c r="K492" i="2"/>
  <c r="J492" i="2"/>
  <c r="F492" i="2"/>
  <c r="L491" i="2"/>
  <c r="K491" i="2"/>
  <c r="J491" i="2"/>
  <c r="F491" i="2"/>
  <c r="K490" i="2"/>
  <c r="J490" i="2"/>
  <c r="F490" i="2"/>
  <c r="L490" i="2" s="1"/>
  <c r="K489" i="2"/>
  <c r="J489" i="2"/>
  <c r="G489" i="2"/>
  <c r="F489" i="2"/>
  <c r="K488" i="2"/>
  <c r="J488" i="2"/>
  <c r="F488" i="2"/>
  <c r="L488" i="2" s="1"/>
  <c r="L487" i="2"/>
  <c r="K487" i="2"/>
  <c r="J487" i="2"/>
  <c r="F487" i="2"/>
  <c r="K486" i="2"/>
  <c r="J486" i="2"/>
  <c r="F486" i="2"/>
  <c r="L486" i="2" s="1"/>
  <c r="K485" i="2"/>
  <c r="J485" i="2"/>
  <c r="F485" i="2"/>
  <c r="L485" i="2" s="1"/>
  <c r="K484" i="2"/>
  <c r="J484" i="2"/>
  <c r="F484" i="2"/>
  <c r="L484" i="2" s="1"/>
  <c r="L483" i="2"/>
  <c r="K483" i="2"/>
  <c r="J483" i="2"/>
  <c r="F483" i="2"/>
  <c r="K482" i="2"/>
  <c r="J482" i="2"/>
  <c r="F482" i="2"/>
  <c r="L482" i="2" s="1"/>
  <c r="K481" i="2"/>
  <c r="J481" i="2"/>
  <c r="F481" i="2"/>
  <c r="L481" i="2" s="1"/>
  <c r="K480" i="2"/>
  <c r="J480" i="2"/>
  <c r="F480" i="2"/>
  <c r="L480" i="2" s="1"/>
  <c r="L479" i="2"/>
  <c r="K479" i="2"/>
  <c r="J479" i="2"/>
  <c r="F479" i="2"/>
  <c r="K478" i="2"/>
  <c r="J478" i="2"/>
  <c r="F478" i="2"/>
  <c r="L478" i="2" s="1"/>
  <c r="K477" i="2"/>
  <c r="J477" i="2"/>
  <c r="F477" i="2"/>
  <c r="L477" i="2" s="1"/>
  <c r="L476" i="2"/>
  <c r="K476" i="2"/>
  <c r="J476" i="2"/>
  <c r="F476" i="2"/>
  <c r="L475" i="2"/>
  <c r="K475" i="2"/>
  <c r="J475" i="2"/>
  <c r="F475" i="2"/>
  <c r="K474" i="2"/>
  <c r="J474" i="2"/>
  <c r="F474" i="2"/>
  <c r="L474" i="2" s="1"/>
  <c r="K473" i="2"/>
  <c r="J473" i="2"/>
  <c r="F473" i="2"/>
  <c r="L473" i="2" s="1"/>
  <c r="K472" i="2"/>
  <c r="J472" i="2"/>
  <c r="F472" i="2"/>
  <c r="L472" i="2" s="1"/>
  <c r="L471" i="2"/>
  <c r="K471" i="2"/>
  <c r="J471" i="2"/>
  <c r="F471" i="2"/>
  <c r="K470" i="2"/>
  <c r="J470" i="2"/>
  <c r="F470" i="2"/>
  <c r="L470" i="2" s="1"/>
  <c r="K469" i="2"/>
  <c r="J469" i="2"/>
  <c r="F469" i="2"/>
  <c r="L469" i="2" s="1"/>
  <c r="K468" i="2"/>
  <c r="J468" i="2"/>
  <c r="F468" i="2"/>
  <c r="L468" i="2" s="1"/>
  <c r="L467" i="2"/>
  <c r="K467" i="2"/>
  <c r="J467" i="2"/>
  <c r="F467" i="2"/>
  <c r="K466" i="2"/>
  <c r="J466" i="2"/>
  <c r="F466" i="2"/>
  <c r="L466" i="2" s="1"/>
  <c r="K465" i="2"/>
  <c r="J465" i="2"/>
  <c r="F465" i="2"/>
  <c r="L465" i="2" s="1"/>
  <c r="K464" i="2"/>
  <c r="J464" i="2"/>
  <c r="F464" i="2"/>
  <c r="L464" i="2" s="1"/>
  <c r="L463" i="2"/>
  <c r="K463" i="2"/>
  <c r="J463" i="2"/>
  <c r="F463" i="2"/>
  <c r="K462" i="2"/>
  <c r="J462" i="2"/>
  <c r="F462" i="2"/>
  <c r="L462" i="2" s="1"/>
  <c r="K461" i="2"/>
  <c r="J461" i="2"/>
  <c r="F461" i="2"/>
  <c r="L461" i="2" s="1"/>
  <c r="L460" i="2"/>
  <c r="K460" i="2"/>
  <c r="J460" i="2"/>
  <c r="F460" i="2"/>
  <c r="L459" i="2"/>
  <c r="K459" i="2"/>
  <c r="J459" i="2"/>
  <c r="F459" i="2"/>
  <c r="K458" i="2"/>
  <c r="J458" i="2"/>
  <c r="F458" i="2"/>
  <c r="L458" i="2" s="1"/>
  <c r="K457" i="2"/>
  <c r="J457" i="2"/>
  <c r="F457" i="2"/>
  <c r="L457" i="2" s="1"/>
  <c r="K456" i="2"/>
  <c r="J456" i="2"/>
  <c r="J564" i="2" s="1"/>
  <c r="F456" i="2"/>
  <c r="I455" i="2"/>
  <c r="H455" i="2"/>
  <c r="G455" i="2"/>
  <c r="E455" i="2"/>
  <c r="D455" i="2"/>
  <c r="C455" i="2"/>
  <c r="K454" i="2"/>
  <c r="J454" i="2"/>
  <c r="F454" i="2"/>
  <c r="L454" i="2" s="1"/>
  <c r="L453" i="2"/>
  <c r="K453" i="2"/>
  <c r="J453" i="2"/>
  <c r="F453" i="2"/>
  <c r="K452" i="2"/>
  <c r="J452" i="2"/>
  <c r="F452" i="2"/>
  <c r="L452" i="2" s="1"/>
  <c r="L451" i="2"/>
  <c r="K451" i="2"/>
  <c r="J451" i="2"/>
  <c r="F451" i="2"/>
  <c r="L450" i="2"/>
  <c r="K450" i="2"/>
  <c r="J450" i="2"/>
  <c r="F450" i="2"/>
  <c r="L449" i="2"/>
  <c r="K449" i="2"/>
  <c r="J449" i="2"/>
  <c r="F449" i="2"/>
  <c r="K448" i="2"/>
  <c r="J448" i="2"/>
  <c r="F448" i="2"/>
  <c r="L448" i="2" s="1"/>
  <c r="L447" i="2"/>
  <c r="K447" i="2"/>
  <c r="J447" i="2"/>
  <c r="F447" i="2"/>
  <c r="K446" i="2"/>
  <c r="J446" i="2"/>
  <c r="F446" i="2"/>
  <c r="L446" i="2" s="1"/>
  <c r="L445" i="2"/>
  <c r="K445" i="2"/>
  <c r="J445" i="2"/>
  <c r="F445" i="2"/>
  <c r="K444" i="2"/>
  <c r="J444" i="2"/>
  <c r="F444" i="2"/>
  <c r="L444" i="2" s="1"/>
  <c r="L443" i="2"/>
  <c r="K443" i="2"/>
  <c r="J443" i="2"/>
  <c r="F443" i="2"/>
  <c r="K442" i="2"/>
  <c r="J442" i="2"/>
  <c r="F442" i="2"/>
  <c r="L442" i="2" s="1"/>
  <c r="L441" i="2"/>
  <c r="K441" i="2"/>
  <c r="J441" i="2"/>
  <c r="F441" i="2"/>
  <c r="K440" i="2"/>
  <c r="J440" i="2"/>
  <c r="F440" i="2"/>
  <c r="L440" i="2" s="1"/>
  <c r="L439" i="2"/>
  <c r="K439" i="2"/>
  <c r="J439" i="2"/>
  <c r="F439" i="2"/>
  <c r="K438" i="2"/>
  <c r="J438" i="2"/>
  <c r="F438" i="2"/>
  <c r="L438" i="2" s="1"/>
  <c r="L437" i="2"/>
  <c r="K437" i="2"/>
  <c r="J437" i="2"/>
  <c r="F437" i="2"/>
  <c r="K436" i="2"/>
  <c r="J436" i="2"/>
  <c r="F436" i="2"/>
  <c r="L436" i="2" s="1"/>
  <c r="L435" i="2"/>
  <c r="K435" i="2"/>
  <c r="J435" i="2"/>
  <c r="F435" i="2"/>
  <c r="K434" i="2"/>
  <c r="J434" i="2"/>
  <c r="F434" i="2"/>
  <c r="L434" i="2" s="1"/>
  <c r="L433" i="2"/>
  <c r="K433" i="2"/>
  <c r="J433" i="2"/>
  <c r="F433" i="2"/>
  <c r="K432" i="2"/>
  <c r="J432" i="2"/>
  <c r="F432" i="2"/>
  <c r="L432" i="2" s="1"/>
  <c r="L431" i="2"/>
  <c r="K431" i="2"/>
  <c r="J431" i="2"/>
  <c r="F431" i="2"/>
  <c r="K430" i="2"/>
  <c r="J430" i="2"/>
  <c r="F430" i="2"/>
  <c r="L430" i="2" s="1"/>
  <c r="I429" i="2"/>
  <c r="H429" i="2"/>
  <c r="G429" i="2"/>
  <c r="E429" i="2"/>
  <c r="D429" i="2"/>
  <c r="C429" i="2"/>
  <c r="L428" i="2"/>
  <c r="K428" i="2"/>
  <c r="J428" i="2"/>
  <c r="F428" i="2"/>
  <c r="K427" i="2"/>
  <c r="J427" i="2"/>
  <c r="F427" i="2"/>
  <c r="L427" i="2" s="1"/>
  <c r="L426" i="2"/>
  <c r="K426" i="2"/>
  <c r="J426" i="2"/>
  <c r="F426" i="2"/>
  <c r="K425" i="2"/>
  <c r="K429" i="2" s="1"/>
  <c r="J425" i="2"/>
  <c r="F425" i="2"/>
  <c r="L425" i="2" s="1"/>
  <c r="L424" i="2"/>
  <c r="K424" i="2"/>
  <c r="J424" i="2"/>
  <c r="F424" i="2"/>
  <c r="K423" i="2"/>
  <c r="J423" i="2"/>
  <c r="F423" i="2"/>
  <c r="L423" i="2" s="1"/>
  <c r="L422" i="2"/>
  <c r="K422" i="2"/>
  <c r="J422" i="2"/>
  <c r="F422" i="2"/>
  <c r="K421" i="2"/>
  <c r="J421" i="2"/>
  <c r="F421" i="2"/>
  <c r="L421" i="2" s="1"/>
  <c r="L420" i="2"/>
  <c r="K420" i="2"/>
  <c r="J420" i="2"/>
  <c r="F420" i="2"/>
  <c r="K419" i="2"/>
  <c r="J419" i="2"/>
  <c r="F419" i="2"/>
  <c r="L419" i="2" s="1"/>
  <c r="L418" i="2"/>
  <c r="K418" i="2"/>
  <c r="J418" i="2"/>
  <c r="F418" i="2"/>
  <c r="K417" i="2"/>
  <c r="J417" i="2"/>
  <c r="F417" i="2"/>
  <c r="L417" i="2" s="1"/>
  <c r="J416" i="2"/>
  <c r="I416" i="2"/>
  <c r="H416" i="2"/>
  <c r="H565" i="2" s="1"/>
  <c r="G416" i="2"/>
  <c r="E416" i="2"/>
  <c r="D416" i="2"/>
  <c r="C416" i="2"/>
  <c r="K415" i="2"/>
  <c r="J415" i="2"/>
  <c r="F415" i="2"/>
  <c r="L415" i="2" s="1"/>
  <c r="L414" i="2"/>
  <c r="K414" i="2"/>
  <c r="J414" i="2"/>
  <c r="F414" i="2"/>
  <c r="L413" i="2"/>
  <c r="K413" i="2"/>
  <c r="J413" i="2"/>
  <c r="F413" i="2"/>
  <c r="L412" i="2"/>
  <c r="K412" i="2"/>
  <c r="J412" i="2"/>
  <c r="F412" i="2"/>
  <c r="K411" i="2"/>
  <c r="J411" i="2"/>
  <c r="F411" i="2"/>
  <c r="L411" i="2" s="1"/>
  <c r="L410" i="2"/>
  <c r="K410" i="2"/>
  <c r="J410" i="2"/>
  <c r="F410" i="2"/>
  <c r="L409" i="2"/>
  <c r="K409" i="2"/>
  <c r="J409" i="2"/>
  <c r="F409" i="2"/>
  <c r="L408" i="2"/>
  <c r="K408" i="2"/>
  <c r="J408" i="2"/>
  <c r="F408" i="2"/>
  <c r="K407" i="2"/>
  <c r="J407" i="2"/>
  <c r="F407" i="2"/>
  <c r="L407" i="2" s="1"/>
  <c r="L406" i="2"/>
  <c r="K406" i="2"/>
  <c r="J406" i="2"/>
  <c r="F406" i="2"/>
  <c r="K405" i="2"/>
  <c r="J405" i="2"/>
  <c r="F405" i="2"/>
  <c r="L405" i="2" s="1"/>
  <c r="L404" i="2"/>
  <c r="K404" i="2"/>
  <c r="J404" i="2"/>
  <c r="F404" i="2"/>
  <c r="K403" i="2"/>
  <c r="J403" i="2"/>
  <c r="F403" i="2"/>
  <c r="L403" i="2" s="1"/>
  <c r="L402" i="2"/>
  <c r="K402" i="2"/>
  <c r="J402" i="2"/>
  <c r="F402" i="2"/>
  <c r="K401" i="2"/>
  <c r="J401" i="2"/>
  <c r="F401" i="2"/>
  <c r="L401" i="2" s="1"/>
  <c r="L400" i="2"/>
  <c r="K400" i="2"/>
  <c r="J400" i="2"/>
  <c r="F400" i="2"/>
  <c r="K399" i="2"/>
  <c r="J399" i="2"/>
  <c r="F399" i="2"/>
  <c r="L399" i="2" s="1"/>
  <c r="K398" i="2"/>
  <c r="J398" i="2"/>
  <c r="F398" i="2"/>
  <c r="L398" i="2" s="1"/>
  <c r="L397" i="2"/>
  <c r="K397" i="2"/>
  <c r="J397" i="2"/>
  <c r="F397" i="2"/>
  <c r="L396" i="2"/>
  <c r="K396" i="2"/>
  <c r="J396" i="2"/>
  <c r="F396" i="2"/>
  <c r="K395" i="2"/>
  <c r="J395" i="2"/>
  <c r="F395" i="2"/>
  <c r="L395" i="2" s="1"/>
  <c r="L394" i="2"/>
  <c r="K394" i="2"/>
  <c r="J394" i="2"/>
  <c r="F394" i="2"/>
  <c r="L393" i="2"/>
  <c r="K393" i="2"/>
  <c r="J393" i="2"/>
  <c r="F393" i="2"/>
  <c r="L392" i="2"/>
  <c r="K392" i="2"/>
  <c r="J392" i="2"/>
  <c r="F392" i="2"/>
  <c r="K391" i="2"/>
  <c r="J391" i="2"/>
  <c r="F391" i="2"/>
  <c r="L391" i="2" s="1"/>
  <c r="K390" i="2"/>
  <c r="J390" i="2"/>
  <c r="F390" i="2"/>
  <c r="L390" i="2" s="1"/>
  <c r="K389" i="2"/>
  <c r="J389" i="2"/>
  <c r="F389" i="2"/>
  <c r="L389" i="2" s="1"/>
  <c r="L388" i="2"/>
  <c r="K388" i="2"/>
  <c r="J388" i="2"/>
  <c r="F388" i="2"/>
  <c r="K387" i="2"/>
  <c r="J387" i="2"/>
  <c r="F387" i="2"/>
  <c r="L387" i="2" s="1"/>
  <c r="K386" i="2"/>
  <c r="J386" i="2"/>
  <c r="F386" i="2"/>
  <c r="L386" i="2" s="1"/>
  <c r="K385" i="2"/>
  <c r="J385" i="2"/>
  <c r="F385" i="2"/>
  <c r="L385" i="2" s="1"/>
  <c r="L384" i="2"/>
  <c r="K384" i="2"/>
  <c r="J384" i="2"/>
  <c r="F384" i="2"/>
  <c r="K383" i="2"/>
  <c r="J383" i="2"/>
  <c r="F383" i="2"/>
  <c r="L383" i="2" s="1"/>
  <c r="K382" i="2"/>
  <c r="J382" i="2"/>
  <c r="F382" i="2"/>
  <c r="L382" i="2" s="1"/>
  <c r="K381" i="2"/>
  <c r="J381" i="2"/>
  <c r="F381" i="2"/>
  <c r="L381" i="2" s="1"/>
  <c r="L380" i="2"/>
  <c r="K380" i="2"/>
  <c r="J380" i="2"/>
  <c r="F380" i="2"/>
  <c r="K379" i="2"/>
  <c r="J379" i="2"/>
  <c r="F379" i="2"/>
  <c r="L379" i="2" s="1"/>
  <c r="K378" i="2"/>
  <c r="J378" i="2"/>
  <c r="F378" i="2"/>
  <c r="L378" i="2" s="1"/>
  <c r="L377" i="2"/>
  <c r="K377" i="2"/>
  <c r="J377" i="2"/>
  <c r="F377" i="2"/>
  <c r="L376" i="2"/>
  <c r="K376" i="2"/>
  <c r="J376" i="2"/>
  <c r="F376" i="2"/>
  <c r="K375" i="2"/>
  <c r="J375" i="2"/>
  <c r="F375" i="2"/>
  <c r="L375" i="2" s="1"/>
  <c r="K374" i="2"/>
  <c r="J374" i="2"/>
  <c r="F374" i="2"/>
  <c r="L374" i="2" s="1"/>
  <c r="K373" i="2"/>
  <c r="J373" i="2"/>
  <c r="F373" i="2"/>
  <c r="L373" i="2" s="1"/>
  <c r="L372" i="2"/>
  <c r="K372" i="2"/>
  <c r="J372" i="2"/>
  <c r="F372" i="2"/>
  <c r="K371" i="2"/>
  <c r="J371" i="2"/>
  <c r="F371" i="2"/>
  <c r="L371" i="2" s="1"/>
  <c r="L370" i="2"/>
  <c r="K370" i="2"/>
  <c r="J370" i="2"/>
  <c r="F370" i="2"/>
  <c r="K369" i="2"/>
  <c r="J369" i="2"/>
  <c r="F369" i="2"/>
  <c r="L369" i="2" s="1"/>
  <c r="L368" i="2"/>
  <c r="K368" i="2"/>
  <c r="J368" i="2"/>
  <c r="F368" i="2"/>
  <c r="K367" i="2"/>
  <c r="J367" i="2"/>
  <c r="F367" i="2"/>
  <c r="L367" i="2" s="1"/>
  <c r="L366" i="2"/>
  <c r="K366" i="2"/>
  <c r="J366" i="2"/>
  <c r="F366" i="2"/>
  <c r="K365" i="2"/>
  <c r="J365" i="2"/>
  <c r="F365" i="2"/>
  <c r="L365" i="2" s="1"/>
  <c r="L364" i="2"/>
  <c r="K364" i="2"/>
  <c r="J364" i="2"/>
  <c r="F364" i="2"/>
  <c r="K363" i="2"/>
  <c r="J363" i="2"/>
  <c r="F363" i="2"/>
  <c r="L363" i="2" s="1"/>
  <c r="L362" i="2"/>
  <c r="L416" i="2" s="1"/>
  <c r="K362" i="2"/>
  <c r="J362" i="2"/>
  <c r="F362" i="2"/>
  <c r="K361" i="2"/>
  <c r="J361" i="2"/>
  <c r="F361" i="2"/>
  <c r="L361" i="2" s="1"/>
  <c r="L360" i="2"/>
  <c r="K360" i="2"/>
  <c r="J360" i="2"/>
  <c r="F360" i="2"/>
  <c r="K359" i="2"/>
  <c r="J359" i="2"/>
  <c r="F359" i="2"/>
  <c r="L359" i="2" s="1"/>
  <c r="L358" i="2"/>
  <c r="K358" i="2"/>
  <c r="J358" i="2"/>
  <c r="F358" i="2"/>
  <c r="K357" i="2"/>
  <c r="J357" i="2"/>
  <c r="F357" i="2"/>
  <c r="L357" i="2" s="1"/>
  <c r="K356" i="2"/>
  <c r="J356" i="2"/>
  <c r="F356" i="2"/>
  <c r="L356" i="2" s="1"/>
  <c r="K355" i="2"/>
  <c r="J355" i="2"/>
  <c r="F355" i="2"/>
  <c r="L355" i="2" s="1"/>
  <c r="K354" i="2"/>
  <c r="J354" i="2"/>
  <c r="F354" i="2"/>
  <c r="L354" i="2" s="1"/>
  <c r="L353" i="2"/>
  <c r="K353" i="2"/>
  <c r="J353" i="2"/>
  <c r="F353" i="2"/>
  <c r="K352" i="2"/>
  <c r="J352" i="2"/>
  <c r="F352" i="2"/>
  <c r="L352" i="2" s="1"/>
  <c r="K351" i="2"/>
  <c r="J351" i="2"/>
  <c r="F351" i="2"/>
  <c r="L351" i="2" s="1"/>
  <c r="K350" i="2"/>
  <c r="J350" i="2"/>
  <c r="F350" i="2"/>
  <c r="L350" i="2" s="1"/>
  <c r="L349" i="2"/>
  <c r="K349" i="2"/>
  <c r="J349" i="2"/>
  <c r="F349" i="2"/>
  <c r="K348" i="2"/>
  <c r="J348" i="2"/>
  <c r="F348" i="2"/>
  <c r="L348" i="2" s="1"/>
  <c r="K347" i="2"/>
  <c r="J347" i="2"/>
  <c r="F347" i="2"/>
  <c r="L347" i="2" s="1"/>
  <c r="L346" i="2"/>
  <c r="K346" i="2"/>
  <c r="J346" i="2"/>
  <c r="F346" i="2"/>
  <c r="L345" i="2"/>
  <c r="K345" i="2"/>
  <c r="J345" i="2"/>
  <c r="F345" i="2"/>
  <c r="K344" i="2"/>
  <c r="J344" i="2"/>
  <c r="F344" i="2"/>
  <c r="L344" i="2" s="1"/>
  <c r="K343" i="2"/>
  <c r="J343" i="2"/>
  <c r="F343" i="2"/>
  <c r="L343" i="2" s="1"/>
  <c r="K342" i="2"/>
  <c r="J342" i="2"/>
  <c r="F342" i="2"/>
  <c r="L342" i="2" s="1"/>
  <c r="L341" i="2"/>
  <c r="K341" i="2"/>
  <c r="J341" i="2"/>
  <c r="F341" i="2"/>
  <c r="L336" i="2"/>
  <c r="I336" i="2"/>
  <c r="I322" i="2"/>
  <c r="H322" i="2"/>
  <c r="G322" i="2"/>
  <c r="E322" i="2"/>
  <c r="D322" i="2"/>
  <c r="C322" i="2"/>
  <c r="M321" i="2"/>
  <c r="L321" i="2"/>
  <c r="K321" i="2"/>
  <c r="J321" i="2"/>
  <c r="F321" i="2"/>
  <c r="M320" i="2"/>
  <c r="L320" i="2"/>
  <c r="K320" i="2"/>
  <c r="J320" i="2"/>
  <c r="F320" i="2"/>
  <c r="K319" i="2"/>
  <c r="J319" i="2"/>
  <c r="F319" i="2"/>
  <c r="K318" i="2"/>
  <c r="J318" i="2"/>
  <c r="F318" i="2"/>
  <c r="M317" i="2"/>
  <c r="L317" i="2"/>
  <c r="K317" i="2"/>
  <c r="J317" i="2"/>
  <c r="F317" i="2"/>
  <c r="K316" i="2"/>
  <c r="J316" i="2"/>
  <c r="F316" i="2"/>
  <c r="M316" i="2" s="1"/>
  <c r="M315" i="2"/>
  <c r="K315" i="2"/>
  <c r="J315" i="2"/>
  <c r="F315" i="2"/>
  <c r="L315" i="2" s="1"/>
  <c r="M314" i="2"/>
  <c r="L314" i="2"/>
  <c r="K314" i="2"/>
  <c r="J314" i="2"/>
  <c r="F314" i="2"/>
  <c r="K313" i="2"/>
  <c r="J313" i="2"/>
  <c r="F313" i="2"/>
  <c r="M313" i="2" s="1"/>
  <c r="K312" i="2"/>
  <c r="J312" i="2"/>
  <c r="F312" i="2"/>
  <c r="L312" i="2" s="1"/>
  <c r="M311" i="2"/>
  <c r="K311" i="2"/>
  <c r="J311" i="2"/>
  <c r="F311" i="2"/>
  <c r="L311" i="2" s="1"/>
  <c r="M310" i="2"/>
  <c r="K310" i="2"/>
  <c r="J310" i="2"/>
  <c r="F310" i="2"/>
  <c r="L310" i="2" s="1"/>
  <c r="M309" i="2"/>
  <c r="L309" i="2"/>
  <c r="K309" i="2"/>
  <c r="J309" i="2"/>
  <c r="F309" i="2"/>
  <c r="M308" i="2"/>
  <c r="L308" i="2"/>
  <c r="K308" i="2"/>
  <c r="J308" i="2"/>
  <c r="F308" i="2"/>
  <c r="M307" i="2"/>
  <c r="L307" i="2"/>
  <c r="K307" i="2"/>
  <c r="J307" i="2"/>
  <c r="F307" i="2"/>
  <c r="K306" i="2"/>
  <c r="J306" i="2"/>
  <c r="F306" i="2"/>
  <c r="H305" i="2"/>
  <c r="G305" i="2"/>
  <c r="F305" i="2"/>
  <c r="E305" i="2"/>
  <c r="K304" i="2"/>
  <c r="J304" i="2"/>
  <c r="F304" i="2"/>
  <c r="M304" i="2" s="1"/>
  <c r="K303" i="2"/>
  <c r="J303" i="2"/>
  <c r="F303" i="2"/>
  <c r="K302" i="2"/>
  <c r="J302" i="2"/>
  <c r="F302" i="2"/>
  <c r="M301" i="2"/>
  <c r="K301" i="2"/>
  <c r="J301" i="2"/>
  <c r="C301" i="2"/>
  <c r="F301" i="2" s="1"/>
  <c r="L301" i="2" s="1"/>
  <c r="K300" i="2"/>
  <c r="J300" i="2"/>
  <c r="F300" i="2"/>
  <c r="L300" i="2" s="1"/>
  <c r="M299" i="2"/>
  <c r="L299" i="2"/>
  <c r="K299" i="2"/>
  <c r="J299" i="2"/>
  <c r="F299" i="2"/>
  <c r="M298" i="2"/>
  <c r="K298" i="2"/>
  <c r="J298" i="2"/>
  <c r="F298" i="2"/>
  <c r="L298" i="2" s="1"/>
  <c r="L297" i="2"/>
  <c r="K297" i="2"/>
  <c r="J297" i="2"/>
  <c r="F297" i="2"/>
  <c r="M297" i="2" s="1"/>
  <c r="K296" i="2"/>
  <c r="J296" i="2"/>
  <c r="F296" i="2"/>
  <c r="M295" i="2"/>
  <c r="L295" i="2"/>
  <c r="K295" i="2"/>
  <c r="J295" i="2"/>
  <c r="F295" i="2"/>
  <c r="K294" i="2"/>
  <c r="J294" i="2"/>
  <c r="F294" i="2"/>
  <c r="L293" i="2"/>
  <c r="K293" i="2"/>
  <c r="J293" i="2"/>
  <c r="F293" i="2"/>
  <c r="M293" i="2" s="1"/>
  <c r="M292" i="2"/>
  <c r="L292" i="2"/>
  <c r="K292" i="2"/>
  <c r="J292" i="2"/>
  <c r="F292" i="2"/>
  <c r="K291" i="2"/>
  <c r="J291" i="2"/>
  <c r="F291" i="2"/>
  <c r="M291" i="2" s="1"/>
  <c r="K290" i="2"/>
  <c r="J290" i="2"/>
  <c r="F290" i="2"/>
  <c r="L290" i="2" s="1"/>
  <c r="M289" i="2"/>
  <c r="L289" i="2"/>
  <c r="K289" i="2"/>
  <c r="J289" i="2"/>
  <c r="F289" i="2"/>
  <c r="K288" i="2"/>
  <c r="J288" i="2"/>
  <c r="F288" i="2"/>
  <c r="C288" i="2"/>
  <c r="K287" i="2"/>
  <c r="J287" i="2"/>
  <c r="F287" i="2"/>
  <c r="M286" i="2"/>
  <c r="L286" i="2"/>
  <c r="K286" i="2"/>
  <c r="J286" i="2"/>
  <c r="F286" i="2"/>
  <c r="K285" i="2"/>
  <c r="J285" i="2"/>
  <c r="F285" i="2"/>
  <c r="C285" i="2"/>
  <c r="K284" i="2"/>
  <c r="J284" i="2"/>
  <c r="C284" i="2"/>
  <c r="F284" i="2" s="1"/>
  <c r="M283" i="2"/>
  <c r="L283" i="2"/>
  <c r="K283" i="2"/>
  <c r="J283" i="2"/>
  <c r="F283" i="2"/>
  <c r="K282" i="2"/>
  <c r="J282" i="2"/>
  <c r="C282" i="2"/>
  <c r="F282" i="2" s="1"/>
  <c r="K281" i="2"/>
  <c r="J281" i="2"/>
  <c r="F281" i="2"/>
  <c r="M281" i="2" s="1"/>
  <c r="M280" i="2"/>
  <c r="L280" i="2"/>
  <c r="K280" i="2"/>
  <c r="J280" i="2"/>
  <c r="F280" i="2"/>
  <c r="K279" i="2"/>
  <c r="J279" i="2"/>
  <c r="F279" i="2"/>
  <c r="M279" i="2" s="1"/>
  <c r="M278" i="2"/>
  <c r="K278" i="2"/>
  <c r="J278" i="2"/>
  <c r="F278" i="2"/>
  <c r="L278" i="2" s="1"/>
  <c r="M277" i="2"/>
  <c r="L277" i="2"/>
  <c r="K277" i="2"/>
  <c r="J277" i="2"/>
  <c r="F277" i="2"/>
  <c r="K276" i="2"/>
  <c r="J276" i="2"/>
  <c r="F276" i="2"/>
  <c r="K275" i="2"/>
  <c r="J275" i="2"/>
  <c r="F275" i="2"/>
  <c r="M274" i="2"/>
  <c r="L274" i="2"/>
  <c r="K274" i="2"/>
  <c r="J274" i="2"/>
  <c r="F274" i="2"/>
  <c r="K273" i="2"/>
  <c r="J273" i="2"/>
  <c r="F273" i="2"/>
  <c r="M273" i="2" s="1"/>
  <c r="M272" i="2"/>
  <c r="K272" i="2"/>
  <c r="J272" i="2"/>
  <c r="F272" i="2"/>
  <c r="L272" i="2" s="1"/>
  <c r="K271" i="2"/>
  <c r="J271" i="2"/>
  <c r="F271" i="2"/>
  <c r="M271" i="2" s="1"/>
  <c r="M270" i="2"/>
  <c r="K270" i="2"/>
  <c r="J270" i="2"/>
  <c r="F270" i="2"/>
  <c r="L270" i="2" s="1"/>
  <c r="L269" i="2"/>
  <c r="K269" i="2"/>
  <c r="J269" i="2"/>
  <c r="F269" i="2"/>
  <c r="M269" i="2" s="1"/>
  <c r="K268" i="2"/>
  <c r="J268" i="2"/>
  <c r="F268" i="2"/>
  <c r="L268" i="2" s="1"/>
  <c r="M267" i="2"/>
  <c r="L267" i="2"/>
  <c r="K267" i="2"/>
  <c r="J267" i="2"/>
  <c r="F267" i="2"/>
  <c r="K266" i="2"/>
  <c r="J266" i="2"/>
  <c r="F266" i="2"/>
  <c r="K265" i="2"/>
  <c r="J265" i="2"/>
  <c r="F265" i="2"/>
  <c r="M264" i="2"/>
  <c r="L264" i="2"/>
  <c r="K264" i="2"/>
  <c r="J264" i="2"/>
  <c r="F264" i="2"/>
  <c r="K263" i="2"/>
  <c r="J263" i="2"/>
  <c r="F263" i="2"/>
  <c r="M263" i="2" s="1"/>
  <c r="K262" i="2"/>
  <c r="J262" i="2"/>
  <c r="C262" i="2"/>
  <c r="F262" i="2" s="1"/>
  <c r="M261" i="2"/>
  <c r="L261" i="2"/>
  <c r="K261" i="2"/>
  <c r="J261" i="2"/>
  <c r="F261" i="2"/>
  <c r="K260" i="2"/>
  <c r="J260" i="2"/>
  <c r="F260" i="2"/>
  <c r="M260" i="2" s="1"/>
  <c r="M259" i="2"/>
  <c r="K259" i="2"/>
  <c r="J259" i="2"/>
  <c r="J305" i="2" s="1"/>
  <c r="D331" i="2" s="1"/>
  <c r="F259" i="2"/>
  <c r="L259" i="2" s="1"/>
  <c r="K258" i="2"/>
  <c r="J258" i="2"/>
  <c r="C258" i="2"/>
  <c r="F258" i="2" s="1"/>
  <c r="M258" i="2" s="1"/>
  <c r="K257" i="2"/>
  <c r="J257" i="2"/>
  <c r="C257" i="2"/>
  <c r="F257" i="2" s="1"/>
  <c r="K256" i="2"/>
  <c r="J256" i="2"/>
  <c r="F256" i="2"/>
  <c r="M255" i="2"/>
  <c r="L255" i="2"/>
  <c r="K255" i="2"/>
  <c r="J255" i="2"/>
  <c r="F255" i="2"/>
  <c r="K254" i="2"/>
  <c r="J254" i="2"/>
  <c r="F254" i="2"/>
  <c r="M254" i="2" s="1"/>
  <c r="M253" i="2"/>
  <c r="K253" i="2"/>
  <c r="J253" i="2"/>
  <c r="F253" i="2"/>
  <c r="L253" i="2" s="1"/>
  <c r="M252" i="2"/>
  <c r="L252" i="2"/>
  <c r="K252" i="2"/>
  <c r="J252" i="2"/>
  <c r="F252" i="2"/>
  <c r="K251" i="2"/>
  <c r="J251" i="2"/>
  <c r="F251" i="2"/>
  <c r="K250" i="2"/>
  <c r="J250" i="2"/>
  <c r="F250" i="2"/>
  <c r="M250" i="2" s="1"/>
  <c r="M249" i="2"/>
  <c r="L249" i="2"/>
  <c r="K249" i="2"/>
  <c r="J249" i="2"/>
  <c r="F249" i="2"/>
  <c r="K248" i="2"/>
  <c r="J248" i="2"/>
  <c r="F248" i="2"/>
  <c r="M248" i="2" s="1"/>
  <c r="M247" i="2"/>
  <c r="K247" i="2"/>
  <c r="K305" i="2" s="1"/>
  <c r="E331" i="2" s="1"/>
  <c r="J247" i="2"/>
  <c r="F247" i="2"/>
  <c r="L247" i="2" s="1"/>
  <c r="K246" i="2"/>
  <c r="J246" i="2"/>
  <c r="F246" i="2"/>
  <c r="M246" i="2" s="1"/>
  <c r="M245" i="2"/>
  <c r="K245" i="2"/>
  <c r="J245" i="2"/>
  <c r="F245" i="2"/>
  <c r="L245" i="2" s="1"/>
  <c r="L244" i="2"/>
  <c r="K244" i="2"/>
  <c r="J244" i="2"/>
  <c r="F244" i="2"/>
  <c r="M244" i="2" s="1"/>
  <c r="M243" i="2"/>
  <c r="L243" i="2"/>
  <c r="K243" i="2"/>
  <c r="J243" i="2"/>
  <c r="F243" i="2"/>
  <c r="H242" i="2"/>
  <c r="G242" i="2"/>
  <c r="E242" i="2"/>
  <c r="K241" i="2"/>
  <c r="J241" i="2"/>
  <c r="F241" i="2"/>
  <c r="M240" i="2"/>
  <c r="L240" i="2"/>
  <c r="K240" i="2"/>
  <c r="J240" i="2"/>
  <c r="F240" i="2"/>
  <c r="K239" i="2"/>
  <c r="J239" i="2"/>
  <c r="F239" i="2"/>
  <c r="M239" i="2" s="1"/>
  <c r="K238" i="2"/>
  <c r="J238" i="2"/>
  <c r="F238" i="2"/>
  <c r="K237" i="2"/>
  <c r="J237" i="2"/>
  <c r="F237" i="2"/>
  <c r="M236" i="2"/>
  <c r="K236" i="2"/>
  <c r="J236" i="2"/>
  <c r="F236" i="2"/>
  <c r="L236" i="2" s="1"/>
  <c r="L235" i="2"/>
  <c r="K235" i="2"/>
  <c r="J235" i="2"/>
  <c r="F235" i="2"/>
  <c r="M235" i="2" s="1"/>
  <c r="M234" i="2"/>
  <c r="L234" i="2"/>
  <c r="K234" i="2"/>
  <c r="J234" i="2"/>
  <c r="F234" i="2"/>
  <c r="K233" i="2"/>
  <c r="J233" i="2"/>
  <c r="C233" i="2"/>
  <c r="F233" i="2" s="1"/>
  <c r="M233" i="2" s="1"/>
  <c r="L232" i="2"/>
  <c r="K232" i="2"/>
  <c r="J232" i="2"/>
  <c r="F232" i="2"/>
  <c r="M232" i="2" s="1"/>
  <c r="K231" i="2"/>
  <c r="J231" i="2"/>
  <c r="F231" i="2"/>
  <c r="M230" i="2"/>
  <c r="L230" i="2"/>
  <c r="K230" i="2"/>
  <c r="J230" i="2"/>
  <c r="F230" i="2"/>
  <c r="K229" i="2"/>
  <c r="J229" i="2"/>
  <c r="F229" i="2"/>
  <c r="K228" i="2"/>
  <c r="J228" i="2"/>
  <c r="F228" i="2"/>
  <c r="M228" i="2" s="1"/>
  <c r="M227" i="2"/>
  <c r="L227" i="2"/>
  <c r="K227" i="2"/>
  <c r="J227" i="2"/>
  <c r="F227" i="2"/>
  <c r="K226" i="2"/>
  <c r="J226" i="2"/>
  <c r="F226" i="2"/>
  <c r="M226" i="2" s="1"/>
  <c r="K225" i="2"/>
  <c r="J225" i="2"/>
  <c r="F225" i="2"/>
  <c r="L225" i="2" s="1"/>
  <c r="M224" i="2"/>
  <c r="L224" i="2"/>
  <c r="K224" i="2"/>
  <c r="J224" i="2"/>
  <c r="F224" i="2"/>
  <c r="K223" i="2"/>
  <c r="J223" i="2"/>
  <c r="F223" i="2"/>
  <c r="K222" i="2"/>
  <c r="J222" i="2"/>
  <c r="F222" i="2"/>
  <c r="M221" i="2"/>
  <c r="L221" i="2"/>
  <c r="K221" i="2"/>
  <c r="J221" i="2"/>
  <c r="F221" i="2"/>
  <c r="K220" i="2"/>
  <c r="J220" i="2"/>
  <c r="F220" i="2"/>
  <c r="M220" i="2" s="1"/>
  <c r="K219" i="2"/>
  <c r="J219" i="2"/>
  <c r="F219" i="2"/>
  <c r="K218" i="2"/>
  <c r="J218" i="2"/>
  <c r="F218" i="2"/>
  <c r="M217" i="2"/>
  <c r="K217" i="2"/>
  <c r="J217" i="2"/>
  <c r="F217" i="2"/>
  <c r="L217" i="2" s="1"/>
  <c r="L216" i="2"/>
  <c r="K216" i="2"/>
  <c r="J216" i="2"/>
  <c r="F216" i="2"/>
  <c r="M216" i="2" s="1"/>
  <c r="M215" i="2"/>
  <c r="L215" i="2"/>
  <c r="K215" i="2"/>
  <c r="J215" i="2"/>
  <c r="F215" i="2"/>
  <c r="M214" i="2"/>
  <c r="L214" i="2"/>
  <c r="K214" i="2"/>
  <c r="J214" i="2"/>
  <c r="F214" i="2"/>
  <c r="K213" i="2"/>
  <c r="J213" i="2"/>
  <c r="F213" i="2"/>
  <c r="K212" i="2"/>
  <c r="J212" i="2"/>
  <c r="F212" i="2"/>
  <c r="M212" i="2" s="1"/>
  <c r="M211" i="2"/>
  <c r="L211" i="2"/>
  <c r="K211" i="2"/>
  <c r="J211" i="2"/>
  <c r="F211" i="2"/>
  <c r="K210" i="2"/>
  <c r="J210" i="2"/>
  <c r="F210" i="2"/>
  <c r="M210" i="2" s="1"/>
  <c r="M209" i="2"/>
  <c r="K209" i="2"/>
  <c r="J209" i="2"/>
  <c r="F209" i="2"/>
  <c r="L209" i="2" s="1"/>
  <c r="M208" i="2"/>
  <c r="L208" i="2"/>
  <c r="K208" i="2"/>
  <c r="J208" i="2"/>
  <c r="F208" i="2"/>
  <c r="K207" i="2"/>
  <c r="J207" i="2"/>
  <c r="F207" i="2"/>
  <c r="K206" i="2"/>
  <c r="J206" i="2"/>
  <c r="F206" i="2"/>
  <c r="M205" i="2"/>
  <c r="L205" i="2"/>
  <c r="K205" i="2"/>
  <c r="J205" i="2"/>
  <c r="F205" i="2"/>
  <c r="C205" i="2"/>
  <c r="K204" i="2"/>
  <c r="J204" i="2"/>
  <c r="F204" i="2"/>
  <c r="L203" i="2"/>
  <c r="K203" i="2"/>
  <c r="J203" i="2"/>
  <c r="C203" i="2"/>
  <c r="F203" i="2" s="1"/>
  <c r="M203" i="2" s="1"/>
  <c r="M202" i="2"/>
  <c r="L202" i="2"/>
  <c r="K202" i="2"/>
  <c r="J202" i="2"/>
  <c r="F202" i="2"/>
  <c r="K201" i="2"/>
  <c r="J201" i="2"/>
  <c r="F201" i="2"/>
  <c r="K200" i="2"/>
  <c r="J200" i="2"/>
  <c r="F200" i="2"/>
  <c r="K199" i="2"/>
  <c r="J199" i="2"/>
  <c r="F199" i="2"/>
  <c r="K198" i="2"/>
  <c r="J198" i="2"/>
  <c r="F198" i="2"/>
  <c r="M198" i="2" s="1"/>
  <c r="K197" i="2"/>
  <c r="J197" i="2"/>
  <c r="F197" i="2"/>
  <c r="L197" i="2" s="1"/>
  <c r="M196" i="2"/>
  <c r="L196" i="2"/>
  <c r="K196" i="2"/>
  <c r="J196" i="2"/>
  <c r="F196" i="2"/>
  <c r="M195" i="2"/>
  <c r="K195" i="2"/>
  <c r="J195" i="2"/>
  <c r="F195" i="2"/>
  <c r="L195" i="2" s="1"/>
  <c r="L194" i="2"/>
  <c r="K194" i="2"/>
  <c r="J194" i="2"/>
  <c r="C194" i="2"/>
  <c r="F194" i="2" s="1"/>
  <c r="M194" i="2" s="1"/>
  <c r="K193" i="2"/>
  <c r="J193" i="2"/>
  <c r="F193" i="2"/>
  <c r="M193" i="2" s="1"/>
  <c r="M192" i="2"/>
  <c r="K192" i="2"/>
  <c r="J192" i="2"/>
  <c r="F192" i="2"/>
  <c r="L192" i="2" s="1"/>
  <c r="K191" i="2"/>
  <c r="J191" i="2"/>
  <c r="C191" i="2"/>
  <c r="F191" i="2" s="1"/>
  <c r="M190" i="2"/>
  <c r="L190" i="2"/>
  <c r="K190" i="2"/>
  <c r="J190" i="2"/>
  <c r="F190" i="2"/>
  <c r="M189" i="2"/>
  <c r="K189" i="2"/>
  <c r="J189" i="2"/>
  <c r="F189" i="2"/>
  <c r="L189" i="2" s="1"/>
  <c r="L188" i="2"/>
  <c r="K188" i="2"/>
  <c r="J188" i="2"/>
  <c r="F188" i="2"/>
  <c r="M188" i="2" s="1"/>
  <c r="K187" i="2"/>
  <c r="J187" i="2"/>
  <c r="F187" i="2"/>
  <c r="M187" i="2" s="1"/>
  <c r="M186" i="2"/>
  <c r="L186" i="2"/>
  <c r="K186" i="2"/>
  <c r="J186" i="2"/>
  <c r="F186" i="2"/>
  <c r="K185" i="2"/>
  <c r="J185" i="2"/>
  <c r="F185" i="2"/>
  <c r="K184" i="2"/>
  <c r="J184" i="2"/>
  <c r="F184" i="2"/>
  <c r="M183" i="2"/>
  <c r="L183" i="2"/>
  <c r="K183" i="2"/>
  <c r="J183" i="2"/>
  <c r="F183" i="2"/>
  <c r="K182" i="2"/>
  <c r="J182" i="2"/>
  <c r="F182" i="2"/>
  <c r="M182" i="2" s="1"/>
  <c r="M180" i="2"/>
  <c r="L180" i="2"/>
  <c r="K180" i="2"/>
  <c r="J180" i="2"/>
  <c r="F180" i="2"/>
  <c r="M179" i="2"/>
  <c r="L179" i="2"/>
  <c r="K179" i="2"/>
  <c r="J179" i="2"/>
  <c r="F179" i="2"/>
  <c r="K178" i="2"/>
  <c r="J178" i="2"/>
  <c r="F178" i="2"/>
  <c r="K177" i="2"/>
  <c r="J177" i="2"/>
  <c r="F177" i="2"/>
  <c r="M176" i="2"/>
  <c r="L176" i="2"/>
  <c r="K176" i="2"/>
  <c r="J176" i="2"/>
  <c r="F176" i="2"/>
  <c r="K175" i="2"/>
  <c r="J175" i="2"/>
  <c r="F175" i="2"/>
  <c r="M174" i="2"/>
  <c r="K174" i="2"/>
  <c r="J174" i="2"/>
  <c r="F174" i="2"/>
  <c r="L174" i="2" s="1"/>
  <c r="M173" i="2"/>
  <c r="L173" i="2"/>
  <c r="K173" i="2"/>
  <c r="J173" i="2"/>
  <c r="F173" i="2"/>
  <c r="K172" i="2"/>
  <c r="J172" i="2"/>
  <c r="F172" i="2"/>
  <c r="K171" i="2"/>
  <c r="J171" i="2"/>
  <c r="F171" i="2"/>
  <c r="M171" i="2" s="1"/>
  <c r="M170" i="2"/>
  <c r="K170" i="2"/>
  <c r="J170" i="2"/>
  <c r="F170" i="2"/>
  <c r="L170" i="2" s="1"/>
  <c r="K169" i="2"/>
  <c r="J169" i="2"/>
  <c r="F169" i="2"/>
  <c r="M169" i="2" s="1"/>
  <c r="M168" i="2"/>
  <c r="K168" i="2"/>
  <c r="J168" i="2"/>
  <c r="F168" i="2"/>
  <c r="L168" i="2" s="1"/>
  <c r="M167" i="2"/>
  <c r="L167" i="2"/>
  <c r="K167" i="2"/>
  <c r="J167" i="2"/>
  <c r="F167" i="2"/>
  <c r="M166" i="2"/>
  <c r="K166" i="2"/>
  <c r="J166" i="2"/>
  <c r="F166" i="2"/>
  <c r="L166" i="2" s="1"/>
  <c r="L165" i="2"/>
  <c r="K165" i="2"/>
  <c r="J165" i="2"/>
  <c r="F165" i="2"/>
  <c r="M165" i="2" s="1"/>
  <c r="K164" i="2"/>
  <c r="J164" i="2"/>
  <c r="F164" i="2"/>
  <c r="M163" i="2"/>
  <c r="L163" i="2"/>
  <c r="K163" i="2"/>
  <c r="J163" i="2"/>
  <c r="F163" i="2"/>
  <c r="K162" i="2"/>
  <c r="J162" i="2"/>
  <c r="F162" i="2"/>
  <c r="L161" i="2"/>
  <c r="K161" i="2"/>
  <c r="J161" i="2"/>
  <c r="F161" i="2"/>
  <c r="M161" i="2" s="1"/>
  <c r="M160" i="2"/>
  <c r="L160" i="2"/>
  <c r="K160" i="2"/>
  <c r="J160" i="2"/>
  <c r="F160" i="2"/>
  <c r="K159" i="2"/>
  <c r="J159" i="2"/>
  <c r="F159" i="2"/>
  <c r="I158" i="2"/>
  <c r="H158" i="2"/>
  <c r="G158" i="2"/>
  <c r="E158" i="2"/>
  <c r="D158" i="2"/>
  <c r="C158" i="2"/>
  <c r="K157" i="2"/>
  <c r="J157" i="2"/>
  <c r="F157" i="2"/>
  <c r="M156" i="2"/>
  <c r="K156" i="2"/>
  <c r="J156" i="2"/>
  <c r="F156" i="2"/>
  <c r="L156" i="2" s="1"/>
  <c r="M155" i="2"/>
  <c r="L155" i="2"/>
  <c r="K155" i="2"/>
  <c r="J155" i="2"/>
  <c r="F155" i="2"/>
  <c r="K154" i="2"/>
  <c r="J154" i="2"/>
  <c r="F154" i="2"/>
  <c r="M153" i="2"/>
  <c r="L153" i="2"/>
  <c r="K153" i="2"/>
  <c r="J153" i="2"/>
  <c r="F153" i="2"/>
  <c r="K152" i="2"/>
  <c r="J152" i="2"/>
  <c r="F152" i="2"/>
  <c r="M152" i="2" s="1"/>
  <c r="K151" i="2"/>
  <c r="J151" i="2"/>
  <c r="F151" i="2"/>
  <c r="M151" i="2" s="1"/>
  <c r="K150" i="2"/>
  <c r="J150" i="2"/>
  <c r="F150" i="2"/>
  <c r="M149" i="2"/>
  <c r="L149" i="2"/>
  <c r="K149" i="2"/>
  <c r="J149" i="2"/>
  <c r="F149" i="2"/>
  <c r="M148" i="2"/>
  <c r="K148" i="2"/>
  <c r="J148" i="2"/>
  <c r="F148" i="2"/>
  <c r="L148" i="2" s="1"/>
  <c r="L147" i="2"/>
  <c r="K147" i="2"/>
  <c r="J147" i="2"/>
  <c r="F147" i="2"/>
  <c r="M147" i="2" s="1"/>
  <c r="I146" i="2"/>
  <c r="H146" i="2"/>
  <c r="G146" i="2"/>
  <c r="K145" i="2"/>
  <c r="J145" i="2"/>
  <c r="F145" i="2"/>
  <c r="M144" i="2"/>
  <c r="L144" i="2"/>
  <c r="K144" i="2"/>
  <c r="J144" i="2"/>
  <c r="F144" i="2"/>
  <c r="K143" i="2"/>
  <c r="J143" i="2"/>
  <c r="F143" i="2"/>
  <c r="K142" i="2"/>
  <c r="J142" i="2"/>
  <c r="F142" i="2"/>
  <c r="M142" i="2" s="1"/>
  <c r="K141" i="2"/>
  <c r="J141" i="2"/>
  <c r="F141" i="2"/>
  <c r="M141" i="2" s="1"/>
  <c r="M140" i="2"/>
  <c r="L140" i="2"/>
  <c r="K140" i="2"/>
  <c r="J140" i="2"/>
  <c r="F140" i="2"/>
  <c r="M139" i="2"/>
  <c r="K139" i="2"/>
  <c r="J139" i="2"/>
  <c r="F139" i="2"/>
  <c r="L139" i="2" s="1"/>
  <c r="L138" i="2"/>
  <c r="K138" i="2"/>
  <c r="J138" i="2"/>
  <c r="F138" i="2"/>
  <c r="M138" i="2" s="1"/>
  <c r="K137" i="2"/>
  <c r="J137" i="2"/>
  <c r="F137" i="2"/>
  <c r="M136" i="2"/>
  <c r="L136" i="2"/>
  <c r="K136" i="2"/>
  <c r="J136" i="2"/>
  <c r="F136" i="2"/>
  <c r="K135" i="2"/>
  <c r="J135" i="2"/>
  <c r="F135" i="2"/>
  <c r="K134" i="2"/>
  <c r="J134" i="2"/>
  <c r="F134" i="2"/>
  <c r="M134" i="2" s="1"/>
  <c r="M133" i="2"/>
  <c r="L133" i="2"/>
  <c r="K133" i="2"/>
  <c r="J133" i="2"/>
  <c r="F133" i="2"/>
  <c r="K132" i="2"/>
  <c r="J132" i="2"/>
  <c r="F132" i="2"/>
  <c r="M131" i="2"/>
  <c r="L131" i="2"/>
  <c r="K131" i="2"/>
  <c r="J131" i="2"/>
  <c r="F131" i="2"/>
  <c r="M130" i="2"/>
  <c r="L130" i="2"/>
  <c r="K130" i="2"/>
  <c r="J130" i="2"/>
  <c r="F130" i="2"/>
  <c r="K129" i="2"/>
  <c r="J129" i="2"/>
  <c r="F129" i="2"/>
  <c r="L128" i="2"/>
  <c r="K128" i="2"/>
  <c r="J128" i="2"/>
  <c r="F128" i="2"/>
  <c r="M128" i="2" s="1"/>
  <c r="M127" i="2"/>
  <c r="K127" i="2"/>
  <c r="J127" i="2"/>
  <c r="F127" i="2"/>
  <c r="L127" i="2" s="1"/>
  <c r="K126" i="2"/>
  <c r="J126" i="2"/>
  <c r="F126" i="2"/>
  <c r="M126" i="2" s="1"/>
  <c r="K125" i="2"/>
  <c r="J125" i="2"/>
  <c r="F125" i="2"/>
  <c r="L125" i="2" s="1"/>
  <c r="M124" i="2"/>
  <c r="L124" i="2"/>
  <c r="K124" i="2"/>
  <c r="J124" i="2"/>
  <c r="F124" i="2"/>
  <c r="M123" i="2"/>
  <c r="K123" i="2"/>
  <c r="J123" i="2"/>
  <c r="F123" i="2"/>
  <c r="L123" i="2" s="1"/>
  <c r="L122" i="2"/>
  <c r="K122" i="2"/>
  <c r="J122" i="2"/>
  <c r="F122" i="2"/>
  <c r="M122" i="2" s="1"/>
  <c r="K121" i="2"/>
  <c r="J121" i="2"/>
  <c r="F121" i="2"/>
  <c r="M120" i="2"/>
  <c r="L120" i="2"/>
  <c r="K120" i="2"/>
  <c r="J120" i="2"/>
  <c r="F120" i="2"/>
  <c r="K119" i="2"/>
  <c r="J119" i="2"/>
  <c r="F119" i="2"/>
  <c r="M118" i="2"/>
  <c r="L118" i="2"/>
  <c r="K118" i="2"/>
  <c r="J118" i="2"/>
  <c r="F118" i="2"/>
  <c r="M117" i="2"/>
  <c r="L117" i="2"/>
  <c r="K117" i="2"/>
  <c r="J117" i="2"/>
  <c r="F117" i="2"/>
  <c r="K116" i="2"/>
  <c r="J116" i="2"/>
  <c r="F116" i="2"/>
  <c r="K115" i="2"/>
  <c r="J115" i="2"/>
  <c r="F115" i="2"/>
  <c r="M114" i="2"/>
  <c r="L114" i="2"/>
  <c r="K114" i="2"/>
  <c r="J114" i="2"/>
  <c r="F114" i="2"/>
  <c r="K113" i="2"/>
  <c r="J113" i="2"/>
  <c r="F113" i="2"/>
  <c r="K112" i="2"/>
  <c r="J112" i="2"/>
  <c r="F112" i="2"/>
  <c r="M112" i="2" s="1"/>
  <c r="M111" i="2"/>
  <c r="L111" i="2"/>
  <c r="K111" i="2"/>
  <c r="J111" i="2"/>
  <c r="F111" i="2"/>
  <c r="K110" i="2"/>
  <c r="J110" i="2"/>
  <c r="F110" i="2"/>
  <c r="M109" i="2"/>
  <c r="L109" i="2"/>
  <c r="K109" i="2"/>
  <c r="J109" i="2"/>
  <c r="F109" i="2"/>
  <c r="K108" i="2"/>
  <c r="J108" i="2"/>
  <c r="F108" i="2"/>
  <c r="M107" i="2"/>
  <c r="K107" i="2"/>
  <c r="J107" i="2"/>
  <c r="F107" i="2"/>
  <c r="L107" i="2" s="1"/>
  <c r="M106" i="2"/>
  <c r="L106" i="2"/>
  <c r="K106" i="2"/>
  <c r="J106" i="2"/>
  <c r="F106" i="2"/>
  <c r="K105" i="2"/>
  <c r="J105" i="2"/>
  <c r="F105" i="2"/>
  <c r="M105" i="2" s="1"/>
  <c r="M104" i="2"/>
  <c r="L104" i="2"/>
  <c r="K104" i="2"/>
  <c r="J104" i="2"/>
  <c r="F104" i="2"/>
  <c r="K103" i="2"/>
  <c r="J103" i="2"/>
  <c r="F103" i="2"/>
  <c r="M102" i="2"/>
  <c r="L102" i="2"/>
  <c r="K102" i="2"/>
  <c r="J102" i="2"/>
  <c r="F102" i="2"/>
  <c r="M101" i="2"/>
  <c r="L101" i="2"/>
  <c r="K101" i="2"/>
  <c r="J101" i="2"/>
  <c r="F101" i="2"/>
  <c r="K100" i="2"/>
  <c r="J100" i="2"/>
  <c r="F100" i="2"/>
  <c r="K99" i="2"/>
  <c r="J99" i="2"/>
  <c r="F99" i="2"/>
  <c r="M99" i="2" s="1"/>
  <c r="M98" i="2"/>
  <c r="L98" i="2"/>
  <c r="K98" i="2"/>
  <c r="J98" i="2"/>
  <c r="F98" i="2"/>
  <c r="K97" i="2"/>
  <c r="J97" i="2"/>
  <c r="F97" i="2"/>
  <c r="K96" i="2"/>
  <c r="J96" i="2"/>
  <c r="F96" i="2"/>
  <c r="M95" i="2"/>
  <c r="L95" i="2"/>
  <c r="K95" i="2"/>
  <c r="J95" i="2"/>
  <c r="F95" i="2"/>
  <c r="K94" i="2"/>
  <c r="J94" i="2"/>
  <c r="F94" i="2"/>
  <c r="M93" i="2"/>
  <c r="L93" i="2"/>
  <c r="K93" i="2"/>
  <c r="K146" i="2" s="1"/>
  <c r="E328" i="2" s="1"/>
  <c r="J93" i="2"/>
  <c r="F93" i="2"/>
  <c r="L92" i="2"/>
  <c r="K92" i="2"/>
  <c r="J92" i="2"/>
  <c r="F92" i="2"/>
  <c r="M92" i="2" s="1"/>
  <c r="M91" i="2"/>
  <c r="K91" i="2"/>
  <c r="J91" i="2"/>
  <c r="F91" i="2"/>
  <c r="L91" i="2" s="1"/>
  <c r="K90" i="2"/>
  <c r="J90" i="2"/>
  <c r="F90" i="2"/>
  <c r="K89" i="2"/>
  <c r="J89" i="2"/>
  <c r="J146" i="2" s="1"/>
  <c r="D328" i="2" s="1"/>
  <c r="F89" i="2"/>
  <c r="M88" i="2"/>
  <c r="L88" i="2"/>
  <c r="K88" i="2"/>
  <c r="J88" i="2"/>
  <c r="F88" i="2"/>
  <c r="I87" i="2"/>
  <c r="H87" i="2"/>
  <c r="G87" i="2"/>
  <c r="K86" i="2"/>
  <c r="J86" i="2"/>
  <c r="F86" i="2"/>
  <c r="K85" i="2"/>
  <c r="J85" i="2"/>
  <c r="F85" i="2"/>
  <c r="K84" i="2"/>
  <c r="J84" i="2"/>
  <c r="F84" i="2"/>
  <c r="M84" i="2" s="1"/>
  <c r="M83" i="2"/>
  <c r="L83" i="2"/>
  <c r="K83" i="2"/>
  <c r="J83" i="2"/>
  <c r="F83" i="2"/>
  <c r="M82" i="2"/>
  <c r="K82" i="2"/>
  <c r="J82" i="2"/>
  <c r="F82" i="2"/>
  <c r="L82" i="2" s="1"/>
  <c r="M81" i="2"/>
  <c r="K81" i="2"/>
  <c r="J81" i="2"/>
  <c r="F81" i="2"/>
  <c r="L81" i="2" s="1"/>
  <c r="K80" i="2"/>
  <c r="J80" i="2"/>
  <c r="C80" i="2"/>
  <c r="F80" i="2" s="1"/>
  <c r="K79" i="2"/>
  <c r="J79" i="2"/>
  <c r="F79" i="2"/>
  <c r="M78" i="2"/>
  <c r="L78" i="2"/>
  <c r="K78" i="2"/>
  <c r="J78" i="2"/>
  <c r="F78" i="2"/>
  <c r="K77" i="2"/>
  <c r="J77" i="2"/>
  <c r="F77" i="2"/>
  <c r="M76" i="2"/>
  <c r="L76" i="2"/>
  <c r="K76" i="2"/>
  <c r="J76" i="2"/>
  <c r="F76" i="2"/>
  <c r="M75" i="2"/>
  <c r="L75" i="2"/>
  <c r="K75" i="2"/>
  <c r="J75" i="2"/>
  <c r="C75" i="2"/>
  <c r="F75" i="2" s="1"/>
  <c r="K74" i="2"/>
  <c r="J74" i="2"/>
  <c r="F74" i="2"/>
  <c r="M73" i="2"/>
  <c r="L73" i="2"/>
  <c r="K73" i="2"/>
  <c r="J73" i="2"/>
  <c r="F73" i="2"/>
  <c r="M72" i="2"/>
  <c r="L72" i="2"/>
  <c r="K72" i="2"/>
  <c r="J72" i="2"/>
  <c r="F72" i="2"/>
  <c r="K71" i="2"/>
  <c r="J71" i="2"/>
  <c r="F71" i="2"/>
  <c r="M70" i="2"/>
  <c r="L70" i="2"/>
  <c r="K70" i="2"/>
  <c r="J70" i="2"/>
  <c r="F70" i="2"/>
  <c r="K69" i="2"/>
  <c r="J69" i="2"/>
  <c r="F69" i="2"/>
  <c r="M69" i="2" s="1"/>
  <c r="K68" i="2"/>
  <c r="J68" i="2"/>
  <c r="F68" i="2"/>
  <c r="M68" i="2" s="1"/>
  <c r="M67" i="2"/>
  <c r="L67" i="2"/>
  <c r="K67" i="2"/>
  <c r="J67" i="2"/>
  <c r="F67" i="2"/>
  <c r="K66" i="2"/>
  <c r="J66" i="2"/>
  <c r="F66" i="2"/>
  <c r="M65" i="2"/>
  <c r="L65" i="2"/>
  <c r="K65" i="2"/>
  <c r="J65" i="2"/>
  <c r="F65" i="2"/>
  <c r="K64" i="2"/>
  <c r="J64" i="2"/>
  <c r="F64" i="2"/>
  <c r="K63" i="2"/>
  <c r="J63" i="2"/>
  <c r="F63" i="2"/>
  <c r="K62" i="2"/>
  <c r="J62" i="2"/>
  <c r="F62" i="2"/>
  <c r="M62" i="2" s="1"/>
  <c r="M61" i="2"/>
  <c r="K61" i="2"/>
  <c r="J61" i="2"/>
  <c r="F61" i="2"/>
  <c r="L61" i="2" s="1"/>
  <c r="I60" i="2"/>
  <c r="H60" i="2"/>
  <c r="L59" i="2"/>
  <c r="K59" i="2"/>
  <c r="J59" i="2"/>
  <c r="F59" i="2"/>
  <c r="M59" i="2" s="1"/>
  <c r="M58" i="2"/>
  <c r="L58" i="2"/>
  <c r="K58" i="2"/>
  <c r="J58" i="2"/>
  <c r="F58" i="2"/>
  <c r="K57" i="2"/>
  <c r="J57" i="2"/>
  <c r="F57" i="2"/>
  <c r="K56" i="2"/>
  <c r="J56" i="2"/>
  <c r="F56" i="2"/>
  <c r="M55" i="2"/>
  <c r="L55" i="2"/>
  <c r="K55" i="2"/>
  <c r="J55" i="2"/>
  <c r="F55" i="2"/>
  <c r="K54" i="2"/>
  <c r="J54" i="2"/>
  <c r="F54" i="2"/>
  <c r="K53" i="2"/>
  <c r="J53" i="2"/>
  <c r="C53" i="2"/>
  <c r="F53" i="2" s="1"/>
  <c r="M53" i="2" s="1"/>
  <c r="K52" i="2"/>
  <c r="J52" i="2"/>
  <c r="F52" i="2"/>
  <c r="M52" i="2" s="1"/>
  <c r="K51" i="2"/>
  <c r="J51" i="2"/>
  <c r="C51" i="2"/>
  <c r="F51" i="2" s="1"/>
  <c r="M50" i="2"/>
  <c r="L50" i="2"/>
  <c r="K50" i="2"/>
  <c r="J50" i="2"/>
  <c r="F50" i="2"/>
  <c r="K49" i="2"/>
  <c r="J49" i="2"/>
  <c r="F49" i="2"/>
  <c r="K48" i="2"/>
  <c r="J48" i="2"/>
  <c r="F48" i="2"/>
  <c r="K47" i="2"/>
  <c r="J47" i="2"/>
  <c r="F47" i="2"/>
  <c r="M47" i="2" s="1"/>
  <c r="M46" i="2"/>
  <c r="L46" i="2"/>
  <c r="K46" i="2"/>
  <c r="J46" i="2"/>
  <c r="F46" i="2"/>
  <c r="K45" i="2"/>
  <c r="J45" i="2"/>
  <c r="F45" i="2"/>
  <c r="L45" i="2" s="1"/>
  <c r="M44" i="2"/>
  <c r="K44" i="2"/>
  <c r="J44" i="2"/>
  <c r="C44" i="2"/>
  <c r="F44" i="2" s="1"/>
  <c r="L44" i="2" s="1"/>
  <c r="K43" i="2"/>
  <c r="J43" i="2"/>
  <c r="C43" i="2"/>
  <c r="F43" i="2" s="1"/>
  <c r="M43" i="2" s="1"/>
  <c r="K42" i="2"/>
  <c r="J42" i="2"/>
  <c r="F42" i="2"/>
  <c r="C42" i="2"/>
  <c r="M41" i="2"/>
  <c r="K41" i="2"/>
  <c r="J41" i="2"/>
  <c r="F41" i="2"/>
  <c r="L41" i="2" s="1"/>
  <c r="M40" i="2"/>
  <c r="L40" i="2"/>
  <c r="K40" i="2"/>
  <c r="J40" i="2"/>
  <c r="F40" i="2"/>
  <c r="K39" i="2"/>
  <c r="J39" i="2"/>
  <c r="C39" i="2"/>
  <c r="F39" i="2" s="1"/>
  <c r="M38" i="2"/>
  <c r="L38" i="2"/>
  <c r="K38" i="2"/>
  <c r="J38" i="2"/>
  <c r="C38" i="2"/>
  <c r="F38" i="2" s="1"/>
  <c r="M37" i="2"/>
  <c r="L37" i="2"/>
  <c r="K37" i="2"/>
  <c r="J37" i="2"/>
  <c r="F37" i="2"/>
  <c r="K36" i="2"/>
  <c r="J36" i="2"/>
  <c r="F36" i="2"/>
  <c r="M35" i="2"/>
  <c r="L35" i="2"/>
  <c r="K35" i="2"/>
  <c r="J35" i="2"/>
  <c r="F35" i="2"/>
  <c r="K34" i="2"/>
  <c r="J34" i="2"/>
  <c r="F34" i="2"/>
  <c r="M34" i="2" s="1"/>
  <c r="K33" i="2"/>
  <c r="J33" i="2"/>
  <c r="F33" i="2"/>
  <c r="K32" i="2"/>
  <c r="J32" i="2"/>
  <c r="F32" i="2"/>
  <c r="M31" i="2"/>
  <c r="L31" i="2"/>
  <c r="K31" i="2"/>
  <c r="J31" i="2"/>
  <c r="F31" i="2"/>
  <c r="K30" i="2"/>
  <c r="J30" i="2"/>
  <c r="C30" i="2"/>
  <c r="F30" i="2" s="1"/>
  <c r="K29" i="2"/>
  <c r="J29" i="2"/>
  <c r="F29" i="2"/>
  <c r="M28" i="2"/>
  <c r="L28" i="2"/>
  <c r="K28" i="2"/>
  <c r="J28" i="2"/>
  <c r="F28" i="2"/>
  <c r="K27" i="2"/>
  <c r="J27" i="2"/>
  <c r="F27" i="2"/>
  <c r="L27" i="2" s="1"/>
  <c r="M26" i="2"/>
  <c r="L26" i="2"/>
  <c r="K26" i="2"/>
  <c r="J26" i="2"/>
  <c r="F26" i="2"/>
  <c r="K25" i="2"/>
  <c r="J25" i="2"/>
  <c r="F25" i="2"/>
  <c r="L25" i="2" s="1"/>
  <c r="K24" i="2"/>
  <c r="J24" i="2"/>
  <c r="F24" i="2"/>
  <c r="M24" i="2" s="1"/>
  <c r="M23" i="2"/>
  <c r="L23" i="2"/>
  <c r="K23" i="2"/>
  <c r="J23" i="2"/>
  <c r="F23" i="2"/>
  <c r="I22" i="2"/>
  <c r="H22" i="2"/>
  <c r="G22" i="2"/>
  <c r="G60" i="2" s="1"/>
  <c r="E22" i="2"/>
  <c r="D22" i="2"/>
  <c r="M21" i="2"/>
  <c r="L21" i="2"/>
  <c r="K21" i="2"/>
  <c r="J21" i="2"/>
  <c r="F21" i="2"/>
  <c r="L20" i="2"/>
  <c r="K20" i="2"/>
  <c r="J20" i="2"/>
  <c r="F20" i="2"/>
  <c r="M20" i="2" s="1"/>
  <c r="M19" i="2"/>
  <c r="K19" i="2"/>
  <c r="J19" i="2"/>
  <c r="C19" i="2"/>
  <c r="F19" i="2" s="1"/>
  <c r="L19" i="2" s="1"/>
  <c r="K18" i="2"/>
  <c r="J18" i="2"/>
  <c r="C18" i="2"/>
  <c r="F18" i="2" s="1"/>
  <c r="K17" i="2"/>
  <c r="J17" i="2"/>
  <c r="F17" i="2"/>
  <c r="M17" i="2" s="1"/>
  <c r="M16" i="2"/>
  <c r="K16" i="2"/>
  <c r="J16" i="2"/>
  <c r="F16" i="2"/>
  <c r="L16" i="2" s="1"/>
  <c r="M15" i="2"/>
  <c r="L15" i="2"/>
  <c r="K15" i="2"/>
  <c r="J15" i="2"/>
  <c r="F15" i="2"/>
  <c r="K14" i="2"/>
  <c r="J14" i="2"/>
  <c r="C14" i="2"/>
  <c r="F14" i="2" s="1"/>
  <c r="K13" i="2"/>
  <c r="J13" i="2"/>
  <c r="C13" i="2"/>
  <c r="F13" i="2" s="1"/>
  <c r="L13" i="2" s="1"/>
  <c r="L12" i="2"/>
  <c r="K12" i="2"/>
  <c r="J12" i="2"/>
  <c r="C12" i="2"/>
  <c r="F12" i="2" s="1"/>
  <c r="M12" i="2" s="1"/>
  <c r="K11" i="2"/>
  <c r="J11" i="2"/>
  <c r="F11" i="2"/>
  <c r="M11" i="2" s="1"/>
  <c r="K10" i="2"/>
  <c r="J10" i="2"/>
  <c r="F10" i="2"/>
  <c r="L10" i="2" s="1"/>
  <c r="M9" i="2"/>
  <c r="L9" i="2"/>
  <c r="K9" i="2"/>
  <c r="J9" i="2"/>
  <c r="F9" i="2"/>
  <c r="C9" i="2"/>
  <c r="L8" i="2"/>
  <c r="K8" i="2"/>
  <c r="J8" i="2"/>
  <c r="F8" i="2"/>
  <c r="M8" i="2" s="1"/>
  <c r="C8" i="2"/>
  <c r="K7" i="2"/>
  <c r="J7" i="2"/>
  <c r="C7" i="2"/>
  <c r="F7" i="2" s="1"/>
  <c r="M6" i="2"/>
  <c r="L6" i="2"/>
  <c r="K6" i="2"/>
  <c r="J6" i="2"/>
  <c r="F6" i="2"/>
  <c r="K5" i="2"/>
  <c r="J5" i="2"/>
  <c r="F5" i="2"/>
  <c r="K4" i="2"/>
  <c r="K22" i="2" s="1"/>
  <c r="E325" i="2" s="1"/>
  <c r="J4" i="2"/>
  <c r="J22" i="2" s="1"/>
  <c r="D325" i="2" s="1"/>
  <c r="F4" i="2"/>
  <c r="K3" i="2"/>
  <c r="J3" i="2"/>
  <c r="C3" i="2"/>
  <c r="R121" i="1"/>
  <c r="R122" i="1" s="1"/>
  <c r="K119" i="1"/>
  <c r="T118" i="1"/>
  <c r="K118" i="1"/>
  <c r="T114" i="1"/>
  <c r="S114" i="1"/>
  <c r="Q114" i="1"/>
  <c r="P114" i="1"/>
  <c r="O114" i="1"/>
  <c r="N114" i="1"/>
  <c r="M114" i="1"/>
  <c r="R112" i="1"/>
  <c r="R114" i="1" s="1"/>
  <c r="E111" i="1"/>
  <c r="K120" i="1" s="1"/>
  <c r="K121" i="1" s="1"/>
  <c r="AK108" i="1"/>
  <c r="AL108" i="1" s="1"/>
  <c r="AJ108" i="1"/>
  <c r="AG108" i="1"/>
  <c r="AI108" i="1" s="1"/>
  <c r="AL107" i="1"/>
  <c r="AK107" i="1"/>
  <c r="AJ107" i="1"/>
  <c r="AG107" i="1"/>
  <c r="AI107" i="1" s="1"/>
  <c r="AK106" i="1"/>
  <c r="AL106" i="1" s="1"/>
  <c r="AJ106" i="1"/>
  <c r="AI106" i="1"/>
  <c r="AG106" i="1"/>
  <c r="AK105" i="1"/>
  <c r="AL105" i="1" s="1"/>
  <c r="AJ105" i="1"/>
  <c r="AG105" i="1"/>
  <c r="AI105" i="1" s="1"/>
  <c r="AL104" i="1"/>
  <c r="AK104" i="1"/>
  <c r="AJ104" i="1"/>
  <c r="AG104" i="1"/>
  <c r="AI104" i="1" s="1"/>
  <c r="AK103" i="1"/>
  <c r="AL103" i="1" s="1"/>
  <c r="AJ103" i="1"/>
  <c r="AI103" i="1"/>
  <c r="AG103" i="1"/>
  <c r="AL102" i="1"/>
  <c r="AK102" i="1"/>
  <c r="AJ102" i="1"/>
  <c r="AG102" i="1"/>
  <c r="AI102" i="1" s="1"/>
  <c r="AK101" i="1"/>
  <c r="AL101" i="1" s="1"/>
  <c r="AJ101" i="1"/>
  <c r="AG101" i="1"/>
  <c r="AI101" i="1" s="1"/>
  <c r="AK100" i="1"/>
  <c r="AJ100" i="1"/>
  <c r="AG100" i="1"/>
  <c r="AI100" i="1" s="1"/>
  <c r="AK99" i="1"/>
  <c r="AL99" i="1" s="1"/>
  <c r="AJ99" i="1"/>
  <c r="AG99" i="1"/>
  <c r="AI99" i="1" s="1"/>
  <c r="AK98" i="1"/>
  <c r="AL98" i="1" s="1"/>
  <c r="AJ98" i="1"/>
  <c r="AI98" i="1"/>
  <c r="AG98" i="1"/>
  <c r="AK97" i="1"/>
  <c r="AL97" i="1" s="1"/>
  <c r="AJ97" i="1"/>
  <c r="AG97" i="1"/>
  <c r="AI97" i="1" s="1"/>
  <c r="AK96" i="1"/>
  <c r="AJ96" i="1"/>
  <c r="AL96" i="1" s="1"/>
  <c r="AI96" i="1"/>
  <c r="AG96" i="1"/>
  <c r="AK95" i="1"/>
  <c r="AL95" i="1" s="1"/>
  <c r="AJ95" i="1"/>
  <c r="AG95" i="1"/>
  <c r="AI95" i="1" s="1"/>
  <c r="AK94" i="1"/>
  <c r="AL94" i="1" s="1"/>
  <c r="AJ94" i="1"/>
  <c r="AI94" i="1"/>
  <c r="AG94" i="1"/>
  <c r="AK93" i="1"/>
  <c r="AJ93" i="1"/>
  <c r="AI93" i="1"/>
  <c r="AG93" i="1"/>
  <c r="AL92" i="1"/>
  <c r="AK92" i="1"/>
  <c r="AJ92" i="1"/>
  <c r="AG92" i="1"/>
  <c r="AI92" i="1" s="1"/>
  <c r="AL91" i="1"/>
  <c r="AK91" i="1"/>
  <c r="AJ91" i="1"/>
  <c r="AI91" i="1"/>
  <c r="AG91" i="1"/>
  <c r="AK90" i="1"/>
  <c r="AJ90" i="1"/>
  <c r="AG90" i="1"/>
  <c r="AI90" i="1" s="1"/>
  <c r="AK89" i="1"/>
  <c r="AL89" i="1" s="1"/>
  <c r="AJ89" i="1"/>
  <c r="AG89" i="1"/>
  <c r="AI89" i="1" s="1"/>
  <c r="AK88" i="1"/>
  <c r="AL88" i="1" s="1"/>
  <c r="AJ88" i="1"/>
  <c r="AG88" i="1"/>
  <c r="AI88" i="1" s="1"/>
  <c r="AL87" i="1"/>
  <c r="AK87" i="1"/>
  <c r="AJ87" i="1"/>
  <c r="AG87" i="1"/>
  <c r="AI87" i="1" s="1"/>
  <c r="AL86" i="1"/>
  <c r="AK86" i="1"/>
  <c r="AJ86" i="1"/>
  <c r="AI86" i="1"/>
  <c r="AG86" i="1"/>
  <c r="AK85" i="1"/>
  <c r="AL85" i="1" s="1"/>
  <c r="AJ85" i="1"/>
  <c r="AG85" i="1"/>
  <c r="AI85" i="1" s="1"/>
  <c r="AK84" i="1"/>
  <c r="AL84" i="1" s="1"/>
  <c r="AJ84" i="1"/>
  <c r="AI84" i="1"/>
  <c r="AG84" i="1"/>
  <c r="AK83" i="1"/>
  <c r="AJ83" i="1"/>
  <c r="AI83" i="1"/>
  <c r="AG83" i="1"/>
  <c r="AL82" i="1"/>
  <c r="AK82" i="1"/>
  <c r="AJ82" i="1"/>
  <c r="AI82" i="1"/>
  <c r="AG82" i="1"/>
  <c r="AK81" i="1"/>
  <c r="AJ81" i="1"/>
  <c r="AG81" i="1"/>
  <c r="AI81" i="1" s="1"/>
  <c r="AK80" i="1"/>
  <c r="AJ80" i="1"/>
  <c r="AL80" i="1" s="1"/>
  <c r="AG80" i="1"/>
  <c r="AI80" i="1" s="1"/>
  <c r="AK79" i="1"/>
  <c r="AL79" i="1" s="1"/>
  <c r="AJ79" i="1"/>
  <c r="AI79" i="1"/>
  <c r="AG79" i="1"/>
  <c r="AK78" i="1"/>
  <c r="AJ78" i="1"/>
  <c r="AG78" i="1"/>
  <c r="AI78" i="1" s="1"/>
  <c r="AK77" i="1"/>
  <c r="AL77" i="1" s="1"/>
  <c r="AJ77" i="1"/>
  <c r="AG77" i="1"/>
  <c r="AI77" i="1" s="1"/>
  <c r="AK76" i="1"/>
  <c r="AL76" i="1" s="1"/>
  <c r="AJ76" i="1"/>
  <c r="AG76" i="1"/>
  <c r="AI76" i="1" s="1"/>
  <c r="AL75" i="1"/>
  <c r="AK75" i="1"/>
  <c r="AJ75" i="1"/>
  <c r="AG75" i="1"/>
  <c r="AI75" i="1" s="1"/>
  <c r="AK74" i="1"/>
  <c r="AL74" i="1" s="1"/>
  <c r="AJ74" i="1"/>
  <c r="AI74" i="1"/>
  <c r="AG74" i="1"/>
  <c r="AK73" i="1"/>
  <c r="AL73" i="1" s="1"/>
  <c r="AJ73" i="1"/>
  <c r="AI73" i="1"/>
  <c r="AG73" i="1"/>
  <c r="AL72" i="1"/>
  <c r="AK72" i="1"/>
  <c r="AJ72" i="1"/>
  <c r="AG72" i="1"/>
  <c r="AI72" i="1" s="1"/>
  <c r="AK71" i="1"/>
  <c r="AL71" i="1" s="1"/>
  <c r="AJ71" i="1"/>
  <c r="AI71" i="1"/>
  <c r="AG71" i="1"/>
  <c r="AK70" i="1"/>
  <c r="AJ70" i="1"/>
  <c r="AL70" i="1" s="1"/>
  <c r="AG70" i="1"/>
  <c r="AI70" i="1" s="1"/>
  <c r="AL69" i="1"/>
  <c r="AK69" i="1"/>
  <c r="AJ69" i="1"/>
  <c r="AG69" i="1"/>
  <c r="AI69" i="1" s="1"/>
  <c r="AK68" i="1"/>
  <c r="AL68" i="1" s="1"/>
  <c r="AJ68" i="1"/>
  <c r="AG68" i="1"/>
  <c r="AI68" i="1" s="1"/>
  <c r="AK67" i="1"/>
  <c r="AL67" i="1" s="1"/>
  <c r="AJ67" i="1"/>
  <c r="AG67" i="1"/>
  <c r="AI67" i="1" s="1"/>
  <c r="AK66" i="1"/>
  <c r="AL66" i="1" s="1"/>
  <c r="AJ66" i="1"/>
  <c r="AI66" i="1"/>
  <c r="AG66" i="1"/>
  <c r="AK65" i="1"/>
  <c r="AL65" i="1" s="1"/>
  <c r="AJ65" i="1"/>
  <c r="AG65" i="1"/>
  <c r="AI65" i="1" s="1"/>
  <c r="AK64" i="1"/>
  <c r="AJ64" i="1"/>
  <c r="AI64" i="1"/>
  <c r="AG64" i="1"/>
  <c r="AK63" i="1"/>
  <c r="AJ63" i="1"/>
  <c r="AG63" i="1"/>
  <c r="AI63" i="1" s="1"/>
  <c r="AK62" i="1"/>
  <c r="AJ62" i="1"/>
  <c r="AI62" i="1"/>
  <c r="AG62" i="1"/>
  <c r="AK61" i="1"/>
  <c r="AL61" i="1" s="1"/>
  <c r="AJ61" i="1"/>
  <c r="AG61" i="1"/>
  <c r="AI61" i="1" s="1"/>
  <c r="AL60" i="1"/>
  <c r="AK60" i="1"/>
  <c r="AJ60" i="1"/>
  <c r="AG60" i="1"/>
  <c r="AI60" i="1" s="1"/>
  <c r="AL59" i="1"/>
  <c r="AK59" i="1"/>
  <c r="AJ59" i="1"/>
  <c r="AI59" i="1"/>
  <c r="AG59" i="1"/>
  <c r="AK58" i="1"/>
  <c r="AL58" i="1" s="1"/>
  <c r="AJ58" i="1"/>
  <c r="AG58" i="1"/>
  <c r="AI58" i="1" s="1"/>
  <c r="AK57" i="1"/>
  <c r="AL57" i="1" s="1"/>
  <c r="AJ57" i="1"/>
  <c r="AG57" i="1"/>
  <c r="AI57" i="1" s="1"/>
  <c r="AL56" i="1"/>
  <c r="AK56" i="1"/>
  <c r="AJ56" i="1"/>
  <c r="AG56" i="1"/>
  <c r="AI56" i="1" s="1"/>
  <c r="AL55" i="1"/>
  <c r="AK55" i="1"/>
  <c r="AJ55" i="1"/>
  <c r="AG55" i="1"/>
  <c r="AI55" i="1" s="1"/>
  <c r="AK54" i="1"/>
  <c r="AL54" i="1" s="1"/>
  <c r="AJ54" i="1"/>
  <c r="AI54" i="1"/>
  <c r="AG54" i="1"/>
  <c r="AK53" i="1"/>
  <c r="AJ53" i="1"/>
  <c r="AG53" i="1"/>
  <c r="AI53" i="1" s="1"/>
  <c r="AK52" i="1"/>
  <c r="AL52" i="1" s="1"/>
  <c r="AJ52" i="1"/>
  <c r="AI52" i="1"/>
  <c r="AG52" i="1"/>
  <c r="AK51" i="1"/>
  <c r="AL51" i="1" s="1"/>
  <c r="AJ51" i="1"/>
  <c r="AG51" i="1"/>
  <c r="AI51" i="1" s="1"/>
  <c r="AL50" i="1"/>
  <c r="AK50" i="1"/>
  <c r="AJ50" i="1"/>
  <c r="AI50" i="1"/>
  <c r="AG50" i="1"/>
  <c r="AK49" i="1"/>
  <c r="AJ49" i="1"/>
  <c r="AI49" i="1"/>
  <c r="AG49" i="1"/>
  <c r="AL48" i="1"/>
  <c r="AK48" i="1"/>
  <c r="AJ48" i="1"/>
  <c r="AG48" i="1"/>
  <c r="AI48" i="1" s="1"/>
  <c r="AK47" i="1"/>
  <c r="AJ47" i="1"/>
  <c r="AI47" i="1"/>
  <c r="AG47" i="1"/>
  <c r="AK46" i="1"/>
  <c r="AJ46" i="1"/>
  <c r="AI46" i="1"/>
  <c r="AG46" i="1"/>
  <c r="AK45" i="1"/>
  <c r="AL45" i="1" s="1"/>
  <c r="AJ45" i="1"/>
  <c r="AG45" i="1"/>
  <c r="AI45" i="1" s="1"/>
  <c r="AK44" i="1"/>
  <c r="AL44" i="1" s="1"/>
  <c r="AJ44" i="1"/>
  <c r="AG44" i="1"/>
  <c r="AI44" i="1" s="1"/>
  <c r="AL43" i="1"/>
  <c r="AK43" i="1"/>
  <c r="AJ43" i="1"/>
  <c r="AG43" i="1"/>
  <c r="AI43" i="1" s="1"/>
  <c r="AK42" i="1"/>
  <c r="AL42" i="1" s="1"/>
  <c r="AJ42" i="1"/>
  <c r="AI42" i="1"/>
  <c r="AG42" i="1"/>
  <c r="AK41" i="1"/>
  <c r="AL41" i="1" s="1"/>
  <c r="AJ41" i="1"/>
  <c r="AG41" i="1"/>
  <c r="AI41" i="1" s="1"/>
  <c r="AL40" i="1"/>
  <c r="AK40" i="1"/>
  <c r="AJ40" i="1"/>
  <c r="AG40" i="1"/>
  <c r="AI40" i="1" s="1"/>
  <c r="AK39" i="1"/>
  <c r="AL39" i="1" s="1"/>
  <c r="AJ39" i="1"/>
  <c r="AI39" i="1"/>
  <c r="AG39" i="1"/>
  <c r="AL38" i="1"/>
  <c r="AK38" i="1"/>
  <c r="AJ38" i="1"/>
  <c r="AG38" i="1"/>
  <c r="AI38" i="1" s="1"/>
  <c r="AK37" i="1"/>
  <c r="AL37" i="1" s="1"/>
  <c r="AJ37" i="1"/>
  <c r="AG37" i="1"/>
  <c r="AI37" i="1" s="1"/>
  <c r="AK36" i="1"/>
  <c r="AJ36" i="1"/>
  <c r="AG36" i="1"/>
  <c r="AI36" i="1" s="1"/>
  <c r="AK35" i="1"/>
  <c r="AL35" i="1" s="1"/>
  <c r="AJ35" i="1"/>
  <c r="AG35" i="1"/>
  <c r="AI35" i="1" s="1"/>
  <c r="AK34" i="1"/>
  <c r="AL34" i="1" s="1"/>
  <c r="AJ34" i="1"/>
  <c r="AI34" i="1"/>
  <c r="AG34" i="1"/>
  <c r="AK33" i="1"/>
  <c r="AL33" i="1" s="1"/>
  <c r="AJ33" i="1"/>
  <c r="AG33" i="1"/>
  <c r="AI33" i="1" s="1"/>
  <c r="AK32" i="1"/>
  <c r="AJ32" i="1"/>
  <c r="AL32" i="1" s="1"/>
  <c r="AI32" i="1"/>
  <c r="AG32" i="1"/>
  <c r="AK31" i="1"/>
  <c r="AL31" i="1" s="1"/>
  <c r="AJ31" i="1"/>
  <c r="AG31" i="1"/>
  <c r="AI31" i="1" s="1"/>
  <c r="AK30" i="1"/>
  <c r="AL30" i="1" s="1"/>
  <c r="AJ30" i="1"/>
  <c r="AI30" i="1"/>
  <c r="AG30" i="1"/>
  <c r="AK29" i="1"/>
  <c r="AJ29" i="1"/>
  <c r="AI29" i="1"/>
  <c r="AG29" i="1"/>
  <c r="AL28" i="1"/>
  <c r="AK28" i="1"/>
  <c r="AJ28" i="1"/>
  <c r="AG28" i="1"/>
  <c r="AI28" i="1" s="1"/>
  <c r="AL27" i="1"/>
  <c r="AK27" i="1"/>
  <c r="AJ27" i="1"/>
  <c r="AI27" i="1"/>
  <c r="AG27" i="1"/>
  <c r="AK26" i="1"/>
  <c r="AJ26" i="1"/>
  <c r="AG26" i="1"/>
  <c r="AI26" i="1" s="1"/>
  <c r="AK25" i="1"/>
  <c r="AL25" i="1" s="1"/>
  <c r="AJ25" i="1"/>
  <c r="AG25" i="1"/>
  <c r="AI25" i="1" s="1"/>
  <c r="AK24" i="1"/>
  <c r="AL24" i="1" s="1"/>
  <c r="AJ24" i="1"/>
  <c r="AG24" i="1"/>
  <c r="AI24" i="1" s="1"/>
  <c r="AL23" i="1"/>
  <c r="AK23" i="1"/>
  <c r="AJ23" i="1"/>
  <c r="AG23" i="1"/>
  <c r="AI23" i="1" s="1"/>
  <c r="AL22" i="1"/>
  <c r="AK22" i="1"/>
  <c r="AJ22" i="1"/>
  <c r="AI22" i="1"/>
  <c r="AG22" i="1"/>
  <c r="AK21" i="1"/>
  <c r="AL21" i="1" s="1"/>
  <c r="AJ21" i="1"/>
  <c r="AG21" i="1"/>
  <c r="AI21" i="1" s="1"/>
  <c r="AK20" i="1"/>
  <c r="AJ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I20" i="1"/>
  <c r="H20" i="1"/>
  <c r="G20" i="1"/>
  <c r="E20" i="1"/>
  <c r="C20" i="1"/>
  <c r="AK19" i="1"/>
  <c r="AL19" i="1" s="1"/>
  <c r="AJ19" i="1"/>
  <c r="AG19" i="1"/>
  <c r="AI19" i="1" s="1"/>
  <c r="AK18" i="1"/>
  <c r="AL18" i="1" s="1"/>
  <c r="AJ18" i="1"/>
  <c r="AI18" i="1"/>
  <c r="AG18" i="1"/>
  <c r="AL17" i="1"/>
  <c r="AK17" i="1"/>
  <c r="AJ17" i="1"/>
  <c r="AG17" i="1"/>
  <c r="AI17" i="1" s="1"/>
  <c r="AK16" i="1"/>
  <c r="AJ16" i="1"/>
  <c r="AI16" i="1"/>
  <c r="AG16" i="1"/>
  <c r="AK15" i="1"/>
  <c r="AL15" i="1" s="1"/>
  <c r="AJ15" i="1"/>
  <c r="AG15" i="1"/>
  <c r="AI15" i="1" s="1"/>
  <c r="AK14" i="1"/>
  <c r="AL14" i="1" s="1"/>
  <c r="AJ14" i="1"/>
  <c r="AG14" i="1"/>
  <c r="AI14" i="1" s="1"/>
  <c r="AK13" i="1"/>
  <c r="AL13" i="1" s="1"/>
  <c r="AJ13" i="1"/>
  <c r="AG13" i="1"/>
  <c r="AI13" i="1" s="1"/>
  <c r="AL12" i="1"/>
  <c r="AK12" i="1"/>
  <c r="AJ12" i="1"/>
  <c r="AG12" i="1"/>
  <c r="AI12" i="1" s="1"/>
  <c r="R12" i="1"/>
  <c r="J12" i="1"/>
  <c r="J20" i="1" s="1"/>
  <c r="F12" i="1"/>
  <c r="F20" i="1" s="1"/>
  <c r="D12" i="1"/>
  <c r="AK11" i="1"/>
  <c r="AL11" i="1" s="1"/>
  <c r="AJ11" i="1"/>
  <c r="AG11" i="1"/>
  <c r="AI11" i="1" s="1"/>
  <c r="AK10" i="1"/>
  <c r="AL10" i="1" s="1"/>
  <c r="AJ10" i="1"/>
  <c r="AI10" i="1"/>
  <c r="AG10" i="1"/>
  <c r="AK9" i="1"/>
  <c r="AL9" i="1" s="1"/>
  <c r="AJ9" i="1"/>
  <c r="AG9" i="1"/>
  <c r="AI9" i="1" s="1"/>
  <c r="AL8" i="1"/>
  <c r="AK8" i="1"/>
  <c r="AJ8" i="1"/>
  <c r="AG8" i="1"/>
  <c r="AI8" i="1" s="1"/>
  <c r="AK7" i="1"/>
  <c r="AL7" i="1" s="1"/>
  <c r="AJ7" i="1"/>
  <c r="AG7" i="1"/>
  <c r="AI7" i="1" s="1"/>
  <c r="AK6" i="1"/>
  <c r="AJ6" i="1"/>
  <c r="AL6" i="1" s="1"/>
  <c r="AI6" i="1"/>
  <c r="AG6" i="1"/>
  <c r="AL5" i="1"/>
  <c r="AK5" i="1"/>
  <c r="AJ5" i="1"/>
  <c r="AG5" i="1"/>
  <c r="AI5" i="1" s="1"/>
  <c r="AK4" i="1"/>
  <c r="AL4" i="1" s="1"/>
  <c r="AJ4" i="1"/>
  <c r="AG4" i="1"/>
  <c r="AI4" i="1" s="1"/>
  <c r="AK3" i="1"/>
  <c r="AL3" i="1" s="1"/>
  <c r="AJ3" i="1"/>
  <c r="D3" i="1"/>
  <c r="L30" i="2" l="1"/>
  <c r="M30" i="2"/>
  <c r="M14" i="2"/>
  <c r="L14" i="2"/>
  <c r="M39" i="2"/>
  <c r="L39" i="2"/>
  <c r="M137" i="2"/>
  <c r="L137" i="2"/>
  <c r="M275" i="2"/>
  <c r="L275" i="2"/>
  <c r="M207" i="4"/>
  <c r="L207" i="4"/>
  <c r="M89" i="2"/>
  <c r="M146" i="2" s="1"/>
  <c r="L89" i="2"/>
  <c r="L146" i="2" s="1"/>
  <c r="F328" i="2" s="1"/>
  <c r="M237" i="2"/>
  <c r="L237" i="2"/>
  <c r="M288" i="2"/>
  <c r="L288" i="2"/>
  <c r="M235" i="3"/>
  <c r="L235" i="3"/>
  <c r="L199" i="4"/>
  <c r="M199" i="4"/>
  <c r="M46" i="5"/>
  <c r="L46" i="5"/>
  <c r="M200" i="2"/>
  <c r="L200" i="2"/>
  <c r="M17" i="3"/>
  <c r="L17" i="3"/>
  <c r="M190" i="3"/>
  <c r="L190" i="3"/>
  <c r="F103" i="9"/>
  <c r="L43" i="2"/>
  <c r="M56" i="2"/>
  <c r="L56" i="2"/>
  <c r="F158" i="2"/>
  <c r="M150" i="2"/>
  <c r="M158" i="2" s="1"/>
  <c r="L150" i="2"/>
  <c r="L187" i="2"/>
  <c r="E565" i="2"/>
  <c r="M30" i="3"/>
  <c r="L30" i="3"/>
  <c r="M83" i="4"/>
  <c r="L83" i="4"/>
  <c r="M124" i="4"/>
  <c r="L124" i="4"/>
  <c r="M149" i="4"/>
  <c r="L149" i="4"/>
  <c r="M157" i="4"/>
  <c r="L157" i="4"/>
  <c r="M184" i="4"/>
  <c r="L184" i="4"/>
  <c r="F18" i="6"/>
  <c r="F22" i="6" s="1"/>
  <c r="C22" i="6"/>
  <c r="AL36" i="1"/>
  <c r="AL64" i="1"/>
  <c r="AL100" i="1"/>
  <c r="M13" i="2"/>
  <c r="L32" i="2"/>
  <c r="M32" i="2"/>
  <c r="M90" i="2"/>
  <c r="L90" i="2"/>
  <c r="L238" i="2"/>
  <c r="M238" i="2"/>
  <c r="M312" i="2"/>
  <c r="L429" i="2"/>
  <c r="F564" i="2"/>
  <c r="L456" i="2"/>
  <c r="L564" i="2" s="1"/>
  <c r="L565" i="2" s="1"/>
  <c r="F333" i="2" s="1"/>
  <c r="M160" i="3"/>
  <c r="L79" i="4"/>
  <c r="M79" i="4"/>
  <c r="L166" i="6"/>
  <c r="M166" i="6"/>
  <c r="M237" i="6"/>
  <c r="L237" i="6"/>
  <c r="M42" i="7"/>
  <c r="L42" i="7"/>
  <c r="M173" i="7"/>
  <c r="L173" i="7"/>
  <c r="M211" i="7"/>
  <c r="L211" i="7"/>
  <c r="L300" i="7"/>
  <c r="M300" i="7"/>
  <c r="L5" i="2"/>
  <c r="M5" i="2"/>
  <c r="M51" i="2"/>
  <c r="L51" i="2"/>
  <c r="M121" i="2"/>
  <c r="L121" i="2"/>
  <c r="AL83" i="1"/>
  <c r="M229" i="2"/>
  <c r="L229" i="2"/>
  <c r="M266" i="3"/>
  <c r="L266" i="3"/>
  <c r="M36" i="2"/>
  <c r="L36" i="2"/>
  <c r="L271" i="2"/>
  <c r="M191" i="4"/>
  <c r="L191" i="4"/>
  <c r="M125" i="2"/>
  <c r="L233" i="2"/>
  <c r="L17" i="2"/>
  <c r="L52" i="2"/>
  <c r="L69" i="2"/>
  <c r="M77" i="2"/>
  <c r="L77" i="2"/>
  <c r="M110" i="2"/>
  <c r="L110" i="2"/>
  <c r="M143" i="2"/>
  <c r="L143" i="2"/>
  <c r="M175" i="2"/>
  <c r="L175" i="2"/>
  <c r="M184" i="2"/>
  <c r="L184" i="2"/>
  <c r="M225" i="2"/>
  <c r="L120" i="3"/>
  <c r="M120" i="3"/>
  <c r="L124" i="3"/>
  <c r="L149" i="3"/>
  <c r="L199" i="3"/>
  <c r="M199" i="3"/>
  <c r="L133" i="4"/>
  <c r="M133" i="4"/>
  <c r="AI109" i="1"/>
  <c r="AG110" i="1" s="1"/>
  <c r="L18" i="2"/>
  <c r="M18" i="2"/>
  <c r="M57" i="2"/>
  <c r="L57" i="2"/>
  <c r="M86" i="2"/>
  <c r="L86" i="2"/>
  <c r="M268" i="2"/>
  <c r="L455" i="2"/>
  <c r="L79" i="3"/>
  <c r="M79" i="3"/>
  <c r="F465" i="3"/>
  <c r="L438" i="3"/>
  <c r="L465" i="3" s="1"/>
  <c r="L129" i="4"/>
  <c r="M129" i="4"/>
  <c r="L219" i="4"/>
  <c r="M219" i="4"/>
  <c r="L80" i="2"/>
  <c r="M80" i="2"/>
  <c r="C103" i="9"/>
  <c r="C102" i="9" s="1"/>
  <c r="L183" i="3"/>
  <c r="F335" i="3" s="1"/>
  <c r="M243" i="3"/>
  <c r="L243" i="3"/>
  <c r="M191" i="2"/>
  <c r="L191" i="2"/>
  <c r="J60" i="2"/>
  <c r="D326" i="2" s="1"/>
  <c r="D334" i="2" s="1"/>
  <c r="L49" i="2"/>
  <c r="M49" i="2"/>
  <c r="M66" i="2"/>
  <c r="L66" i="2"/>
  <c r="L18" i="3"/>
  <c r="M18" i="3"/>
  <c r="L187" i="3"/>
  <c r="L244" i="3" s="1"/>
  <c r="F333" i="3" s="1"/>
  <c r="M187" i="3"/>
  <c r="M29" i="2"/>
  <c r="L29" i="2"/>
  <c r="F3" i="3"/>
  <c r="D22" i="3"/>
  <c r="M182" i="3"/>
  <c r="L182" i="3"/>
  <c r="M292" i="3"/>
  <c r="L292" i="3"/>
  <c r="M294" i="2"/>
  <c r="L294" i="2"/>
  <c r="J22" i="3"/>
  <c r="D328" i="3" s="1"/>
  <c r="M44" i="3"/>
  <c r="L44" i="3"/>
  <c r="M146" i="3"/>
  <c r="L146" i="3"/>
  <c r="L249" i="3"/>
  <c r="M249" i="3"/>
  <c r="L86" i="5"/>
  <c r="M86" i="5"/>
  <c r="AG112" i="1"/>
  <c r="M25" i="2"/>
  <c r="L53" i="2"/>
  <c r="K87" i="2"/>
  <c r="E327" i="2" s="1"/>
  <c r="E334" i="2" s="1"/>
  <c r="L99" i="2"/>
  <c r="J158" i="2"/>
  <c r="D329" i="2" s="1"/>
  <c r="L164" i="2"/>
  <c r="M164" i="2"/>
  <c r="M206" i="2"/>
  <c r="L206" i="2"/>
  <c r="M223" i="2"/>
  <c r="L223" i="2"/>
  <c r="L37" i="3"/>
  <c r="M37" i="3"/>
  <c r="M264" i="3"/>
  <c r="L264" i="3"/>
  <c r="L288" i="3"/>
  <c r="M288" i="3"/>
  <c r="L304" i="3"/>
  <c r="M9" i="4"/>
  <c r="L9" i="4"/>
  <c r="M56" i="5"/>
  <c r="L56" i="5"/>
  <c r="M169" i="5"/>
  <c r="L169" i="5"/>
  <c r="M64" i="2"/>
  <c r="L64" i="2"/>
  <c r="M199" i="2"/>
  <c r="L199" i="2"/>
  <c r="M211" i="4"/>
  <c r="L211" i="4"/>
  <c r="AL63" i="1"/>
  <c r="M113" i="2"/>
  <c r="L113" i="2"/>
  <c r="L284" i="2"/>
  <c r="M284" i="2"/>
  <c r="D565" i="2"/>
  <c r="M135" i="2"/>
  <c r="L135" i="2"/>
  <c r="M222" i="2"/>
  <c r="L222" i="2"/>
  <c r="M88" i="3"/>
  <c r="L88" i="3"/>
  <c r="L147" i="3" s="1"/>
  <c r="F331" i="3" s="1"/>
  <c r="F147" i="3"/>
  <c r="J307" i="3"/>
  <c r="D334" i="3" s="1"/>
  <c r="K244" i="4"/>
  <c r="E333" i="4" s="1"/>
  <c r="AL29" i="1"/>
  <c r="AL53" i="1"/>
  <c r="AL93" i="1"/>
  <c r="J87" i="2"/>
  <c r="D327" i="2" s="1"/>
  <c r="M218" i="2"/>
  <c r="L218" i="2"/>
  <c r="M318" i="2"/>
  <c r="L318" i="2"/>
  <c r="M32" i="3"/>
  <c r="L32" i="3"/>
  <c r="L11" i="2"/>
  <c r="M45" i="2"/>
  <c r="L62" i="2"/>
  <c r="M71" i="2"/>
  <c r="L71" i="2"/>
  <c r="L303" i="2"/>
  <c r="M303" i="2"/>
  <c r="L105" i="3"/>
  <c r="M105" i="3"/>
  <c r="M126" i="4"/>
  <c r="L126" i="4"/>
  <c r="M74" i="5"/>
  <c r="L74" i="5"/>
  <c r="M241" i="2"/>
  <c r="L241" i="2"/>
  <c r="M274" i="3"/>
  <c r="L274" i="3"/>
  <c r="K60" i="2"/>
  <c r="E326" i="2" s="1"/>
  <c r="F159" i="4"/>
  <c r="L148" i="4"/>
  <c r="M148" i="4"/>
  <c r="E62" i="9"/>
  <c r="AD49" i="9"/>
  <c r="E4" i="9"/>
  <c r="E8" i="9" s="1"/>
  <c r="E103" i="9" s="1"/>
  <c r="E102" i="9" s="1"/>
  <c r="AL47" i="1"/>
  <c r="M296" i="2"/>
  <c r="L296" i="2"/>
  <c r="G103" i="9"/>
  <c r="G102" i="9" s="1"/>
  <c r="M194" i="3"/>
  <c r="L194" i="3"/>
  <c r="M140" i="4"/>
  <c r="L140" i="4"/>
  <c r="L14" i="3"/>
  <c r="M14" i="3"/>
  <c r="L80" i="4"/>
  <c r="M80" i="4"/>
  <c r="K158" i="2"/>
  <c r="E329" i="2" s="1"/>
  <c r="L171" i="2"/>
  <c r="M256" i="2"/>
  <c r="L256" i="2"/>
  <c r="AL16" i="1"/>
  <c r="AL109" i="1" s="1"/>
  <c r="F3" i="2"/>
  <c r="C22" i="2"/>
  <c r="L158" i="2"/>
  <c r="F329" i="2" s="1"/>
  <c r="M231" i="2"/>
  <c r="L231" i="2"/>
  <c r="K322" i="2"/>
  <c r="E332" i="2" s="1"/>
  <c r="M174" i="3"/>
  <c r="L174" i="3"/>
  <c r="L82" i="5"/>
  <c r="M82" i="5"/>
  <c r="AL26" i="1"/>
  <c r="AL62" i="1"/>
  <c r="AL90" i="1"/>
  <c r="R117" i="1"/>
  <c r="R118" i="1" s="1"/>
  <c r="R124" i="1" s="1"/>
  <c r="T119" i="1" s="1"/>
  <c r="T121" i="1" s="1"/>
  <c r="M96" i="2"/>
  <c r="L96" i="2"/>
  <c r="M132" i="2"/>
  <c r="L132" i="2"/>
  <c r="L219" i="2"/>
  <c r="M219" i="2"/>
  <c r="M290" i="2"/>
  <c r="M33" i="3"/>
  <c r="L33" i="3"/>
  <c r="M76" i="3"/>
  <c r="L76" i="3"/>
  <c r="M238" i="3"/>
  <c r="L238" i="3"/>
  <c r="M44" i="5"/>
  <c r="M120" i="5"/>
  <c r="L120" i="5"/>
  <c r="M157" i="2"/>
  <c r="L157" i="2"/>
  <c r="L262" i="2"/>
  <c r="M262" i="2"/>
  <c r="L287" i="2"/>
  <c r="M287" i="2"/>
  <c r="M197" i="3"/>
  <c r="L197" i="3"/>
  <c r="L221" i="3"/>
  <c r="M221" i="3"/>
  <c r="L74" i="4"/>
  <c r="M74" i="4"/>
  <c r="M97" i="2"/>
  <c r="L97" i="2"/>
  <c r="V102" i="9"/>
  <c r="M291" i="4"/>
  <c r="L291" i="4"/>
  <c r="D20" i="1"/>
  <c r="AG3" i="1"/>
  <c r="M204" i="2"/>
  <c r="L204" i="2"/>
  <c r="F429" i="2"/>
  <c r="M140" i="3"/>
  <c r="L140" i="3"/>
  <c r="K423" i="3"/>
  <c r="M7" i="2"/>
  <c r="L7" i="2"/>
  <c r="M272" i="3"/>
  <c r="L272" i="3"/>
  <c r="AG111" i="1"/>
  <c r="M74" i="2"/>
  <c r="L74" i="2"/>
  <c r="M115" i="2"/>
  <c r="L115" i="2"/>
  <c r="M185" i="2"/>
  <c r="L185" i="2"/>
  <c r="M265" i="2"/>
  <c r="L265" i="2"/>
  <c r="M302" i="2"/>
  <c r="L302" i="2"/>
  <c r="M74" i="3"/>
  <c r="J423" i="3"/>
  <c r="M69" i="4"/>
  <c r="L69" i="4"/>
  <c r="L160" i="5"/>
  <c r="M160" i="5"/>
  <c r="AL49" i="1"/>
  <c r="M103" i="2"/>
  <c r="L103" i="2"/>
  <c r="M42" i="2"/>
  <c r="L42" i="2"/>
  <c r="L79" i="2"/>
  <c r="M79" i="2"/>
  <c r="M108" i="2"/>
  <c r="L108" i="2"/>
  <c r="F60" i="2"/>
  <c r="L24" i="3"/>
  <c r="M24" i="3"/>
  <c r="L436" i="3"/>
  <c r="L223" i="4"/>
  <c r="M223" i="4"/>
  <c r="J436" i="4"/>
  <c r="J576" i="4"/>
  <c r="D337" i="4" s="1"/>
  <c r="R102" i="9"/>
  <c r="J103" i="9"/>
  <c r="J102" i="9" s="1"/>
  <c r="AL46" i="1"/>
  <c r="F416" i="2"/>
  <c r="M234" i="3"/>
  <c r="L234" i="3"/>
  <c r="M121" i="4"/>
  <c r="L121" i="4"/>
  <c r="M35" i="6"/>
  <c r="L35" i="6"/>
  <c r="M38" i="7"/>
  <c r="L38" i="7"/>
  <c r="L165" i="7"/>
  <c r="M165" i="7"/>
  <c r="M188" i="7" s="1"/>
  <c r="B99" i="9"/>
  <c r="AD26" i="9"/>
  <c r="M63" i="2"/>
  <c r="M87" i="2" s="1"/>
  <c r="L63" i="2"/>
  <c r="L87" i="2" s="1"/>
  <c r="F327" i="2" s="1"/>
  <c r="M129" i="2"/>
  <c r="L129" i="2"/>
  <c r="M172" i="2"/>
  <c r="L172" i="2"/>
  <c r="J242" i="2"/>
  <c r="D330" i="2" s="1"/>
  <c r="M207" i="2"/>
  <c r="L207" i="2"/>
  <c r="M276" i="2"/>
  <c r="L276" i="2"/>
  <c r="M306" i="2"/>
  <c r="L306" i="2"/>
  <c r="M29" i="3"/>
  <c r="L29" i="3"/>
  <c r="M34" i="3"/>
  <c r="L34" i="3"/>
  <c r="M181" i="3"/>
  <c r="L181" i="3"/>
  <c r="M186" i="3"/>
  <c r="L186" i="3"/>
  <c r="M5" i="4"/>
  <c r="L5" i="4"/>
  <c r="L113" i="4"/>
  <c r="M113" i="4"/>
  <c r="M254" i="4"/>
  <c r="L254" i="4"/>
  <c r="L33" i="5"/>
  <c r="M33" i="5"/>
  <c r="F430" i="7"/>
  <c r="M100" i="2"/>
  <c r="L100" i="2"/>
  <c r="M154" i="2"/>
  <c r="L154" i="2"/>
  <c r="J429" i="2"/>
  <c r="L75" i="3"/>
  <c r="M75" i="3"/>
  <c r="M84" i="3"/>
  <c r="L84" i="3"/>
  <c r="M109" i="3"/>
  <c r="L109" i="3"/>
  <c r="M150" i="3"/>
  <c r="L150" i="3"/>
  <c r="L261" i="3"/>
  <c r="M261" i="3"/>
  <c r="L301" i="3"/>
  <c r="M301" i="3"/>
  <c r="M14" i="4"/>
  <c r="L14" i="4"/>
  <c r="K87" i="4"/>
  <c r="E330" i="4" s="1"/>
  <c r="M27" i="6"/>
  <c r="L27" i="6"/>
  <c r="M33" i="2"/>
  <c r="L33" i="2"/>
  <c r="F87" i="2"/>
  <c r="K242" i="2"/>
  <c r="E330" i="2" s="1"/>
  <c r="M257" i="2"/>
  <c r="L257" i="2"/>
  <c r="K416" i="2"/>
  <c r="L80" i="3"/>
  <c r="M80" i="3"/>
  <c r="K244" i="3"/>
  <c r="E333" i="3" s="1"/>
  <c r="M191" i="3"/>
  <c r="L191" i="3"/>
  <c r="M230" i="3"/>
  <c r="L230" i="3"/>
  <c r="M289" i="3"/>
  <c r="L289" i="3"/>
  <c r="M85" i="4"/>
  <c r="L85" i="4"/>
  <c r="M105" i="4"/>
  <c r="L105" i="4"/>
  <c r="L216" i="4"/>
  <c r="M216" i="4"/>
  <c r="K87" i="5"/>
  <c r="E330" i="5" s="1"/>
  <c r="J436" i="5"/>
  <c r="L7" i="6"/>
  <c r="M7" i="6"/>
  <c r="M11" i="3"/>
  <c r="L11" i="3"/>
  <c r="L231" i="3"/>
  <c r="M231" i="3"/>
  <c r="M314" i="3"/>
  <c r="L314" i="3"/>
  <c r="J465" i="3"/>
  <c r="M30" i="4"/>
  <c r="L30" i="4"/>
  <c r="M164" i="6"/>
  <c r="M188" i="6" s="1"/>
  <c r="L164" i="6"/>
  <c r="AL81" i="1"/>
  <c r="M54" i="2"/>
  <c r="L54" i="2"/>
  <c r="M94" i="2"/>
  <c r="L94" i="2"/>
  <c r="J87" i="3"/>
  <c r="D330" i="3" s="1"/>
  <c r="M90" i="3"/>
  <c r="L90" i="3"/>
  <c r="M106" i="3"/>
  <c r="L106" i="3"/>
  <c r="M323" i="3"/>
  <c r="L323" i="3"/>
  <c r="K465" i="3"/>
  <c r="K576" i="3" s="1"/>
  <c r="E337" i="3" s="1"/>
  <c r="J575" i="3"/>
  <c r="F60" i="4"/>
  <c r="L23" i="4"/>
  <c r="M43" i="4"/>
  <c r="L43" i="4"/>
  <c r="J147" i="4"/>
  <c r="D331" i="4" s="1"/>
  <c r="M110" i="4"/>
  <c r="L110" i="4"/>
  <c r="M102" i="5"/>
  <c r="L102" i="5"/>
  <c r="L139" i="5"/>
  <c r="M139" i="5"/>
  <c r="M71" i="6"/>
  <c r="L71" i="6"/>
  <c r="L107" i="6"/>
  <c r="M107" i="6"/>
  <c r="M119" i="2"/>
  <c r="L119" i="2"/>
  <c r="F242" i="2"/>
  <c r="M177" i="2"/>
  <c r="K564" i="2"/>
  <c r="K565" i="2" s="1"/>
  <c r="E333" i="2" s="1"/>
  <c r="F87" i="3"/>
  <c r="L61" i="3"/>
  <c r="M61" i="3"/>
  <c r="L294" i="3"/>
  <c r="M294" i="3"/>
  <c r="M145" i="2"/>
  <c r="L145" i="2"/>
  <c r="M201" i="2"/>
  <c r="L201" i="2"/>
  <c r="M266" i="2"/>
  <c r="L266" i="2"/>
  <c r="M285" i="2"/>
  <c r="L285" i="2"/>
  <c r="M286" i="3"/>
  <c r="L286" i="3"/>
  <c r="M319" i="3"/>
  <c r="L319" i="3"/>
  <c r="J60" i="4"/>
  <c r="D329" i="4" s="1"/>
  <c r="D338" i="4" s="1"/>
  <c r="K147" i="4"/>
  <c r="E331" i="4" s="1"/>
  <c r="M251" i="4"/>
  <c r="L251" i="4"/>
  <c r="L260" i="4"/>
  <c r="M260" i="4"/>
  <c r="M261" i="5"/>
  <c r="L261" i="5"/>
  <c r="J575" i="5"/>
  <c r="M44" i="7"/>
  <c r="L44" i="7"/>
  <c r="M70" i="7"/>
  <c r="L70" i="7"/>
  <c r="L111" i="7"/>
  <c r="M111" i="7"/>
  <c r="L175" i="7"/>
  <c r="M175" i="7"/>
  <c r="M179" i="7"/>
  <c r="L179" i="7"/>
  <c r="M162" i="2"/>
  <c r="L162" i="2"/>
  <c r="M98" i="3"/>
  <c r="L98" i="3"/>
  <c r="M10" i="5"/>
  <c r="L10" i="5"/>
  <c r="M110" i="5"/>
  <c r="L110" i="5"/>
  <c r="AE121" i="9"/>
  <c r="AL78" i="1"/>
  <c r="M27" i="2"/>
  <c r="M60" i="2" s="1"/>
  <c r="L34" i="2"/>
  <c r="L47" i="2"/>
  <c r="L84" i="2"/>
  <c r="M116" i="2"/>
  <c r="L116" i="2"/>
  <c r="L141" i="2"/>
  <c r="L177" i="2"/>
  <c r="L193" i="2"/>
  <c r="L212" i="2"/>
  <c r="L246" i="2"/>
  <c r="L305" i="2" s="1"/>
  <c r="F331" i="2" s="1"/>
  <c r="L258" i="2"/>
  <c r="L281" i="2"/>
  <c r="M319" i="2"/>
  <c r="L319" i="2"/>
  <c r="F322" i="2"/>
  <c r="L65" i="3"/>
  <c r="M69" i="3"/>
  <c r="L69" i="3"/>
  <c r="M99" i="3"/>
  <c r="L99" i="3"/>
  <c r="L211" i="3"/>
  <c r="L215" i="3"/>
  <c r="L227" i="3"/>
  <c r="M259" i="3"/>
  <c r="L259" i="3"/>
  <c r="L311" i="3"/>
  <c r="M311" i="3"/>
  <c r="K60" i="4"/>
  <c r="E329" i="4" s="1"/>
  <c r="M95" i="4"/>
  <c r="L95" i="4"/>
  <c r="L243" i="4"/>
  <c r="M243" i="4"/>
  <c r="L294" i="4"/>
  <c r="M294" i="4"/>
  <c r="M131" i="5"/>
  <c r="L131" i="5"/>
  <c r="J159" i="5"/>
  <c r="D332" i="5" s="1"/>
  <c r="F325" i="5"/>
  <c r="M308" i="5"/>
  <c r="M67" i="6"/>
  <c r="L67" i="6"/>
  <c r="M138" i="3"/>
  <c r="L138" i="3"/>
  <c r="M272" i="6"/>
  <c r="L272" i="6"/>
  <c r="O102" i="9"/>
  <c r="L24" i="2"/>
  <c r="L60" i="2" s="1"/>
  <c r="F326" i="2" s="1"/>
  <c r="L68" i="2"/>
  <c r="F146" i="2"/>
  <c r="L105" i="2"/>
  <c r="L112" i="2"/>
  <c r="L134" i="2"/>
  <c r="L152" i="2"/>
  <c r="M159" i="2"/>
  <c r="L159" i="2"/>
  <c r="M178" i="2"/>
  <c r="L178" i="2"/>
  <c r="M213" i="2"/>
  <c r="L213" i="2"/>
  <c r="L250" i="2"/>
  <c r="M282" i="2"/>
  <c r="L282" i="2"/>
  <c r="M300" i="2"/>
  <c r="L19" i="3"/>
  <c r="M167" i="3"/>
  <c r="L167" i="3"/>
  <c r="M216" i="3"/>
  <c r="L216" i="3"/>
  <c r="L255" i="3"/>
  <c r="M23" i="4"/>
  <c r="L51" i="4"/>
  <c r="M269" i="4"/>
  <c r="L269" i="4"/>
  <c r="M94" i="5"/>
  <c r="L94" i="5"/>
  <c r="L143" i="5"/>
  <c r="L189" i="5"/>
  <c r="M189" i="5"/>
  <c r="M193" i="5"/>
  <c r="L193" i="5"/>
  <c r="M226" i="5"/>
  <c r="L226" i="5"/>
  <c r="L246" i="5"/>
  <c r="L307" i="5" s="1"/>
  <c r="F334" i="5" s="1"/>
  <c r="M246" i="5"/>
  <c r="L423" i="3"/>
  <c r="M278" i="5"/>
  <c r="L278" i="5"/>
  <c r="M4" i="2"/>
  <c r="L4" i="2"/>
  <c r="M10" i="2"/>
  <c r="M48" i="2"/>
  <c r="L48" i="2"/>
  <c r="M85" i="2"/>
  <c r="L85" i="2"/>
  <c r="M197" i="2"/>
  <c r="L228" i="2"/>
  <c r="M251" i="2"/>
  <c r="M305" i="2" s="1"/>
  <c r="L251" i="2"/>
  <c r="M27" i="3"/>
  <c r="L27" i="3"/>
  <c r="L54" i="3"/>
  <c r="L58" i="3"/>
  <c r="M78" i="3"/>
  <c r="L78" i="3"/>
  <c r="L196" i="3"/>
  <c r="M224" i="3"/>
  <c r="L224" i="3"/>
  <c r="M256" i="3"/>
  <c r="M307" i="3" s="1"/>
  <c r="L256" i="3"/>
  <c r="L267" i="3"/>
  <c r="J436" i="3"/>
  <c r="G576" i="3"/>
  <c r="M152" i="4"/>
  <c r="L152" i="4"/>
  <c r="L163" i="4"/>
  <c r="M163" i="4"/>
  <c r="M206" i="4"/>
  <c r="L206" i="4"/>
  <c r="M214" i="4"/>
  <c r="L214" i="4"/>
  <c r="M231" i="4"/>
  <c r="L231" i="4"/>
  <c r="M27" i="5"/>
  <c r="L27" i="5"/>
  <c r="K61" i="6"/>
  <c r="E335" i="6" s="1"/>
  <c r="K22" i="3"/>
  <c r="E328" i="3" s="1"/>
  <c r="K87" i="3"/>
  <c r="E330" i="3" s="1"/>
  <c r="L17" i="4"/>
  <c r="M17" i="4"/>
  <c r="M40" i="4"/>
  <c r="L40" i="4"/>
  <c r="M261" i="4"/>
  <c r="L261" i="4"/>
  <c r="C22" i="5"/>
  <c r="F13" i="5"/>
  <c r="M53" i="5"/>
  <c r="L53" i="5"/>
  <c r="F87" i="5"/>
  <c r="M61" i="5"/>
  <c r="L61" i="5"/>
  <c r="M257" i="5"/>
  <c r="M307" i="5" s="1"/>
  <c r="L257" i="5"/>
  <c r="J325" i="5"/>
  <c r="D336" i="5" s="1"/>
  <c r="M324" i="5"/>
  <c r="L324" i="5"/>
  <c r="M172" i="6"/>
  <c r="L172" i="6"/>
  <c r="L489" i="2"/>
  <c r="G564" i="2"/>
  <c r="G565" i="2" s="1"/>
  <c r="L23" i="3"/>
  <c r="F60" i="3"/>
  <c r="M168" i="3"/>
  <c r="L168" i="3"/>
  <c r="L271" i="3"/>
  <c r="M271" i="3"/>
  <c r="F575" i="3"/>
  <c r="M21" i="4"/>
  <c r="L21" i="4"/>
  <c r="M183" i="4"/>
  <c r="M224" i="4"/>
  <c r="L224" i="4"/>
  <c r="M274" i="4"/>
  <c r="L274" i="4"/>
  <c r="M286" i="4"/>
  <c r="L286" i="4"/>
  <c r="L290" i="4"/>
  <c r="M290" i="4"/>
  <c r="L37" i="5"/>
  <c r="M37" i="5"/>
  <c r="L79" i="5"/>
  <c r="M79" i="5"/>
  <c r="L222" i="5"/>
  <c r="M222" i="5"/>
  <c r="K307" i="5"/>
  <c r="E334" i="5" s="1"/>
  <c r="M271" i="5"/>
  <c r="L271" i="5"/>
  <c r="M275" i="5"/>
  <c r="L275" i="5"/>
  <c r="M66" i="6"/>
  <c r="L66" i="6"/>
  <c r="M280" i="6"/>
  <c r="L280" i="6"/>
  <c r="J322" i="2"/>
  <c r="D332" i="2" s="1"/>
  <c r="M26" i="3"/>
  <c r="M38" i="3"/>
  <c r="L38" i="3"/>
  <c r="L83" i="3"/>
  <c r="M125" i="3"/>
  <c r="L125" i="3"/>
  <c r="M143" i="3"/>
  <c r="M213" i="3"/>
  <c r="L213" i="3"/>
  <c r="L246" i="3"/>
  <c r="L307" i="3" s="1"/>
  <c r="F334" i="3" s="1"/>
  <c r="M316" i="3"/>
  <c r="L316" i="3"/>
  <c r="H576" i="3"/>
  <c r="L13" i="4"/>
  <c r="L94" i="4"/>
  <c r="J244" i="4"/>
  <c r="D333" i="4" s="1"/>
  <c r="L282" i="4"/>
  <c r="M25" i="5"/>
  <c r="L25" i="5"/>
  <c r="M70" i="5"/>
  <c r="L262" i="5"/>
  <c r="M132" i="6"/>
  <c r="L132" i="6"/>
  <c r="M227" i="6"/>
  <c r="L227" i="6"/>
  <c r="M231" i="6"/>
  <c r="L231" i="6"/>
  <c r="L268" i="6"/>
  <c r="M268" i="6"/>
  <c r="M297" i="6"/>
  <c r="L297" i="6"/>
  <c r="J331" i="6"/>
  <c r="D342" i="6" s="1"/>
  <c r="D341" i="6"/>
  <c r="M330" i="6"/>
  <c r="L330" i="6"/>
  <c r="K430" i="7"/>
  <c r="B37" i="8"/>
  <c r="L85" i="9"/>
  <c r="AD85" i="9" s="1"/>
  <c r="AD78" i="9"/>
  <c r="J147" i="3"/>
  <c r="D331" i="3" s="1"/>
  <c r="M165" i="3"/>
  <c r="L165" i="3"/>
  <c r="M276" i="3"/>
  <c r="L276" i="3"/>
  <c r="M37" i="4"/>
  <c r="L37" i="4"/>
  <c r="L91" i="4"/>
  <c r="M91" i="4"/>
  <c r="M147" i="4" s="1"/>
  <c r="M246" i="4"/>
  <c r="M307" i="4" s="1"/>
  <c r="L246" i="4"/>
  <c r="L307" i="4" s="1"/>
  <c r="F334" i="4" s="1"/>
  <c r="M258" i="4"/>
  <c r="L258" i="4"/>
  <c r="M324" i="4"/>
  <c r="L324" i="4"/>
  <c r="M80" i="5"/>
  <c r="L80" i="5"/>
  <c r="M161" i="5"/>
  <c r="L161" i="5"/>
  <c r="M289" i="5"/>
  <c r="L289" i="5"/>
  <c r="M215" i="6"/>
  <c r="L215" i="6"/>
  <c r="M248" i="6"/>
  <c r="L248" i="6"/>
  <c r="L182" i="2"/>
  <c r="L210" i="2"/>
  <c r="L226" i="2"/>
  <c r="L254" i="2"/>
  <c r="L260" i="2"/>
  <c r="L263" i="2"/>
  <c r="L279" i="2"/>
  <c r="L291" i="2"/>
  <c r="L316" i="2"/>
  <c r="M15" i="3"/>
  <c r="L15" i="3"/>
  <c r="M21" i="3"/>
  <c r="M35" i="3"/>
  <c r="L35" i="3"/>
  <c r="L49" i="3"/>
  <c r="K147" i="3"/>
  <c r="E331" i="3" s="1"/>
  <c r="L114" i="3"/>
  <c r="M121" i="3"/>
  <c r="L136" i="3"/>
  <c r="J159" i="3"/>
  <c r="D332" i="3" s="1"/>
  <c r="L155" i="3"/>
  <c r="L176" i="3"/>
  <c r="M188" i="3"/>
  <c r="L188" i="3"/>
  <c r="L206" i="3"/>
  <c r="M232" i="3"/>
  <c r="L232" i="3"/>
  <c r="L290" i="3"/>
  <c r="M309" i="3"/>
  <c r="M325" i="3" s="1"/>
  <c r="L309" i="3"/>
  <c r="L325" i="3" s="1"/>
  <c r="F336" i="3" s="1"/>
  <c r="M317" i="3"/>
  <c r="L317" i="3"/>
  <c r="L33" i="4"/>
  <c r="M33" i="4"/>
  <c r="M166" i="4"/>
  <c r="L166" i="4"/>
  <c r="L183" i="4" s="1"/>
  <c r="F335" i="4" s="1"/>
  <c r="L196" i="4"/>
  <c r="M238" i="4"/>
  <c r="L238" i="4"/>
  <c r="F436" i="4"/>
  <c r="F575" i="4"/>
  <c r="F576" i="4" s="1"/>
  <c r="L63" i="5"/>
  <c r="M63" i="5"/>
  <c r="K159" i="5"/>
  <c r="E332" i="5" s="1"/>
  <c r="J244" i="5"/>
  <c r="D333" i="5" s="1"/>
  <c r="L199" i="5"/>
  <c r="M199" i="5"/>
  <c r="L219" i="5"/>
  <c r="M219" i="5"/>
  <c r="M42" i="6"/>
  <c r="L42" i="6"/>
  <c r="L53" i="6"/>
  <c r="K89" i="6"/>
  <c r="E336" i="6" s="1"/>
  <c r="M92" i="6"/>
  <c r="L92" i="6"/>
  <c r="M100" i="6"/>
  <c r="L100" i="6"/>
  <c r="M108" i="6"/>
  <c r="L108" i="6"/>
  <c r="L194" i="6"/>
  <c r="M194" i="6"/>
  <c r="F61" i="7"/>
  <c r="L24" i="7"/>
  <c r="M24" i="7"/>
  <c r="L156" i="7"/>
  <c r="M156" i="7"/>
  <c r="J455" i="2"/>
  <c r="J565" i="2" s="1"/>
  <c r="D333" i="2" s="1"/>
  <c r="F455" i="2"/>
  <c r="M122" i="3"/>
  <c r="L122" i="3"/>
  <c r="K159" i="3"/>
  <c r="E332" i="3" s="1"/>
  <c r="M306" i="3"/>
  <c r="L306" i="3"/>
  <c r="F147" i="4"/>
  <c r="M119" i="4"/>
  <c r="L119" i="4"/>
  <c r="K307" i="4"/>
  <c r="E334" i="4" s="1"/>
  <c r="M7" i="5"/>
  <c r="L7" i="5"/>
  <c r="M187" i="5"/>
  <c r="L187" i="5"/>
  <c r="M224" i="5"/>
  <c r="L224" i="5"/>
  <c r="L438" i="5"/>
  <c r="F465" i="5"/>
  <c r="M50" i="6"/>
  <c r="L50" i="6"/>
  <c r="M80" i="6"/>
  <c r="L80" i="6"/>
  <c r="L88" i="6"/>
  <c r="M88" i="6"/>
  <c r="L126" i="2"/>
  <c r="L142" i="2"/>
  <c r="L151" i="2"/>
  <c r="L169" i="2"/>
  <c r="L198" i="2"/>
  <c r="L220" i="2"/>
  <c r="L239" i="2"/>
  <c r="L248" i="2"/>
  <c r="L273" i="2"/>
  <c r="L304" i="2"/>
  <c r="L313" i="2"/>
  <c r="K455" i="2"/>
  <c r="L8" i="3"/>
  <c r="L56" i="3"/>
  <c r="L73" i="3"/>
  <c r="M81" i="3"/>
  <c r="L81" i="3"/>
  <c r="L92" i="3"/>
  <c r="L107" i="3"/>
  <c r="L133" i="3"/>
  <c r="M141" i="3"/>
  <c r="L141" i="3"/>
  <c r="L148" i="3"/>
  <c r="L159" i="3" s="1"/>
  <c r="F332" i="3" s="1"/>
  <c r="F159" i="3"/>
  <c r="F244" i="3"/>
  <c r="L203" i="3"/>
  <c r="M298" i="3"/>
  <c r="F325" i="3"/>
  <c r="L6" i="4"/>
  <c r="M42" i="4"/>
  <c r="L42" i="4"/>
  <c r="M92" i="4"/>
  <c r="L92" i="4"/>
  <c r="M100" i="4"/>
  <c r="L100" i="4"/>
  <c r="M193" i="4"/>
  <c r="L193" i="4"/>
  <c r="M234" i="4"/>
  <c r="L234" i="4"/>
  <c r="M250" i="4"/>
  <c r="M263" i="4"/>
  <c r="L263" i="4"/>
  <c r="L267" i="4"/>
  <c r="M267" i="4"/>
  <c r="K423" i="4"/>
  <c r="K436" i="4"/>
  <c r="L525" i="4"/>
  <c r="M6" i="6"/>
  <c r="L6" i="6"/>
  <c r="M19" i="6"/>
  <c r="L19" i="6"/>
  <c r="K161" i="6"/>
  <c r="E338" i="6" s="1"/>
  <c r="J249" i="6"/>
  <c r="D339" i="6" s="1"/>
  <c r="L211" i="6"/>
  <c r="M211" i="6"/>
  <c r="L12" i="3"/>
  <c r="M31" i="3"/>
  <c r="M46" i="3"/>
  <c r="M93" i="3"/>
  <c r="L93" i="3"/>
  <c r="M111" i="3"/>
  <c r="M152" i="3"/>
  <c r="L173" i="3"/>
  <c r="J244" i="3"/>
  <c r="D333" i="3" s="1"/>
  <c r="M180" i="3"/>
  <c r="L225" i="3"/>
  <c r="M269" i="3"/>
  <c r="L269" i="3"/>
  <c r="L7" i="4"/>
  <c r="M7" i="4"/>
  <c r="M34" i="4"/>
  <c r="L34" i="4"/>
  <c r="M38" i="4"/>
  <c r="L38" i="4"/>
  <c r="M167" i="4"/>
  <c r="L167" i="4"/>
  <c r="L423" i="4"/>
  <c r="L436" i="4"/>
  <c r="M19" i="5"/>
  <c r="L19" i="5"/>
  <c r="L38" i="6"/>
  <c r="M290" i="6"/>
  <c r="L290" i="6"/>
  <c r="M305" i="3"/>
  <c r="L305" i="3"/>
  <c r="F423" i="3"/>
  <c r="K436" i="3"/>
  <c r="D576" i="3"/>
  <c r="M137" i="4"/>
  <c r="L137" i="4"/>
  <c r="M174" i="4"/>
  <c r="L174" i="4"/>
  <c r="M204" i="4"/>
  <c r="L204" i="4"/>
  <c r="M299" i="4"/>
  <c r="L299" i="4"/>
  <c r="L91" i="5"/>
  <c r="M91" i="5"/>
  <c r="M95" i="5"/>
  <c r="L95" i="5"/>
  <c r="M151" i="5"/>
  <c r="M159" i="5" s="1"/>
  <c r="L151" i="5"/>
  <c r="M267" i="5"/>
  <c r="L267" i="5"/>
  <c r="M203" i="6"/>
  <c r="L203" i="6"/>
  <c r="F89" i="7"/>
  <c r="L62" i="7"/>
  <c r="L66" i="7"/>
  <c r="M66" i="7"/>
  <c r="M155" i="7"/>
  <c r="L155" i="7"/>
  <c r="M183" i="7"/>
  <c r="L183" i="7"/>
  <c r="F3" i="4"/>
  <c r="C22" i="4"/>
  <c r="M111" i="4"/>
  <c r="L111" i="4"/>
  <c r="M271" i="4"/>
  <c r="L271" i="4"/>
  <c r="F22" i="5"/>
  <c r="M3" i="5"/>
  <c r="L3" i="5"/>
  <c r="M42" i="5"/>
  <c r="L42" i="5"/>
  <c r="M71" i="5"/>
  <c r="L71" i="5"/>
  <c r="M259" i="5"/>
  <c r="L259" i="5"/>
  <c r="M316" i="5"/>
  <c r="L316" i="5"/>
  <c r="L325" i="5" s="1"/>
  <c r="F336" i="5" s="1"/>
  <c r="J61" i="6"/>
  <c r="D335" i="6" s="1"/>
  <c r="M69" i="6"/>
  <c r="M89" i="6" s="1"/>
  <c r="L69" i="6"/>
  <c r="M36" i="7"/>
  <c r="L36" i="7"/>
  <c r="K89" i="7"/>
  <c r="E336" i="7" s="1"/>
  <c r="L151" i="7"/>
  <c r="F161" i="7"/>
  <c r="M151" i="7"/>
  <c r="O103" i="9"/>
  <c r="K22" i="4"/>
  <c r="E328" i="4" s="1"/>
  <c r="M11" i="4"/>
  <c r="L11" i="4"/>
  <c r="M197" i="4"/>
  <c r="L197" i="4"/>
  <c r="M248" i="4"/>
  <c r="L248" i="4"/>
  <c r="D335" i="4"/>
  <c r="J325" i="4"/>
  <c r="D336" i="4" s="1"/>
  <c r="F60" i="5"/>
  <c r="L67" i="5"/>
  <c r="M67" i="5"/>
  <c r="M76" i="5"/>
  <c r="L76" i="5"/>
  <c r="M200" i="5"/>
  <c r="L200" i="5"/>
  <c r="M285" i="5"/>
  <c r="L285" i="5"/>
  <c r="K575" i="5"/>
  <c r="K22" i="6"/>
  <c r="E334" i="6" s="1"/>
  <c r="M12" i="6"/>
  <c r="L12" i="6"/>
  <c r="M143" i="6"/>
  <c r="L143" i="6"/>
  <c r="F161" i="6"/>
  <c r="M151" i="6"/>
  <c r="M161" i="6" s="1"/>
  <c r="L151" i="6"/>
  <c r="L161" i="6" s="1"/>
  <c r="F338" i="6" s="1"/>
  <c r="M179" i="6"/>
  <c r="L179" i="6"/>
  <c r="M92" i="7"/>
  <c r="L92" i="7"/>
  <c r="K161" i="7"/>
  <c r="E338" i="7" s="1"/>
  <c r="M127" i="4"/>
  <c r="L127" i="4"/>
  <c r="L236" i="4"/>
  <c r="M240" i="4"/>
  <c r="M276" i="4"/>
  <c r="L276" i="4"/>
  <c r="J465" i="4"/>
  <c r="L30" i="5"/>
  <c r="L104" i="5"/>
  <c r="L136" i="5"/>
  <c r="M220" i="5"/>
  <c r="L220" i="5"/>
  <c r="M8" i="6"/>
  <c r="L8" i="6"/>
  <c r="L135" i="6"/>
  <c r="M135" i="6"/>
  <c r="J161" i="6"/>
  <c r="D338" i="6" s="1"/>
  <c r="M266" i="6"/>
  <c r="L266" i="6"/>
  <c r="J443" i="6"/>
  <c r="M20" i="7"/>
  <c r="M46" i="4"/>
  <c r="L46" i="4"/>
  <c r="M108" i="4"/>
  <c r="L108" i="4"/>
  <c r="M20" i="5"/>
  <c r="L20" i="5"/>
  <c r="M31" i="5"/>
  <c r="M60" i="5" s="1"/>
  <c r="L31" i="5"/>
  <c r="M59" i="5"/>
  <c r="L59" i="5"/>
  <c r="M105" i="5"/>
  <c r="L105" i="5"/>
  <c r="M137" i="5"/>
  <c r="L137" i="5"/>
  <c r="M184" i="5"/>
  <c r="L184" i="5"/>
  <c r="M216" i="5"/>
  <c r="L216" i="5"/>
  <c r="M269" i="5"/>
  <c r="L269" i="5"/>
  <c r="M277" i="5"/>
  <c r="L277" i="5"/>
  <c r="J149" i="6"/>
  <c r="D337" i="6" s="1"/>
  <c r="M94" i="6"/>
  <c r="L94" i="6"/>
  <c r="L187" i="6"/>
  <c r="M187" i="6"/>
  <c r="L354" i="6"/>
  <c r="L430" i="6" s="1"/>
  <c r="F430" i="6"/>
  <c r="L246" i="7"/>
  <c r="M246" i="7"/>
  <c r="L469" i="3"/>
  <c r="L18" i="4"/>
  <c r="M86" i="4"/>
  <c r="L86" i="4"/>
  <c r="L142" i="4"/>
  <c r="M164" i="4"/>
  <c r="L164" i="4"/>
  <c r="M194" i="4"/>
  <c r="L194" i="4"/>
  <c r="K22" i="5"/>
  <c r="E328" i="5" s="1"/>
  <c r="L16" i="5"/>
  <c r="M16" i="5"/>
  <c r="M68" i="5"/>
  <c r="L68" i="5"/>
  <c r="L101" i="5"/>
  <c r="M101" i="5"/>
  <c r="M129" i="5"/>
  <c r="L129" i="5"/>
  <c r="L133" i="5"/>
  <c r="M133" i="5"/>
  <c r="L163" i="5"/>
  <c r="L281" i="5"/>
  <c r="M294" i="5"/>
  <c r="L294" i="5"/>
  <c r="L305" i="5"/>
  <c r="M86" i="6"/>
  <c r="L86" i="6"/>
  <c r="K149" i="6"/>
  <c r="E337" i="6" s="1"/>
  <c r="M127" i="6"/>
  <c r="L127" i="6"/>
  <c r="F249" i="6"/>
  <c r="L180" i="6"/>
  <c r="M180" i="6"/>
  <c r="M5" i="7"/>
  <c r="L5" i="7"/>
  <c r="M279" i="7"/>
  <c r="L279" i="7"/>
  <c r="M8" i="4"/>
  <c r="L8" i="4"/>
  <c r="L57" i="4"/>
  <c r="F87" i="4"/>
  <c r="M61" i="4"/>
  <c r="M87" i="4" s="1"/>
  <c r="L61" i="4"/>
  <c r="M123" i="4"/>
  <c r="M143" i="4"/>
  <c r="L143" i="4"/>
  <c r="L209" i="4"/>
  <c r="M221" i="4"/>
  <c r="L221" i="4"/>
  <c r="K325" i="4"/>
  <c r="E336" i="4" s="1"/>
  <c r="J423" i="4"/>
  <c r="M89" i="5"/>
  <c r="L89" i="5"/>
  <c r="F147" i="5"/>
  <c r="M164" i="5"/>
  <c r="L164" i="5"/>
  <c r="L179" i="5"/>
  <c r="M205" i="5"/>
  <c r="L205" i="5"/>
  <c r="M318" i="5"/>
  <c r="L318" i="5"/>
  <c r="L82" i="6"/>
  <c r="M82" i="6"/>
  <c r="L123" i="6"/>
  <c r="M123" i="6"/>
  <c r="M139" i="6"/>
  <c r="M50" i="7"/>
  <c r="L50" i="7"/>
  <c r="L185" i="7"/>
  <c r="M185" i="7"/>
  <c r="M203" i="4"/>
  <c r="L203" i="4"/>
  <c r="M302" i="4"/>
  <c r="L302" i="4"/>
  <c r="M321" i="4"/>
  <c r="L321" i="4"/>
  <c r="G575" i="4"/>
  <c r="G576" i="4" s="1"/>
  <c r="L499" i="4"/>
  <c r="L575" i="4" s="1"/>
  <c r="L576" i="4" s="1"/>
  <c r="F337" i="4" s="1"/>
  <c r="K499" i="4"/>
  <c r="K575" i="4" s="1"/>
  <c r="K576" i="4" s="1"/>
  <c r="E337" i="4" s="1"/>
  <c r="M231" i="5"/>
  <c r="L231" i="5"/>
  <c r="F575" i="5"/>
  <c r="L467" i="5"/>
  <c r="M54" i="6"/>
  <c r="L54" i="6"/>
  <c r="J89" i="6"/>
  <c r="D336" i="6" s="1"/>
  <c r="M111" i="6"/>
  <c r="L111" i="6"/>
  <c r="L186" i="6"/>
  <c r="M186" i="6"/>
  <c r="L298" i="6"/>
  <c r="M298" i="6"/>
  <c r="L328" i="7"/>
  <c r="M328" i="7"/>
  <c r="F582" i="7"/>
  <c r="F583" i="7" s="1"/>
  <c r="L510" i="7"/>
  <c r="M177" i="4"/>
  <c r="F244" i="4"/>
  <c r="F325" i="4"/>
  <c r="M121" i="5"/>
  <c r="L121" i="5"/>
  <c r="M180" i="5"/>
  <c r="L180" i="5"/>
  <c r="M266" i="5"/>
  <c r="L266" i="5"/>
  <c r="M306" i="5"/>
  <c r="L306" i="5"/>
  <c r="K423" i="5"/>
  <c r="K465" i="5"/>
  <c r="J22" i="6"/>
  <c r="D334" i="6" s="1"/>
  <c r="M39" i="6"/>
  <c r="L39" i="6"/>
  <c r="M60" i="6"/>
  <c r="L60" i="6"/>
  <c r="M140" i="6"/>
  <c r="L140" i="6"/>
  <c r="M200" i="6"/>
  <c r="L200" i="6"/>
  <c r="M9" i="7"/>
  <c r="L9" i="7"/>
  <c r="J313" i="7"/>
  <c r="D340" i="7" s="1"/>
  <c r="C331" i="7"/>
  <c r="F320" i="7"/>
  <c r="K582" i="7"/>
  <c r="K583" i="7" s="1"/>
  <c r="E343" i="7" s="1"/>
  <c r="M311" i="4"/>
  <c r="L311" i="4"/>
  <c r="M50" i="5"/>
  <c r="L50" i="5"/>
  <c r="J87" i="5"/>
  <c r="D330" i="5" s="1"/>
  <c r="M118" i="5"/>
  <c r="L118" i="5"/>
  <c r="F159" i="5"/>
  <c r="L148" i="5"/>
  <c r="M177" i="5"/>
  <c r="L177" i="5"/>
  <c r="F244" i="5"/>
  <c r="M322" i="5"/>
  <c r="L322" i="5"/>
  <c r="G575" i="5"/>
  <c r="G576" i="5" s="1"/>
  <c r="L499" i="5"/>
  <c r="M157" i="6"/>
  <c r="L157" i="6"/>
  <c r="M205" i="6"/>
  <c r="L205" i="6"/>
  <c r="L186" i="7"/>
  <c r="M186" i="7"/>
  <c r="M277" i="4"/>
  <c r="L277" i="4"/>
  <c r="M14" i="5"/>
  <c r="L14" i="5"/>
  <c r="M65" i="5"/>
  <c r="L65" i="5"/>
  <c r="M77" i="5"/>
  <c r="L77" i="5"/>
  <c r="M99" i="5"/>
  <c r="L99" i="5"/>
  <c r="M44" i="6"/>
  <c r="L44" i="6"/>
  <c r="F149" i="7"/>
  <c r="M90" i="7"/>
  <c r="L90" i="7"/>
  <c r="M309" i="7"/>
  <c r="L309" i="7"/>
  <c r="M28" i="5"/>
  <c r="L28" i="5"/>
  <c r="K244" i="5"/>
  <c r="E333" i="5" s="1"/>
  <c r="M229" i="5"/>
  <c r="L229" i="5"/>
  <c r="L113" i="6"/>
  <c r="M113" i="6"/>
  <c r="J306" i="6"/>
  <c r="M117" i="6"/>
  <c r="L117" i="6"/>
  <c r="M177" i="6"/>
  <c r="L177" i="6"/>
  <c r="J149" i="7"/>
  <c r="D337" i="7" s="1"/>
  <c r="L106" i="7"/>
  <c r="M106" i="7"/>
  <c r="M261" i="7"/>
  <c r="L261" i="7"/>
  <c r="M289" i="7"/>
  <c r="L289" i="7"/>
  <c r="M225" i="4"/>
  <c r="L225" i="4"/>
  <c r="J307" i="4"/>
  <c r="D334" i="4" s="1"/>
  <c r="M252" i="4"/>
  <c r="L252" i="4"/>
  <c r="M296" i="4"/>
  <c r="L296" i="4"/>
  <c r="J147" i="5"/>
  <c r="D331" i="5" s="1"/>
  <c r="M134" i="5"/>
  <c r="L134" i="5"/>
  <c r="M156" i="5"/>
  <c r="L156" i="5"/>
  <c r="M292" i="5"/>
  <c r="L292" i="5"/>
  <c r="M296" i="5"/>
  <c r="L296" i="5"/>
  <c r="L345" i="5"/>
  <c r="L423" i="5" s="1"/>
  <c r="F423" i="5"/>
  <c r="M25" i="6"/>
  <c r="M61" i="6" s="1"/>
  <c r="L25" i="6"/>
  <c r="L29" i="6"/>
  <c r="M29" i="6"/>
  <c r="M77" i="6"/>
  <c r="L77" i="6"/>
  <c r="M105" i="6"/>
  <c r="M149" i="6" s="1"/>
  <c r="L105" i="6"/>
  <c r="M325" i="6"/>
  <c r="L325" i="6"/>
  <c r="M52" i="7"/>
  <c r="L52" i="7"/>
  <c r="L110" i="7"/>
  <c r="M110" i="7"/>
  <c r="L240" i="7"/>
  <c r="M240" i="7"/>
  <c r="M265" i="7"/>
  <c r="L265" i="7"/>
  <c r="M269" i="7"/>
  <c r="L269" i="7"/>
  <c r="L499" i="3"/>
  <c r="L575" i="3" s="1"/>
  <c r="L576" i="3" s="1"/>
  <c r="F337" i="3" s="1"/>
  <c r="L115" i="4"/>
  <c r="M171" i="4"/>
  <c r="M273" i="4"/>
  <c r="M308" i="4"/>
  <c r="L308" i="4"/>
  <c r="L24" i="5"/>
  <c r="L73" i="5"/>
  <c r="K147" i="5"/>
  <c r="E331" i="5" s="1"/>
  <c r="M107" i="5"/>
  <c r="M115" i="5"/>
  <c r="J300" i="5"/>
  <c r="J307" i="5" s="1"/>
  <c r="D334" i="5" s="1"/>
  <c r="L115" i="5"/>
  <c r="L126" i="5"/>
  <c r="M166" i="5"/>
  <c r="M174" i="5"/>
  <c r="L174" i="5"/>
  <c r="L186" i="5"/>
  <c r="M210" i="5"/>
  <c r="L210" i="5"/>
  <c r="M241" i="5"/>
  <c r="L241" i="5"/>
  <c r="M264" i="5"/>
  <c r="L264" i="5"/>
  <c r="J423" i="5"/>
  <c r="M142" i="6"/>
  <c r="L142" i="6"/>
  <c r="L321" i="6"/>
  <c r="F331" i="6"/>
  <c r="F443" i="6"/>
  <c r="L432" i="6"/>
  <c r="L443" i="6" s="1"/>
  <c r="L86" i="7"/>
  <c r="M86" i="7"/>
  <c r="M291" i="5"/>
  <c r="L291" i="5"/>
  <c r="M319" i="5"/>
  <c r="L319" i="5"/>
  <c r="J465" i="5"/>
  <c r="M3" i="6"/>
  <c r="M24" i="6"/>
  <c r="L24" i="6"/>
  <c r="F582" i="6"/>
  <c r="L473" i="6"/>
  <c r="L582" i="6" s="1"/>
  <c r="H583" i="6"/>
  <c r="L25" i="7"/>
  <c r="M25" i="7"/>
  <c r="M61" i="7" s="1"/>
  <c r="M87" i="7"/>
  <c r="L87" i="7"/>
  <c r="M130" i="7"/>
  <c r="L130" i="7"/>
  <c r="L169" i="7"/>
  <c r="M169" i="7"/>
  <c r="M275" i="7"/>
  <c r="L275" i="7"/>
  <c r="J582" i="7"/>
  <c r="M223" i="5"/>
  <c r="L223" i="5"/>
  <c r="M288" i="5"/>
  <c r="L288" i="5"/>
  <c r="L465" i="5"/>
  <c r="L575" i="5"/>
  <c r="L576" i="5" s="1"/>
  <c r="F337" i="5" s="1"/>
  <c r="M36" i="6"/>
  <c r="L36" i="6"/>
  <c r="L61" i="6" s="1"/>
  <c r="F335" i="6" s="1"/>
  <c r="F89" i="6"/>
  <c r="L63" i="6"/>
  <c r="L89" i="6" s="1"/>
  <c r="F336" i="6" s="1"/>
  <c r="M74" i="6"/>
  <c r="L74" i="6"/>
  <c r="M124" i="6"/>
  <c r="L124" i="6"/>
  <c r="M212" i="6"/>
  <c r="L212" i="6"/>
  <c r="M253" i="6"/>
  <c r="M313" i="6" s="1"/>
  <c r="L253" i="6"/>
  <c r="L313" i="6" s="1"/>
  <c r="F340" i="6" s="1"/>
  <c r="M285" i="6"/>
  <c r="L285" i="6"/>
  <c r="K331" i="6"/>
  <c r="E342" i="6" s="1"/>
  <c r="L318" i="6"/>
  <c r="L331" i="6" s="1"/>
  <c r="F342" i="6" s="1"/>
  <c r="M318" i="6"/>
  <c r="M331" i="6" s="1"/>
  <c r="M322" i="6"/>
  <c r="L322" i="6"/>
  <c r="K582" i="6"/>
  <c r="L582" i="7"/>
  <c r="M282" i="5"/>
  <c r="L282" i="5"/>
  <c r="E576" i="5"/>
  <c r="M33" i="6"/>
  <c r="L33" i="6"/>
  <c r="M121" i="6"/>
  <c r="L121" i="6"/>
  <c r="M197" i="6"/>
  <c r="L197" i="6"/>
  <c r="M274" i="6"/>
  <c r="L274" i="6"/>
  <c r="M303" i="6"/>
  <c r="L303" i="6"/>
  <c r="K443" i="6"/>
  <c r="J472" i="6"/>
  <c r="C22" i="7"/>
  <c r="M72" i="7"/>
  <c r="L72" i="7"/>
  <c r="M171" i="7"/>
  <c r="L171" i="7"/>
  <c r="L209" i="7"/>
  <c r="M209" i="7"/>
  <c r="M281" i="7"/>
  <c r="L281" i="7"/>
  <c r="L314" i="7"/>
  <c r="M314" i="7"/>
  <c r="F331" i="7"/>
  <c r="L430" i="7"/>
  <c r="Z102" i="9"/>
  <c r="C62" i="9"/>
  <c r="AD45" i="9"/>
  <c r="M16" i="6"/>
  <c r="L16" i="6"/>
  <c r="M246" i="6"/>
  <c r="L246" i="6"/>
  <c r="L299" i="6"/>
  <c r="M299" i="6"/>
  <c r="F3" i="7"/>
  <c r="M31" i="7"/>
  <c r="L31" i="7"/>
  <c r="L61" i="7" s="1"/>
  <c r="F335" i="7" s="1"/>
  <c r="L132" i="7"/>
  <c r="M132" i="7"/>
  <c r="L193" i="7"/>
  <c r="M193" i="7"/>
  <c r="L225" i="7"/>
  <c r="M225" i="7"/>
  <c r="M229" i="7"/>
  <c r="L229" i="7"/>
  <c r="J331" i="7"/>
  <c r="D342" i="7" s="1"/>
  <c r="J430" i="7"/>
  <c r="K18" i="8"/>
  <c r="B38" i="8" s="1"/>
  <c r="AA102" i="9"/>
  <c r="M272" i="5"/>
  <c r="L272" i="5"/>
  <c r="M83" i="6"/>
  <c r="L83" i="6"/>
  <c r="M95" i="6"/>
  <c r="L95" i="6"/>
  <c r="M152" i="6"/>
  <c r="L152" i="6"/>
  <c r="L174" i="6"/>
  <c r="M174" i="6"/>
  <c r="M291" i="6"/>
  <c r="L291" i="6"/>
  <c r="J22" i="7"/>
  <c r="D334" i="7" s="1"/>
  <c r="M97" i="7"/>
  <c r="L97" i="7"/>
  <c r="L323" i="7"/>
  <c r="M323" i="7"/>
  <c r="L268" i="4"/>
  <c r="L293" i="4"/>
  <c r="L318" i="4"/>
  <c r="L437" i="4"/>
  <c r="L465" i="4" s="1"/>
  <c r="L41" i="5"/>
  <c r="L47" i="5"/>
  <c r="L62" i="5"/>
  <c r="L96" i="5"/>
  <c r="L112" i="5"/>
  <c r="L128" i="5"/>
  <c r="L144" i="5"/>
  <c r="L153" i="5"/>
  <c r="L171" i="5"/>
  <c r="L197" i="5"/>
  <c r="M207" i="5"/>
  <c r="M217" i="5"/>
  <c r="L238" i="5"/>
  <c r="M242" i="5"/>
  <c r="L242" i="5"/>
  <c r="L251" i="5"/>
  <c r="L258" i="5"/>
  <c r="L268" i="5"/>
  <c r="L317" i="5"/>
  <c r="F436" i="5"/>
  <c r="M45" i="6"/>
  <c r="L45" i="6"/>
  <c r="M129" i="6"/>
  <c r="M137" i="6"/>
  <c r="L137" i="6"/>
  <c r="L148" i="6"/>
  <c r="L170" i="6"/>
  <c r="M198" i="6"/>
  <c r="L198" i="6"/>
  <c r="M222" i="6"/>
  <c r="L222" i="6"/>
  <c r="M275" i="6"/>
  <c r="L275" i="6"/>
  <c r="J61" i="7"/>
  <c r="D335" i="7" s="1"/>
  <c r="M39" i="7"/>
  <c r="L39" i="7"/>
  <c r="M113" i="7"/>
  <c r="L113" i="7"/>
  <c r="M120" i="7"/>
  <c r="L197" i="7"/>
  <c r="L249" i="7" s="1"/>
  <c r="M302" i="7"/>
  <c r="L302" i="7"/>
  <c r="L443" i="7"/>
  <c r="J472" i="7"/>
  <c r="M204" i="5"/>
  <c r="M297" i="5"/>
  <c r="L297" i="5"/>
  <c r="L300" i="5"/>
  <c r="M30" i="6"/>
  <c r="L30" i="6"/>
  <c r="M41" i="6"/>
  <c r="L57" i="6"/>
  <c r="M79" i="6"/>
  <c r="L110" i="6"/>
  <c r="F149" i="6"/>
  <c r="L193" i="6"/>
  <c r="L249" i="6" s="1"/>
  <c r="F339" i="6" s="1"/>
  <c r="M263" i="6"/>
  <c r="L263" i="6"/>
  <c r="L287" i="6"/>
  <c r="M287" i="6"/>
  <c r="M316" i="6"/>
  <c r="L316" i="6"/>
  <c r="M324" i="6"/>
  <c r="L324" i="6"/>
  <c r="J430" i="6"/>
  <c r="K61" i="7"/>
  <c r="E335" i="7" s="1"/>
  <c r="E344" i="7" s="1"/>
  <c r="L27" i="7"/>
  <c r="L51" i="7"/>
  <c r="M153" i="7"/>
  <c r="L153" i="7"/>
  <c r="L161" i="7" s="1"/>
  <c r="F338" i="7" s="1"/>
  <c r="L198" i="7"/>
  <c r="M198" i="7"/>
  <c r="M202" i="7"/>
  <c r="L202" i="7"/>
  <c r="L230" i="7"/>
  <c r="M230" i="7"/>
  <c r="M234" i="7"/>
  <c r="L234" i="7"/>
  <c r="L311" i="7"/>
  <c r="M311" i="7"/>
  <c r="K472" i="6"/>
  <c r="J582" i="6"/>
  <c r="M6" i="7"/>
  <c r="L6" i="7"/>
  <c r="L148" i="7"/>
  <c r="M148" i="7"/>
  <c r="L241" i="7"/>
  <c r="M241" i="7"/>
  <c r="M272" i="7"/>
  <c r="L272" i="7"/>
  <c r="M288" i="7"/>
  <c r="L288" i="7"/>
  <c r="F443" i="7"/>
  <c r="L434" i="7"/>
  <c r="M219" i="6"/>
  <c r="L219" i="6"/>
  <c r="M238" i="6"/>
  <c r="L238" i="6"/>
  <c r="M260" i="6"/>
  <c r="L260" i="6"/>
  <c r="M310" i="6"/>
  <c r="L310" i="6"/>
  <c r="M56" i="7"/>
  <c r="L56" i="7"/>
  <c r="M83" i="7"/>
  <c r="L83" i="7"/>
  <c r="M160" i="7"/>
  <c r="L160" i="7"/>
  <c r="M304" i="7"/>
  <c r="L304" i="7"/>
  <c r="M216" i="6"/>
  <c r="L216" i="6"/>
  <c r="M235" i="6"/>
  <c r="L235" i="6"/>
  <c r="M257" i="6"/>
  <c r="L257" i="6"/>
  <c r="M307" i="6"/>
  <c r="L307" i="6"/>
  <c r="M80" i="7"/>
  <c r="M89" i="7" s="1"/>
  <c r="L80" i="7"/>
  <c r="M187" i="7"/>
  <c r="L187" i="7"/>
  <c r="L277" i="7"/>
  <c r="M277" i="7"/>
  <c r="K331" i="7"/>
  <c r="E342" i="7" s="1"/>
  <c r="K443" i="7"/>
  <c r="N8" i="9"/>
  <c r="K102" i="9"/>
  <c r="AB102" i="9"/>
  <c r="J4" i="9"/>
  <c r="J8" i="9" s="1"/>
  <c r="AD57" i="9"/>
  <c r="M288" i="6"/>
  <c r="L288" i="6"/>
  <c r="D583" i="6"/>
  <c r="L293" i="7"/>
  <c r="L313" i="7" s="1"/>
  <c r="F340" i="7" s="1"/>
  <c r="M293" i="7"/>
  <c r="G582" i="7"/>
  <c r="G583" i="7" s="1"/>
  <c r="L506" i="7"/>
  <c r="M319" i="6"/>
  <c r="L319" i="6"/>
  <c r="M104" i="7"/>
  <c r="L104" i="7"/>
  <c r="M146" i="7"/>
  <c r="L146" i="7"/>
  <c r="M286" i="7"/>
  <c r="L286" i="7"/>
  <c r="M321" i="7"/>
  <c r="L321" i="7"/>
  <c r="H583" i="7"/>
  <c r="AD42" i="9"/>
  <c r="L424" i="5"/>
  <c r="L436" i="5" s="1"/>
  <c r="L13" i="6"/>
  <c r="L52" i="6"/>
  <c r="L59" i="6"/>
  <c r="L68" i="6"/>
  <c r="L102" i="6"/>
  <c r="L149" i="6" s="1"/>
  <c r="F337" i="6" s="1"/>
  <c r="L118" i="6"/>
  <c r="L134" i="6"/>
  <c r="L159" i="6"/>
  <c r="L171" i="6"/>
  <c r="L188" i="6" s="1"/>
  <c r="F341" i="6" s="1"/>
  <c r="L202" i="6"/>
  <c r="L224" i="6"/>
  <c r="J313" i="6"/>
  <c r="D340" i="6" s="1"/>
  <c r="M269" i="6"/>
  <c r="L269" i="6"/>
  <c r="L11" i="7"/>
  <c r="L19" i="7"/>
  <c r="M45" i="7"/>
  <c r="L45" i="7"/>
  <c r="M77" i="7"/>
  <c r="L77" i="7"/>
  <c r="M138" i="7"/>
  <c r="L142" i="7"/>
  <c r="M142" i="7"/>
  <c r="M180" i="7"/>
  <c r="F249" i="7"/>
  <c r="L180" i="7"/>
  <c r="M204" i="7"/>
  <c r="L219" i="7"/>
  <c r="M254" i="7"/>
  <c r="L258" i="7"/>
  <c r="K472" i="7"/>
  <c r="K506" i="7"/>
  <c r="I583" i="7"/>
  <c r="M232" i="6"/>
  <c r="L232" i="6"/>
  <c r="K313" i="6"/>
  <c r="E340" i="6" s="1"/>
  <c r="L296" i="6"/>
  <c r="K430" i="6"/>
  <c r="M12" i="7"/>
  <c r="L12" i="7"/>
  <c r="L85" i="7"/>
  <c r="M85" i="7"/>
  <c r="L164" i="7"/>
  <c r="L188" i="7" s="1"/>
  <c r="F341" i="7" s="1"/>
  <c r="J249" i="7"/>
  <c r="D339" i="7" s="1"/>
  <c r="M220" i="7"/>
  <c r="L220" i="7"/>
  <c r="M250" i="7"/>
  <c r="L255" i="7"/>
  <c r="M255" i="7"/>
  <c r="M259" i="7"/>
  <c r="L259" i="7"/>
  <c r="K532" i="7"/>
  <c r="L532" i="7"/>
  <c r="K313" i="7"/>
  <c r="E340" i="7" s="1"/>
  <c r="E583" i="7"/>
  <c r="E30" i="8"/>
  <c r="I102" i="9"/>
  <c r="J89" i="7"/>
  <c r="D336" i="7" s="1"/>
  <c r="AC103" i="9"/>
  <c r="AC102" i="9" s="1"/>
  <c r="M103" i="9"/>
  <c r="M102" i="9" s="1"/>
  <c r="V103" i="9"/>
  <c r="K149" i="7"/>
  <c r="E337" i="7" s="1"/>
  <c r="G8" i="9"/>
  <c r="Q8" i="9"/>
  <c r="Q62" i="9"/>
  <c r="AD92" i="9"/>
  <c r="N94" i="9"/>
  <c r="Q103" i="9"/>
  <c r="AA103" i="9"/>
  <c r="W102" i="9"/>
  <c r="AD94" i="9"/>
  <c r="S103" i="9"/>
  <c r="S102" i="9" s="1"/>
  <c r="P102" i="9"/>
  <c r="L213" i="6"/>
  <c r="L229" i="6"/>
  <c r="L245" i="6"/>
  <c r="L254" i="6"/>
  <c r="L282" i="6"/>
  <c r="L304" i="6"/>
  <c r="L318" i="7"/>
  <c r="L325" i="7"/>
  <c r="F472" i="7"/>
  <c r="L444" i="7"/>
  <c r="L472" i="7" s="1"/>
  <c r="X102" i="9"/>
  <c r="T103" i="9"/>
  <c r="T102" i="9" s="1"/>
  <c r="Q102" i="9"/>
  <c r="L60" i="7"/>
  <c r="L74" i="7"/>
  <c r="L129" i="7"/>
  <c r="M143" i="7"/>
  <c r="M170" i="7"/>
  <c r="L252" i="7"/>
  <c r="M283" i="7"/>
  <c r="M297" i="7"/>
  <c r="L308" i="7"/>
  <c r="K50" i="8"/>
  <c r="H102" i="9"/>
  <c r="Y102" i="9"/>
  <c r="D103" i="9"/>
  <c r="D102" i="9" s="1"/>
  <c r="U103" i="9"/>
  <c r="U102" i="9" s="1"/>
  <c r="AD98" i="9"/>
  <c r="F102" i="9"/>
  <c r="K103" i="9"/>
  <c r="AD100" i="9"/>
  <c r="AE120" i="9"/>
  <c r="B103" i="9"/>
  <c r="F339" i="7" l="1"/>
  <c r="D338" i="5"/>
  <c r="B39" i="8"/>
  <c r="M87" i="3"/>
  <c r="M183" i="5"/>
  <c r="F565" i="2"/>
  <c r="D344" i="7"/>
  <c r="L87" i="5"/>
  <c r="F330" i="5" s="1"/>
  <c r="L322" i="2"/>
  <c r="F332" i="2" s="1"/>
  <c r="F22" i="2"/>
  <c r="M3" i="2"/>
  <c r="M22" i="2" s="1"/>
  <c r="L3" i="2"/>
  <c r="L22" i="2" s="1"/>
  <c r="F325" i="2" s="1"/>
  <c r="J583" i="6"/>
  <c r="D343" i="6" s="1"/>
  <c r="F583" i="6"/>
  <c r="M87" i="5"/>
  <c r="M322" i="2"/>
  <c r="L244" i="4"/>
  <c r="F333" i="4" s="1"/>
  <c r="N103" i="9"/>
  <c r="N102" i="9" s="1"/>
  <c r="E338" i="4"/>
  <c r="L147" i="4"/>
  <c r="F331" i="4" s="1"/>
  <c r="L60" i="4"/>
  <c r="F329" i="4" s="1"/>
  <c r="M159" i="3"/>
  <c r="M60" i="3"/>
  <c r="F22" i="7"/>
  <c r="M3" i="7"/>
  <c r="M22" i="7" s="1"/>
  <c r="L3" i="7"/>
  <c r="L22" i="7" s="1"/>
  <c r="F334" i="7" s="1"/>
  <c r="L87" i="3"/>
  <c r="F330" i="3" s="1"/>
  <c r="M320" i="7"/>
  <c r="L320" i="7"/>
  <c r="L331" i="7" s="1"/>
  <c r="F342" i="7" s="1"/>
  <c r="K576" i="5"/>
  <c r="E337" i="5" s="1"/>
  <c r="E338" i="5" s="1"/>
  <c r="J576" i="5"/>
  <c r="D337" i="5" s="1"/>
  <c r="J576" i="3"/>
  <c r="D337" i="3" s="1"/>
  <c r="D338" i="3" s="1"/>
  <c r="L159" i="5"/>
  <c r="F332" i="5" s="1"/>
  <c r="L147" i="5"/>
  <c r="F331" i="5" s="1"/>
  <c r="M161" i="7"/>
  <c r="L60" i="3"/>
  <c r="F329" i="3" s="1"/>
  <c r="L13" i="5"/>
  <c r="M13" i="5"/>
  <c r="M22" i="5" s="1"/>
  <c r="L181" i="2"/>
  <c r="M325" i="5"/>
  <c r="D344" i="6"/>
  <c r="AG20" i="1"/>
  <c r="AI3" i="1"/>
  <c r="AI20" i="1" s="1"/>
  <c r="AG109" i="1" s="1"/>
  <c r="AG114" i="1" s="1"/>
  <c r="M183" i="3"/>
  <c r="M244" i="3" s="1"/>
  <c r="L242" i="2"/>
  <c r="L183" i="5"/>
  <c r="F335" i="5" s="1"/>
  <c r="L87" i="4"/>
  <c r="F330" i="4" s="1"/>
  <c r="J583" i="7"/>
  <c r="D343" i="7" s="1"/>
  <c r="M244" i="5"/>
  <c r="AD8" i="9"/>
  <c r="L60" i="5"/>
  <c r="F329" i="5" s="1"/>
  <c r="M147" i="5"/>
  <c r="L89" i="7"/>
  <c r="F336" i="7" s="1"/>
  <c r="M60" i="4"/>
  <c r="M181" i="2"/>
  <c r="M242" i="2" s="1"/>
  <c r="E338" i="3"/>
  <c r="M313" i="7"/>
  <c r="L103" i="9"/>
  <c r="L102" i="9" s="1"/>
  <c r="L159" i="4"/>
  <c r="F332" i="4" s="1"/>
  <c r="M331" i="7"/>
  <c r="M147" i="3"/>
  <c r="AD99" i="9"/>
  <c r="B102" i="9"/>
  <c r="AD102" i="9" s="1"/>
  <c r="M3" i="4"/>
  <c r="M22" i="4" s="1"/>
  <c r="L3" i="4"/>
  <c r="L22" i="4" s="1"/>
  <c r="F328" i="4" s="1"/>
  <c r="F22" i="4"/>
  <c r="L583" i="6"/>
  <c r="F343" i="6" s="1"/>
  <c r="L325" i="4"/>
  <c r="F336" i="4" s="1"/>
  <c r="L22" i="5"/>
  <c r="F328" i="5" s="1"/>
  <c r="M159" i="4"/>
  <c r="AG113" i="1"/>
  <c r="AG115" i="1" s="1"/>
  <c r="AD62" i="9"/>
  <c r="M325" i="4"/>
  <c r="L149" i="7"/>
  <c r="F337" i="7" s="1"/>
  <c r="M244" i="4"/>
  <c r="M3" i="3"/>
  <c r="M22" i="3" s="1"/>
  <c r="L3" i="3"/>
  <c r="L22" i="3" s="1"/>
  <c r="F328" i="3" s="1"/>
  <c r="F22" i="3"/>
  <c r="F576" i="3"/>
  <c r="L18" i="6"/>
  <c r="L22" i="6" s="1"/>
  <c r="F334" i="6" s="1"/>
  <c r="F344" i="6" s="1"/>
  <c r="F347" i="6" s="1"/>
  <c r="M18" i="6"/>
  <c r="M22" i="6" s="1"/>
  <c r="M249" i="7"/>
  <c r="L583" i="7"/>
  <c r="F343" i="7" s="1"/>
  <c r="K583" i="6"/>
  <c r="E343" i="6" s="1"/>
  <c r="E344" i="6" s="1"/>
  <c r="F576" i="5"/>
  <c r="M149" i="7"/>
  <c r="M249" i="6"/>
  <c r="L244" i="5"/>
  <c r="F338" i="4" l="1"/>
  <c r="F341" i="4" s="1"/>
  <c r="H341" i="4" s="1"/>
  <c r="AD103" i="9"/>
  <c r="F344" i="7"/>
  <c r="F347" i="7" s="1"/>
  <c r="F338" i="3"/>
  <c r="F341" i="3" s="1"/>
  <c r="H341" i="3" s="1"/>
  <c r="I334" i="7"/>
  <c r="I346" i="7" s="1"/>
  <c r="I334" i="6"/>
  <c r="I346" i="6" s="1"/>
  <c r="H347" i="6" s="1"/>
  <c r="F330" i="2"/>
  <c r="F334" i="2" s="1"/>
  <c r="H337" i="2" s="1"/>
  <c r="F333" i="5"/>
  <c r="F338" i="5" s="1"/>
  <c r="F341" i="5" s="1"/>
  <c r="H341" i="5" s="1"/>
  <c r="H34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tc={93ef2cee-04bd-4179-a2df-fde5422a37a9}</author>
    <author>tc={7463ab75-cc0e-4d28-adf3-a53bc5ffaa08}</author>
    <author>tc={19074c20-241b-480a-9792-64b13e213477}</author>
    <author>tc={d8d09d03-cad4-481f-b641-760ae585776a}</author>
  </authors>
  <commentList>
    <comment ref="E112" authorId="0" shapeId="0" xr:uid="{93EF2CEE-04BD-4179-A2DF-FDE5422A3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LEO</t>
      </text>
    </comment>
    <comment ref="M112" authorId="1" shapeId="0" xr:uid="{7463AB75-CC0E-4D28-ADF3-A53BC5FFAA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COSTEÑA LATA</t>
      </text>
    </comment>
    <comment ref="N112" authorId="2" shapeId="0" xr:uid="{19074C20-241B-480A-9792-64B13E2134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ENRIQUE</t>
      </text>
    </comment>
    <comment ref="R112" authorId="3" shapeId="0" xr:uid="{D8D09D03-CAD4-481F-B641-760AE58577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COSTEÑA LATA 160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tc={ebb67534-2af9-445f-9340-62ca2f57864e}</author>
    <author>tc={78255ea7-54a6-410c-b3b4-8956a556b624}</author>
    <author/>
  </authors>
  <commentList>
    <comment ref="M25" authorId="0" shapeId="0" xr:uid="{EBB67534-2AF9-445F-9340-62CA2F5786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CENTRAL LATA</t>
      </text>
    </comment>
    <comment ref="C52" authorId="1" shapeId="0" xr:uid="{78255EA7-54A6-410C-B3B4-8956A556B6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COCA COLA</t>
      </text>
    </comment>
    <comment ref="Q83" authorId="2" shapeId="0" xr:uid="{00000000-0006-0000-0800-000001000000}">
      <text>
        <r>
          <rPr>
            <sz val="10"/>
            <color rgb="FF000000"/>
            <rFont val="Arial"/>
            <scheme val="minor"/>
          </rPr>
          <t>ARCHIVADOR</t>
        </r>
      </text>
    </comment>
  </commentList>
</comments>
</file>

<file path=xl/sharedStrings.xml><?xml version="1.0" encoding="utf-8"?>
<sst xmlns="http://schemas.openxmlformats.org/spreadsheetml/2006/main" count="3964" uniqueCount="837">
  <si>
    <t>CANTIDAD TOTAL</t>
  </si>
  <si>
    <t>COSTO CANASTA</t>
  </si>
  <si>
    <t>VALOR PRODUCTO</t>
  </si>
  <si>
    <t>CERVEZA BAVARIA</t>
  </si>
  <si>
    <t xml:space="preserve">AGUILA </t>
  </si>
  <si>
    <t>AGUILA 1 LT *13</t>
  </si>
  <si>
    <t>IMPERIAL</t>
  </si>
  <si>
    <t>BACANA X 30</t>
  </si>
  <si>
    <t>CLUB 850 *13</t>
  </si>
  <si>
    <t>CLUB COL</t>
  </si>
  <si>
    <t>CLUB ROJA</t>
  </si>
  <si>
    <t>COLA Y POLA X 30</t>
  </si>
  <si>
    <t>POKER 1 LT x13</t>
  </si>
  <si>
    <t xml:space="preserve">COSTEÑA </t>
  </si>
  <si>
    <t>CLUB TRIGO</t>
  </si>
  <si>
    <t>COSTEÑA 750 *16</t>
  </si>
  <si>
    <t>COSTEÑITA *38</t>
  </si>
  <si>
    <t>LIGHT</t>
  </si>
  <si>
    <t>POKER</t>
  </si>
  <si>
    <t>POKER 750 x 16</t>
  </si>
  <si>
    <t>AGUILA 750</t>
  </si>
  <si>
    <t>AGUILA LATA x6</t>
  </si>
  <si>
    <t>CORONITA 210 x6</t>
  </si>
  <si>
    <t>COSTEÑA</t>
  </si>
  <si>
    <t>modelo</t>
  </si>
  <si>
    <t>CORONA LATA</t>
  </si>
  <si>
    <t>POKER LATA</t>
  </si>
  <si>
    <t>LIGHT LATA</t>
  </si>
  <si>
    <t>CLUB LATA</t>
  </si>
  <si>
    <t>BUD 250</t>
  </si>
  <si>
    <t>BUD LATA</t>
  </si>
  <si>
    <t>COLA Y POLA 1.5</t>
  </si>
  <si>
    <t>COLA Y POLA LT</t>
  </si>
  <si>
    <t>CORONA</t>
  </si>
  <si>
    <t>PONY X30</t>
  </si>
  <si>
    <t>PONY MINI X 30</t>
  </si>
  <si>
    <t>PONY PET X 330</t>
  </si>
  <si>
    <t>PONY 1 LT</t>
  </si>
  <si>
    <t>PONY 1.5 LT</t>
  </si>
  <si>
    <t>TRES CORD LATA</t>
  </si>
  <si>
    <t>ANDINA LATA</t>
  </si>
  <si>
    <t>ANDINA X 30</t>
  </si>
  <si>
    <t>CENTRAL LATA</t>
  </si>
  <si>
    <t>SOL LATA</t>
  </si>
  <si>
    <t>CENTRAL 330*30</t>
  </si>
  <si>
    <t>ANDINA LIGHT</t>
  </si>
  <si>
    <t>TEKATE 330 BOTELLA</t>
  </si>
  <si>
    <t>TEKATE 750 BOTELLA</t>
  </si>
  <si>
    <t>HEINEKEN 330*24</t>
  </si>
  <si>
    <t>TECATE LATA</t>
  </si>
  <si>
    <t>RON 1/2</t>
  </si>
  <si>
    <t>RON 750</t>
  </si>
  <si>
    <t>AMARILLO 1000 TBK</t>
  </si>
  <si>
    <t>AMARILLO 750</t>
  </si>
  <si>
    <t>AMARILLO 375</t>
  </si>
  <si>
    <t>LIDER 1/2</t>
  </si>
  <si>
    <t>LIDER 2LT</t>
  </si>
  <si>
    <t>LIDER 1/4</t>
  </si>
  <si>
    <t>LIDER 750</t>
  </si>
  <si>
    <t>ONIX MEDIA</t>
  </si>
  <si>
    <t>ONIX AMARILLO</t>
  </si>
  <si>
    <t>JHON TOMMAS</t>
  </si>
  <si>
    <t>ANTIOQUEÑO</t>
  </si>
  <si>
    <t>ANTIOQUEÑO MEDIA</t>
  </si>
  <si>
    <t>COCA 237</t>
  </si>
  <si>
    <t>COCA 350</t>
  </si>
  <si>
    <t>COCA 400</t>
  </si>
  <si>
    <t>COCA 250</t>
  </si>
  <si>
    <t>COCA 2.25 LT</t>
  </si>
  <si>
    <t>COCA 1.5 lt</t>
  </si>
  <si>
    <t>COCA 2 LT</t>
  </si>
  <si>
    <t>COCA 3 LT</t>
  </si>
  <si>
    <t>COCA LT</t>
  </si>
  <si>
    <t>COCA LT PET</t>
  </si>
  <si>
    <t>QUATRO 400</t>
  </si>
  <si>
    <t>QUATRO 1.5</t>
  </si>
  <si>
    <t>SODA 400</t>
  </si>
  <si>
    <t>VALLE 400</t>
  </si>
  <si>
    <t>BRISA SABOR 280</t>
  </si>
  <si>
    <t>BRISA 600</t>
  </si>
  <si>
    <t>POST 250</t>
  </si>
  <si>
    <t>POST 2.5</t>
  </si>
  <si>
    <t>POST 1.5</t>
  </si>
  <si>
    <t>POST 350</t>
  </si>
  <si>
    <t>POST 3 LT</t>
  </si>
  <si>
    <t>POST 400</t>
  </si>
  <si>
    <t>HIT 350</t>
  </si>
  <si>
    <t>HIT 500</t>
  </si>
  <si>
    <t>HIT 300</t>
  </si>
  <si>
    <t>HIT 200 X 24</t>
  </si>
  <si>
    <t>HIT 1.5 LT</t>
  </si>
  <si>
    <t>HIT 250</t>
  </si>
  <si>
    <t>MR TE 250*30</t>
  </si>
  <si>
    <t>CRISTAL 600</t>
  </si>
  <si>
    <t>CRISTAL 300</t>
  </si>
  <si>
    <t>CRISTAL 300 GAS</t>
  </si>
  <si>
    <t>CRISTAL BOTELLON</t>
  </si>
  <si>
    <t>CRISTAL LT</t>
  </si>
  <si>
    <t>SPEED</t>
  </si>
  <si>
    <t>BRETAÑA 300</t>
  </si>
  <si>
    <t>ECONOLITRO</t>
  </si>
  <si>
    <t>GATORADE</t>
  </si>
  <si>
    <t>TROPICOLA 1.5</t>
  </si>
  <si>
    <t xml:space="preserve">AGUA POOL </t>
  </si>
  <si>
    <t>MR TE 500</t>
  </si>
  <si>
    <t>MUSTANG 10</t>
  </si>
  <si>
    <t xml:space="preserve">MUSTANG 20 </t>
  </si>
  <si>
    <t>LUKY 10</t>
  </si>
  <si>
    <t>FUSION</t>
  </si>
  <si>
    <t>TOTAL CERVEZA</t>
  </si>
  <si>
    <t>VARIOS</t>
  </si>
  <si>
    <t>NEQUI</t>
  </si>
  <si>
    <t>EFECTIVO</t>
  </si>
  <si>
    <t>VALOR SALIDA DIARIA</t>
  </si>
  <si>
    <t xml:space="preserve">SALDO </t>
  </si>
  <si>
    <t>VIAJE</t>
  </si>
  <si>
    <t>consignacion</t>
  </si>
  <si>
    <t>DEL 1-10</t>
  </si>
  <si>
    <t>VENTA</t>
  </si>
  <si>
    <t>A FAVOR</t>
  </si>
  <si>
    <t>ENRIQUE</t>
  </si>
  <si>
    <t>CESANTIAS</t>
  </si>
  <si>
    <t>asopagos</t>
  </si>
  <si>
    <t>a favor</t>
  </si>
  <si>
    <t xml:space="preserve"> </t>
  </si>
  <si>
    <t>INICIAL</t>
  </si>
  <si>
    <t>INGRESO</t>
  </si>
  <si>
    <t>SALIDA</t>
  </si>
  <si>
    <t>VENTA CANASTA</t>
  </si>
  <si>
    <t>CAJAS VENDIDAS</t>
  </si>
  <si>
    <t>TOTAL VENTA FINAL DIA</t>
  </si>
  <si>
    <t>UTILIDAD</t>
  </si>
  <si>
    <t>AGUILA IMPERIAL</t>
  </si>
  <si>
    <t>CORONA RET</t>
  </si>
  <si>
    <t>POKER 750</t>
  </si>
  <si>
    <t>LIGHT 1.000</t>
  </si>
  <si>
    <t>LIGHT 750</t>
  </si>
  <si>
    <t>CERVEZA EN LATA BAVARIA</t>
  </si>
  <si>
    <t>AGUILA 269 x6</t>
  </si>
  <si>
    <t>AZTECA X6</t>
  </si>
  <si>
    <t xml:space="preserve">BACANA LATA </t>
  </si>
  <si>
    <t>BACANA 269</t>
  </si>
  <si>
    <t>CLUB 473</t>
  </si>
  <si>
    <t>CLUB TRIGO LT</t>
  </si>
  <si>
    <t>BUDW LATA 269x6</t>
  </si>
  <si>
    <t>BUDWISER BT 250x6</t>
  </si>
  <si>
    <t>CLUB DORADA lata 330 x6</t>
  </si>
  <si>
    <t>CLUB NEGRA lata x6</t>
  </si>
  <si>
    <t>CLUB ROJA lata x6</t>
  </si>
  <si>
    <t>COLA Y POLA 1,5LTS X6</t>
  </si>
  <si>
    <t>COLA Y POLA 330 SIX</t>
  </si>
  <si>
    <t>águila Zero lata</t>
  </si>
  <si>
    <t>CORONA 330 bt x6</t>
  </si>
  <si>
    <t>CORONA CERO X 24</t>
  </si>
  <si>
    <t>CORONA LATA 269 x6</t>
  </si>
  <si>
    <t>CORONA LATA 473</t>
  </si>
  <si>
    <t>KAWFFMAN</t>
  </si>
  <si>
    <t>MODELO X SXP</t>
  </si>
  <si>
    <t>ELECTROLIT</t>
  </si>
  <si>
    <t>HIDRALITE</t>
  </si>
  <si>
    <t>Corona de Zero lata</t>
  </si>
  <si>
    <t>LIGHT LATA 330X6</t>
  </si>
  <si>
    <t>LIKES 300 X UND</t>
  </si>
  <si>
    <t>MICHELOB 269 lata</t>
  </si>
  <si>
    <t>Poker 473</t>
  </si>
  <si>
    <t>POKER LATA 330X6</t>
  </si>
  <si>
    <t xml:space="preserve">REDDS LATA </t>
  </si>
  <si>
    <t>STELLA  Bt x6</t>
  </si>
  <si>
    <t>STELLA LT SXP</t>
  </si>
  <si>
    <t xml:space="preserve">AGUILA 473 X6 </t>
  </si>
  <si>
    <t>AGUILA 473 X6 Light</t>
  </si>
  <si>
    <t>águila light 269</t>
  </si>
  <si>
    <t>ANDINA 750*16</t>
  </si>
  <si>
    <t>ANDINA LATA 310</t>
  </si>
  <si>
    <t>ANDINA LATA 269</t>
  </si>
  <si>
    <t>ANDINA LIGHT 269</t>
  </si>
  <si>
    <t>ANDINA LIGHT BOTELLA</t>
  </si>
  <si>
    <t>Heineken 0.0</t>
  </si>
  <si>
    <t>ANDINA REFAJO LATA</t>
  </si>
  <si>
    <t>ANDINA REFAJO 1.5</t>
  </si>
  <si>
    <t>HEINEKEN 269 lata</t>
  </si>
  <si>
    <t>HEINEKEN 250 x 30</t>
  </si>
  <si>
    <t>HEINEKEN 250 x 24</t>
  </si>
  <si>
    <t>HEINEKEN 310 LATA</t>
  </si>
  <si>
    <t>HEINEKEN 330 *24</t>
  </si>
  <si>
    <t>CENTRAL 330*LATA</t>
  </si>
  <si>
    <t>SOL 330*24</t>
  </si>
  <si>
    <t>SOL 250 X 24 BOT</t>
  </si>
  <si>
    <t>SOL LATA 310</t>
  </si>
  <si>
    <t>TEKATE 750 X16</t>
  </si>
  <si>
    <t>MILLER LITE 250</t>
  </si>
  <si>
    <t>TRES COR*24 310cc Rose Lata</t>
  </si>
  <si>
    <t>TRES CORDILLERAS*24 300cc Rose</t>
  </si>
  <si>
    <t xml:space="preserve">TRES CORDILLERAS*24 300cc </t>
  </si>
  <si>
    <t>LICORERA DE BOYACÁ</t>
  </si>
  <si>
    <t>LIDER BOTELLA</t>
  </si>
  <si>
    <t>LIDER GARRAFA</t>
  </si>
  <si>
    <t>LIDER MEDIA</t>
  </si>
  <si>
    <t>LIDER 750 PET</t>
  </si>
  <si>
    <t>LIDER 2 LTS</t>
  </si>
  <si>
    <t>LIDER QUARTO AZUL</t>
  </si>
  <si>
    <t>LIDER ROJO BOTELLA</t>
  </si>
  <si>
    <t>LIDER ROJO MEDIA</t>
  </si>
  <si>
    <t>LIDER ROJO QUARTO</t>
  </si>
  <si>
    <t xml:space="preserve">LIDER VERDE 2 LITROS </t>
  </si>
  <si>
    <t>LIDER VERDE BOTELLA</t>
  </si>
  <si>
    <t>LIDER VERDE MEDIA</t>
  </si>
  <si>
    <t>LIDER BOTELLA PET VERDE</t>
  </si>
  <si>
    <t>LIDER QUARTO VERDE</t>
  </si>
  <si>
    <t xml:space="preserve">ONIX EDICION LIMITADA </t>
  </si>
  <si>
    <t xml:space="preserve">ONIX SELLO NEGRO ENVEGECIDO </t>
  </si>
  <si>
    <t>ONIX GARRAFA</t>
  </si>
  <si>
    <t>ONIX BOTELLA 24ª</t>
  </si>
  <si>
    <t>ONIX BOTELLA 24ª 375</t>
  </si>
  <si>
    <t>ONIX BOTELLA 24ª PET</t>
  </si>
  <si>
    <t>ONIX BOTELLA</t>
  </si>
  <si>
    <t>ONIX 24 QUARTO</t>
  </si>
  <si>
    <t>ONIX SIN AZÚCAR 750</t>
  </si>
  <si>
    <t>ONIX SIN AZÚCAR 375</t>
  </si>
  <si>
    <t xml:space="preserve">RON BOYACA 5 AÑOS </t>
  </si>
  <si>
    <t xml:space="preserve">RON BOYACA 8 AÑOS </t>
  </si>
  <si>
    <t xml:space="preserve">RON BOYACA 12 AÑOS </t>
  </si>
  <si>
    <t>RON BOYACA BOTELLA</t>
  </si>
  <si>
    <t>RON  BOYACA MEDIA</t>
  </si>
  <si>
    <t>RON BOYACÁ QUARTO</t>
  </si>
  <si>
    <t>AMARILLO 1 LT TBK</t>
  </si>
  <si>
    <t>AMARILLO GARRAFA</t>
  </si>
  <si>
    <t>AMARILLO 1 LT BOT</t>
  </si>
  <si>
    <t>RON CALDAS BOTELLA OSCURO</t>
  </si>
  <si>
    <t>RON CALDAS 1.000</t>
  </si>
  <si>
    <t>RON CALDAS BOTELLA</t>
  </si>
  <si>
    <t>RON CALDAS MEDIA</t>
  </si>
  <si>
    <t>RON CALDAS QUARTO</t>
  </si>
  <si>
    <t xml:space="preserve">RON CALDAS 5 AÑOS BOTELLA </t>
  </si>
  <si>
    <t>RON CALDAS 5 AÑOS MEDIA</t>
  </si>
  <si>
    <t xml:space="preserve">RON CALDAS 8 AÑOS BOTELLA </t>
  </si>
  <si>
    <t>RON CALDAS 8 AÑOS MEDIA</t>
  </si>
  <si>
    <t>RON CALDAS BLANCA</t>
  </si>
  <si>
    <t>RON CREMA</t>
  </si>
  <si>
    <t>RON CALDAS 15 AÑOS</t>
  </si>
  <si>
    <t>RON CALDAS LICOR 750</t>
  </si>
  <si>
    <t>RON CALDAS LICOR 375</t>
  </si>
  <si>
    <t>MOLENDERO</t>
  </si>
  <si>
    <t>COCTEL CALDAS 295</t>
  </si>
  <si>
    <t xml:space="preserve">GINEBRA BOSQUE DE INDIAS </t>
  </si>
  <si>
    <t>ANTIOQUEÑO 750</t>
  </si>
  <si>
    <t>ANTIOQUEÑO 375</t>
  </si>
  <si>
    <t>ANTIOQUEÑO 750 VERDE</t>
  </si>
  <si>
    <t>ANTIOQUEÑO 375 VERDE</t>
  </si>
  <si>
    <t>AGUARDIENTE BLANCO</t>
  </si>
  <si>
    <t>NATUMALTA 330*30</t>
  </si>
  <si>
    <t>NATUMALTA 200 X 6</t>
  </si>
  <si>
    <t>PET 330 X24</t>
  </si>
  <si>
    <t>PONY 1.5 LTS X 6</t>
  </si>
  <si>
    <t>PONY 2 LTS</t>
  </si>
  <si>
    <t>PONY LATA X6</t>
  </si>
  <si>
    <t>PONY LITRO X 15</t>
  </si>
  <si>
    <t>PONY M-330 X 30</t>
  </si>
  <si>
    <t>PONY MINI 200 x30</t>
  </si>
  <si>
    <t>PONY MINI SIX GO</t>
  </si>
  <si>
    <t>ZALVA X 12</t>
  </si>
  <si>
    <t>AGUA PET POOL 300</t>
  </si>
  <si>
    <t>AGUA PET POOL 600</t>
  </si>
  <si>
    <t>AGUA PET POOL 600 gas</t>
  </si>
  <si>
    <t>AGUA VIDA 7</t>
  </si>
  <si>
    <t>AGUA VIDA LT</t>
  </si>
  <si>
    <t>AGUA ZEND X 6</t>
  </si>
  <si>
    <t>AMPER 473 X6</t>
  </si>
  <si>
    <t>POOL 250</t>
  </si>
  <si>
    <t>BIG COLA 1.75</t>
  </si>
  <si>
    <t>BIG COLA 400</t>
  </si>
  <si>
    <t>BIG COLA 3 LTS</t>
  </si>
  <si>
    <t>CIELO 620</t>
  </si>
  <si>
    <t>CIELO 1 LT</t>
  </si>
  <si>
    <t>CIFRUT 250</t>
  </si>
  <si>
    <t>CIFRUT 400</t>
  </si>
  <si>
    <t>PULP 400</t>
  </si>
  <si>
    <t>NECTAR 300</t>
  </si>
  <si>
    <t>SAVILOE 320X24</t>
  </si>
  <si>
    <t>SAVILOE 420 X24</t>
  </si>
  <si>
    <t>SPORADE 500</t>
  </si>
  <si>
    <t>VIVE 100 BT 240X6</t>
  </si>
  <si>
    <t xml:space="preserve">VIVE 100 BT 380X6 </t>
  </si>
  <si>
    <t xml:space="preserve">BOTELLON BRISA </t>
  </si>
  <si>
    <t xml:space="preserve">BRISA * 24 600 </t>
  </si>
  <si>
    <t>BRISA 280</t>
  </si>
  <si>
    <t>BRISA AGUA  SABORES 280</t>
  </si>
  <si>
    <t>BRISA AGUA BIDON 6 Lts X2</t>
  </si>
  <si>
    <t>BRISA LITRO X6</t>
  </si>
  <si>
    <t>BRISA MANZANA 1.5 X 12</t>
  </si>
  <si>
    <t>BRISA SABORES 600 X6</t>
  </si>
  <si>
    <t>BRISA x24 600 con gas</t>
  </si>
  <si>
    <t xml:space="preserve">COCA ZERO 237 </t>
  </si>
  <si>
    <t>COCA ZERO 2.5 LT</t>
  </si>
  <si>
    <t>COCA ZERO 1,375 X12</t>
  </si>
  <si>
    <t xml:space="preserve">COCA ZERO 250 </t>
  </si>
  <si>
    <t>COCA ZERO 350</t>
  </si>
  <si>
    <t>COCA COLA 600</t>
  </si>
  <si>
    <t>COCA COLA LATA X 12 235</t>
  </si>
  <si>
    <t>COCA COLA LATA X 12 330</t>
  </si>
  <si>
    <t>COCA ZERO 400</t>
  </si>
  <si>
    <t xml:space="preserve">COCA-COLA PET 250 </t>
  </si>
  <si>
    <t>COCACOLA 1,5 LTS X 12</t>
  </si>
  <si>
    <t>COCACOLA 2 LITRO RET X9</t>
  </si>
  <si>
    <t>COCACOLA 2,25 x 8</t>
  </si>
  <si>
    <t>COCACOLA 3LTS X 6</t>
  </si>
  <si>
    <t>COCACOLA 400</t>
  </si>
  <si>
    <t>COCACOLA LITRO PET</t>
  </si>
  <si>
    <t>COCACOLA LITRO RET</t>
  </si>
  <si>
    <t>FUZE TEA 400 X6</t>
  </si>
  <si>
    <t xml:space="preserve">KOLA ROMAN 1.5 </t>
  </si>
  <si>
    <t>KOLA ROMAN 250 PET</t>
  </si>
  <si>
    <t>KOLA ROMAN 400</t>
  </si>
  <si>
    <t>MANATIAL GAS x12</t>
  </si>
  <si>
    <t>MANATIAL x12</t>
  </si>
  <si>
    <t>MANATIAL x12 Vidrio</t>
  </si>
  <si>
    <t>MOSTER LATA 473ml X 24</t>
  </si>
  <si>
    <t>POWERADE X6 500ML</t>
  </si>
  <si>
    <t>QUATRO 1,5</t>
  </si>
  <si>
    <t>QUATRO 2.5 *8</t>
  </si>
  <si>
    <t>QUATRO 237</t>
  </si>
  <si>
    <t>QUATRO 250 PET</t>
  </si>
  <si>
    <t>QUATRO 3 LtS</t>
  </si>
  <si>
    <t>QUATRO 350</t>
  </si>
  <si>
    <t>QUATRO 400 PET</t>
  </si>
  <si>
    <t>SCHWE PET 400 ml  SODA</t>
  </si>
  <si>
    <t>SCHWEPPES 1,5 LTS GINGER X 12</t>
  </si>
  <si>
    <t>SCHWEPPES 1,5 LTS SODA</t>
  </si>
  <si>
    <t>SCHWEPPES AGUA TONICA</t>
  </si>
  <si>
    <t>SCHWPET 400 ml  GINGER</t>
  </si>
  <si>
    <t>SODA 350</t>
  </si>
  <si>
    <t>SOPORTE BOTELLON</t>
  </si>
  <si>
    <t>SPRITE 1,5</t>
  </si>
  <si>
    <t>SPRITE 237</t>
  </si>
  <si>
    <t>SPRITE 3 LT</t>
  </si>
  <si>
    <t>SPRITE 350</t>
  </si>
  <si>
    <t>SPRITE 400 PET</t>
  </si>
  <si>
    <t>VALLE 1.5 X 12</t>
  </si>
  <si>
    <t>VALLE  250*12</t>
  </si>
  <si>
    <t>VALLE FRESH 400 x 12</t>
  </si>
  <si>
    <t>VALLE 2.5</t>
  </si>
  <si>
    <t xml:space="preserve">PRODUCTOS POSTOBON </t>
  </si>
  <si>
    <t>MR TE 1.5</t>
  </si>
  <si>
    <t>MR TE 300*12</t>
  </si>
  <si>
    <t>ACQUA 400*15</t>
  </si>
  <si>
    <t>ACQUA 250*12</t>
  </si>
  <si>
    <t>BILACK</t>
  </si>
  <si>
    <t>BRETAÑA 1.5 LTS x12</t>
  </si>
  <si>
    <t>Bretaña 300ml x 24</t>
  </si>
  <si>
    <t>BRETAÑA 350</t>
  </si>
  <si>
    <t>BRETAÑA LATA CON ALCOHOL</t>
  </si>
  <si>
    <t xml:space="preserve"> .</t>
  </si>
  <si>
    <t>CANADRY 1,5 X12</t>
  </si>
  <si>
    <t>CRISTAL 3.125</t>
  </si>
  <si>
    <t>CRISTAL 250 X 12 GAS</t>
  </si>
  <si>
    <t>CRISTAL GARRAFA 5 LT</t>
  </si>
  <si>
    <t>CRISTAL 300*24</t>
  </si>
  <si>
    <t>CRISTAL 6 LTS</t>
  </si>
  <si>
    <t>CRISTAL 600 ml x 24</t>
  </si>
  <si>
    <t>CRISTAL 600ML CON GAS X 24</t>
  </si>
  <si>
    <t>CRISTAL ALOE 330 x12</t>
  </si>
  <si>
    <t xml:space="preserve">GATORADE  LITE </t>
  </si>
  <si>
    <t>CRISTAL LITRO x 12</t>
  </si>
  <si>
    <t>DUOS 3 LTS</t>
  </si>
  <si>
    <t>ECONOLITRO x12</t>
  </si>
  <si>
    <t>GATORADE x12</t>
  </si>
  <si>
    <t xml:space="preserve">H20 1.5 </t>
  </si>
  <si>
    <t>H2O 250 x12</t>
  </si>
  <si>
    <t>HATSU SODA</t>
  </si>
  <si>
    <t>HATSU TE 250</t>
  </si>
  <si>
    <t>HIT 1 lt pet</t>
  </si>
  <si>
    <t>HIT 1,5</t>
  </si>
  <si>
    <t xml:space="preserve">HIT 250 </t>
  </si>
  <si>
    <t>HIT TBK LT</t>
  </si>
  <si>
    <t>HIT TETRA CAJA 200 X 24</t>
  </si>
  <si>
    <t>MR TEA 250*30</t>
  </si>
  <si>
    <t>MR TEA 500</t>
  </si>
  <si>
    <t>POST  250</t>
  </si>
  <si>
    <t>POST 250 PET x 12</t>
  </si>
  <si>
    <t>POST 400 PET x15</t>
  </si>
  <si>
    <t>POST 500 PET x15</t>
  </si>
  <si>
    <t xml:space="preserve">POSTOBON 1,5 </t>
  </si>
  <si>
    <t>POSTOBON 1.25 Lts</t>
  </si>
  <si>
    <t>Pepsi 2,5 LTS x8</t>
  </si>
  <si>
    <t>POSTOBON 2,5 LTS x8</t>
  </si>
  <si>
    <t>POSTOBON 250 PET CERO X 12</t>
  </si>
  <si>
    <t>POSTOBON 3 LITROS X 6</t>
  </si>
  <si>
    <t>RED BULL 250X4</t>
  </si>
  <si>
    <t>soporte BOTELLON</t>
  </si>
  <si>
    <t>SPEDD BOTELLA</t>
  </si>
  <si>
    <t>SPEDD LATA 310</t>
  </si>
  <si>
    <t>SPEED LITRO</t>
  </si>
  <si>
    <t>SPEED  400</t>
  </si>
  <si>
    <t>SQUASH</t>
  </si>
  <si>
    <t>TROPICOLA  400ml x15</t>
  </si>
  <si>
    <t>TROPICOLA 1,5 x12</t>
  </si>
  <si>
    <t>TUTTI FRTY 400 X 15</t>
  </si>
  <si>
    <t>TUTTI FRUTY 250</t>
  </si>
  <si>
    <t>TUTTI FRUTY 1.5</t>
  </si>
  <si>
    <t>CIGARRILLOS PAQUETE</t>
  </si>
  <si>
    <t>MUSTANG BLANCO X 20</t>
  </si>
  <si>
    <t>MUSTANG BLANCO *10</t>
  </si>
  <si>
    <t xml:space="preserve">MUSTANG 10 XL </t>
  </si>
  <si>
    <t>LUCKI 10</t>
  </si>
  <si>
    <t>LUCKI 20 STRIKE</t>
  </si>
  <si>
    <t>L&amp;M X10</t>
  </si>
  <si>
    <t>L&amp;M X 20</t>
  </si>
  <si>
    <t>MALBORO X 10</t>
  </si>
  <si>
    <t>MALBORO X 20</t>
  </si>
  <si>
    <t>CARIBE</t>
  </si>
  <si>
    <t xml:space="preserve">PIEL ROJA </t>
  </si>
  <si>
    <t>ENCENDEDOR YAMA</t>
  </si>
  <si>
    <t>BIC ENCENDEDOR grande</t>
  </si>
  <si>
    <t>BIC ENCENDEDOR</t>
  </si>
  <si>
    <t>VALOR INV</t>
  </si>
  <si>
    <t>PRESTAMOS EFECTIVO</t>
  </si>
  <si>
    <t>CREDITOS</t>
  </si>
  <si>
    <t>TORO</t>
  </si>
  <si>
    <t>CERVEZA LATA BAV</t>
  </si>
  <si>
    <t>EFECTIVO TOÑO</t>
  </si>
  <si>
    <t>javier</t>
  </si>
  <si>
    <t>ALEJANDRA</t>
  </si>
  <si>
    <t>CENTRAL CERVECERA</t>
  </si>
  <si>
    <t>LEO  ANGIE</t>
  </si>
  <si>
    <t>LICORERA DE BOYACA</t>
  </si>
  <si>
    <t>MALTAS</t>
  </si>
  <si>
    <t>COCACOLA</t>
  </si>
  <si>
    <t>POSTOBON</t>
  </si>
  <si>
    <t>CIGARRILLOS</t>
  </si>
  <si>
    <t>LICORES</t>
  </si>
  <si>
    <t>TOTAL</t>
  </si>
  <si>
    <t>BOGA</t>
  </si>
  <si>
    <t>BAVARIA DISPONIBLE</t>
  </si>
  <si>
    <t>STA ELISA</t>
  </si>
  <si>
    <t>plaza</t>
  </si>
  <si>
    <t>REAL</t>
  </si>
  <si>
    <t>COSTO UND</t>
  </si>
  <si>
    <t>VENTA UND</t>
  </si>
  <si>
    <t>UND VENDIDAS</t>
  </si>
  <si>
    <t xml:space="preserve"> WHISKY BUCHANANS X 1000 master</t>
  </si>
  <si>
    <t xml:space="preserve"> WHISKY BUCHANANS X 750 master</t>
  </si>
  <si>
    <t xml:space="preserve"> WHISKY BUCHANANS TWO SOULS X 750ML</t>
  </si>
  <si>
    <t xml:space="preserve"> WHISKY BUCHANANS 12 AÑOS X 1000ML</t>
  </si>
  <si>
    <t xml:space="preserve"> WHISKY BUCHANANS 12 AÑOS X 750ML</t>
  </si>
  <si>
    <t xml:space="preserve"> WHISKY BUCHANANS 12 AÑOS X 375ML</t>
  </si>
  <si>
    <t xml:space="preserve"> WHISKY BUCHANANS 12 AÑOS X 200ML</t>
  </si>
  <si>
    <t>WHISKY OLD PAR X 1000ML</t>
  </si>
  <si>
    <t>WHISKY OLD PAR X 750ML</t>
  </si>
  <si>
    <t>WHISKY OLD PAR X 500ML</t>
  </si>
  <si>
    <t>WHISKY JHONNIE WALKER DOBLE BLACK X 700ML</t>
  </si>
  <si>
    <t>WHISKY JHONNIE WALKER BLACK X 1000ML</t>
  </si>
  <si>
    <t>WHISKY JHONNIE WALKER BLACK X 700ML</t>
  </si>
  <si>
    <t>WHISKY JHONNIE WALKER BLACK X 375ML</t>
  </si>
  <si>
    <t>WHISKY JHONNIE WALKER RED X 1000ML</t>
  </si>
  <si>
    <t>WHISKY JHONNIE WALKER RED X 700ML</t>
  </si>
  <si>
    <t>WHISKY JHONNIE WALKER RED X 375ML</t>
  </si>
  <si>
    <t>WHISKY JHONNIE WALKER RED X 200ML</t>
  </si>
  <si>
    <t>WHISKY CHIVAS 13 AÑOS  X 1000ML</t>
  </si>
  <si>
    <t>WHISKY CHIVAS EXTRA X 750ML</t>
  </si>
  <si>
    <t>WHISKY  CHIVAS EXTRA 200</t>
  </si>
  <si>
    <t>WHISKY CHIVAS EXTRA X 375ML</t>
  </si>
  <si>
    <t>WHISKY CHIVAS 12 AÑOS X 1000ML</t>
  </si>
  <si>
    <t>WHISKY CHIVAS 12 Años X 700ML</t>
  </si>
  <si>
    <t>WHISKY CHIVAS 12 AÑOS X 375ML</t>
  </si>
  <si>
    <t xml:space="preserve">WHISKY CHIVAS 18 AÑOS </t>
  </si>
  <si>
    <t>CLAN MAGREGOR 750</t>
  </si>
  <si>
    <t>CLAN MAGREGOR 375</t>
  </si>
  <si>
    <t>THE GLENLIVET</t>
  </si>
  <si>
    <t>DEWARS 12 AÑOS</t>
  </si>
  <si>
    <t>WHISKY JACK DANIELS X 750ML HONEY</t>
  </si>
  <si>
    <t>WHISKY JACK DANIELS X 750ML MNZ</t>
  </si>
  <si>
    <t>WHISKY JACK DANIELS X 750ML N'7</t>
  </si>
  <si>
    <t>WHISKY JACK DANIELS X 375ML</t>
  </si>
  <si>
    <t>WHISKY JACK DANIELS X 50ML</t>
  </si>
  <si>
    <t>BALLANTINES X 1000ML</t>
  </si>
  <si>
    <t>BALLANTINES X 700ML</t>
  </si>
  <si>
    <t>BALLANTINES X 375ML</t>
  </si>
  <si>
    <t>BALLANTINES X 200ML</t>
  </si>
  <si>
    <t>WHISKY BLACK AND WHITE X 1000ML</t>
  </si>
  <si>
    <t>WHISKY BLACK AND WHITE X 1500ML</t>
  </si>
  <si>
    <t>WHISKY BLACK AND WHITE X 700ML</t>
  </si>
  <si>
    <t>WHISKY BLACK AND WHITE X 375ML</t>
  </si>
  <si>
    <t>WHISKY BLACK AND WHITE X 200ML</t>
  </si>
  <si>
    <t>WHISKY SOMETHING SPECIAL X 1000ML</t>
  </si>
  <si>
    <t>WHISKY SOMETHING SPECIAL X 700ML</t>
  </si>
  <si>
    <t>WHISKY SOMETHING SPECIAL X 375ML</t>
  </si>
  <si>
    <t xml:space="preserve">WHISKY SOMETHING SPECIAL X 200 ML </t>
  </si>
  <si>
    <t>WHISKY PASSPORT X 1000ML</t>
  </si>
  <si>
    <t>WHISKY PASSPORT X 700ML</t>
  </si>
  <si>
    <t>WHISKY PASSPORT X 500ML</t>
  </si>
  <si>
    <t>WHISKY PASSPORT X 200ML</t>
  </si>
  <si>
    <t>WHISKY VAT 69</t>
  </si>
  <si>
    <t>JOHN THOMAS X 750ML</t>
  </si>
  <si>
    <t>JOHN THOMAS X 375ML</t>
  </si>
  <si>
    <t>JOHN THOMAS AZUL X 375ML</t>
  </si>
  <si>
    <t xml:space="preserve">JOHN THOMAS AZUL X 750 ML </t>
  </si>
  <si>
    <t xml:space="preserve">JAMESON X 750 ML </t>
  </si>
  <si>
    <t xml:space="preserve">JAMESON X 375 ML </t>
  </si>
  <si>
    <t>SIR EDWARDS X 750ML</t>
  </si>
  <si>
    <t xml:space="preserve">SIR EDWARS X 375 ML </t>
  </si>
  <si>
    <t>WHISKY HARRY 700</t>
  </si>
  <si>
    <t>WHISKY GRANS X 1.750</t>
  </si>
  <si>
    <t>WHISKY GRANS X 1000</t>
  </si>
  <si>
    <t>WHISKY GRANS X 700</t>
  </si>
  <si>
    <t>WHISKY GRANS X 350</t>
  </si>
  <si>
    <t>WHISKY GRANS X 200</t>
  </si>
  <si>
    <t xml:space="preserve">WHISKY SINGLETON 12 AÑOS X 750ML </t>
  </si>
  <si>
    <t xml:space="preserve">WHISKY GRANDS CAJA AZUL X 750ML </t>
  </si>
  <si>
    <t xml:space="preserve">WHISKY GRANDS DUGGANS X 750ML </t>
  </si>
  <si>
    <t>WHISKY HAWARD</t>
  </si>
  <si>
    <t>WHISKY CASTLE HAUSE</t>
  </si>
  <si>
    <t>WHISKY JAGERMEISTER X MINI</t>
  </si>
  <si>
    <t>WHISKY JAGERMEISTER X 375 ML</t>
  </si>
  <si>
    <t>WHISKY JAGERMEISTER X 700 ML</t>
  </si>
  <si>
    <t>VODKA SMIRNOFF TAMARINDO X 750ML</t>
  </si>
  <si>
    <t>VODKA SMIRNOFF LULO X 1000ML</t>
  </si>
  <si>
    <t>VODKA SMIRNOFF LULO X 750ML</t>
  </si>
  <si>
    <t>VODKA SMIRNOFF LULO X 375ML</t>
  </si>
  <si>
    <t>VODKA ABSOLUT ORIGINAL X 700ML</t>
  </si>
  <si>
    <t>VODKA ABSOLUT ORIGINAL X 375ML</t>
  </si>
  <si>
    <t>VODKA SMIRNOFF ICE LATA 269ML</t>
  </si>
  <si>
    <t>VODKA SMIRNOFF ICE X 275ML</t>
  </si>
  <si>
    <t>VODKA ABSOLUT CITRON X 700ML</t>
  </si>
  <si>
    <t>VODKA ABSOLUT MANDARIN X 700ML</t>
  </si>
  <si>
    <t>VODKA TROPCAYA</t>
  </si>
  <si>
    <t>VODKA STALINAYA X 700 ML</t>
  </si>
  <si>
    <t>TEQUILA EL JIMADOR X 750ML</t>
  </si>
  <si>
    <t xml:space="preserve">TEQUILA EL JIMADOR X 750ML Cristalino </t>
  </si>
  <si>
    <t>TEQUILA EL JIMADOR X 375ML</t>
  </si>
  <si>
    <t>TEQUILA EL JIMADOR BLANCO</t>
  </si>
  <si>
    <t xml:space="preserve">TEQUILA PUERTA NEGRA </t>
  </si>
  <si>
    <t>TEQUILA DON JULIO Blanco</t>
  </si>
  <si>
    <t>TEQUILA JOSE CUERVO REPOSADO X 750ML</t>
  </si>
  <si>
    <t>TEQUILA JOSE CUERVO REPOSADO X 375ML</t>
  </si>
  <si>
    <t>TEQUILA JOSE CUERVO AZUL X 750ML</t>
  </si>
  <si>
    <t>TEQUILA 3 CABALLOS REPOSADO X 1000ML</t>
  </si>
  <si>
    <t>TEQUILA 3 CABALLOS GOLD X 750ML</t>
  </si>
  <si>
    <t>TEQUILA 3 CABALLOS GOLD X 375 ML</t>
  </si>
  <si>
    <t>TEQUILA 3 CABALLOS GOLD X 1000</t>
  </si>
  <si>
    <t>TEQUILA OLMECA REPOSADO X 1000ML</t>
  </si>
  <si>
    <t>TEQUILA OLMECA REPOSADO X 750ML</t>
  </si>
  <si>
    <t>TEQUILA OLMECA REPOSADO X 375ML</t>
  </si>
  <si>
    <t>TEQUILA OLMECA PLATA X 750ML</t>
  </si>
  <si>
    <t>TEQUILA OLMECA PLATA X 375ML</t>
  </si>
  <si>
    <t>TEQUILA OLMECA DARK CHOCOLATE 700 ML</t>
  </si>
  <si>
    <t>TEQUILA 1800 REPOSADO</t>
  </si>
  <si>
    <t>LOS CUATES 473</t>
  </si>
  <si>
    <t>LOS CUATES 269</t>
  </si>
  <si>
    <t xml:space="preserve">TEQUILA PATRON AÑEJO X 700 ML </t>
  </si>
  <si>
    <t xml:space="preserve">TEQUILA PATRON X 700 ML </t>
  </si>
  <si>
    <t xml:space="preserve">TEQUILA ALTOS X 700 ML </t>
  </si>
  <si>
    <t xml:space="preserve">BACARDI LIMON X 750 ML </t>
  </si>
  <si>
    <t xml:space="preserve">BACARDI LIMON X 375ML </t>
  </si>
  <si>
    <t xml:space="preserve">BACARDI CARTA BLANCA X 980ML </t>
  </si>
  <si>
    <t xml:space="preserve">BACARDI CARTA BLANCA X 750 ML </t>
  </si>
  <si>
    <t xml:space="preserve">BACARDI CARTA BLANCA X 1750 ML </t>
  </si>
  <si>
    <t xml:space="preserve">BACARDI AÑEJO </t>
  </si>
  <si>
    <t>BACARDI MOJITO</t>
  </si>
  <si>
    <t>BACARDI ZOMBIE</t>
  </si>
  <si>
    <t>BACARDI BAHAMA</t>
  </si>
  <si>
    <t xml:space="preserve">BACARDI MANDARINA </t>
  </si>
  <si>
    <t>BACARDI X 200ML RON</t>
  </si>
  <si>
    <t>CREMA DE WHISKY BAILEYS X 1000 ML</t>
  </si>
  <si>
    <t>CREMA DE WHISKY BAILEYS X 750 ML</t>
  </si>
  <si>
    <t>CREMA DE WHISKY BAILEYS X 375 ML</t>
  </si>
  <si>
    <t>CREMA DE WHISKY BAILEYS TIRAMISU</t>
  </si>
  <si>
    <t>CREMA DE WHISKY COPACABANA X 750 ML</t>
  </si>
  <si>
    <t>CREMA DE WHISKY CASTEL HAUSE X 750 ML</t>
  </si>
  <si>
    <t>CREMA DE WHISKY BLACK JACK X 750 ML</t>
  </si>
  <si>
    <t>CREMA DE WHISKY BLACK JACK X 375 ML</t>
  </si>
  <si>
    <t>CREMA WHISKY CASTLE HOUSE 375</t>
  </si>
  <si>
    <t>CREMA WHISKY SAVORS 750</t>
  </si>
  <si>
    <t>CREMA WHISKY SAVORS 375</t>
  </si>
  <si>
    <t>CREMA DE WHISKY  WHISLEYS 700</t>
  </si>
  <si>
    <t>CREMA SAN MARINO CAFE</t>
  </si>
  <si>
    <t>CREMA BRYMOR</t>
  </si>
  <si>
    <t>CREMA EXCELSO</t>
  </si>
  <si>
    <t>CREMA SURTILEGIO</t>
  </si>
  <si>
    <t>CHAMPIN</t>
  </si>
  <si>
    <t>CHAMPAÑA MAGESTIC X 750 ML</t>
  </si>
  <si>
    <t>CHAMPAÑA GRAN BRINDIS X 750</t>
  </si>
  <si>
    <t>CHAMPAÑA GRAN BRINDIS X 2600</t>
  </si>
  <si>
    <t>CHAMPAÑA PETERLONGO</t>
  </si>
  <si>
    <t>CHAMPAÑA PETERLONGO 2600</t>
  </si>
  <si>
    <t>CHAMPAÑA CASANOVA</t>
  </si>
  <si>
    <t>CHAMPAÑA ALEJANDRIA X 750 ML</t>
  </si>
  <si>
    <t>CHAMPAÑA MONSERRATE 2600</t>
  </si>
  <si>
    <t>CAMPAÑA FRIZZANTINO</t>
  </si>
  <si>
    <t>CHAMPAÑA GRAN CELEBRACIÓN 2600</t>
  </si>
  <si>
    <t>CHAMPAÑA GRAN CELEBRACIÓN 750</t>
  </si>
  <si>
    <t xml:space="preserve">CHAMPAÑA PICCINI </t>
  </si>
  <si>
    <t xml:space="preserve">CHAMPAÑA ALTEZA </t>
  </si>
  <si>
    <t xml:space="preserve">CHAMPAÑA LAMBRUSCO </t>
  </si>
  <si>
    <t>JP CHENET X 200</t>
  </si>
  <si>
    <t>JP CHENET X 750</t>
  </si>
  <si>
    <t xml:space="preserve">JP CHENET LATA </t>
  </si>
  <si>
    <t>Champaña Porttuse</t>
  </si>
  <si>
    <t>VINO GRAJALES WALTIER</t>
  </si>
  <si>
    <t>VINO MOSCATO PASSITO</t>
  </si>
  <si>
    <t>VINO EMBAJADOR</t>
  </si>
  <si>
    <t>VINO CASILLERO DEL DIABLO X 750 ML</t>
  </si>
  <si>
    <t>VINO CASILLERO DEL DIABLO X 375 ML</t>
  </si>
  <si>
    <t>VINO DUBONET 375</t>
  </si>
  <si>
    <t>VINO DUBONET 700</t>
  </si>
  <si>
    <t>VINO MANI SHEWTIZ</t>
  </si>
  <si>
    <t>VINO SECO FRONTERA X 750 ML</t>
  </si>
  <si>
    <t>VINO GATO NEGRO X 750ML</t>
  </si>
  <si>
    <t>VINO GATO NEGRO X 375ML</t>
  </si>
  <si>
    <t>VINO CHILE MERLOT X 750 ML</t>
  </si>
  <si>
    <t>VINO FIESTA</t>
  </si>
  <si>
    <t>VINO LIEBFRAUMILCH</t>
  </si>
  <si>
    <t>VINO SANZON X 750 ML</t>
  </si>
  <si>
    <t>VINO CARIÑOSO X 750 ML</t>
  </si>
  <si>
    <t>VINO ALEJANDRIA TINTO X 750 ML</t>
  </si>
  <si>
    <t>GRAN BRINDIS 2600</t>
  </si>
  <si>
    <t xml:space="preserve">PERTER LONGO  2500 </t>
  </si>
  <si>
    <t>VINO GRAN BRINDIS TINTO X 750 ML</t>
  </si>
  <si>
    <t>VINO CINZANO 1000</t>
  </si>
  <si>
    <t>VINO MOSCATEL DE MISA</t>
  </si>
  <si>
    <t>VINO DULCE AMADOR TINTO X 750ML</t>
  </si>
  <si>
    <t>VINO DULCE AMADOR MANZANA X 750ML</t>
  </si>
  <si>
    <t xml:space="preserve">VINO LA FERIA </t>
  </si>
  <si>
    <t>VINO TOCORNAL</t>
  </si>
  <si>
    <t>VINO PAZZITO</t>
  </si>
  <si>
    <t>VINO POLERO</t>
  </si>
  <si>
    <t>VINO TRES MEDALLAS</t>
  </si>
  <si>
    <t>VINO ROSALEDA</t>
  </si>
  <si>
    <t>VINO LA MERCED</t>
  </si>
  <si>
    <t>VINO CHILENO CATA TINTO 1 LITRO</t>
  </si>
  <si>
    <t>VINO VIÑA MAIPO</t>
  </si>
  <si>
    <t>VINO VIÑA peña</t>
  </si>
  <si>
    <t>GINEBRA LONDON 750</t>
  </si>
  <si>
    <t>GINEBRA GORDON 250 LATA</t>
  </si>
  <si>
    <t>GINEBRA GORDON 750</t>
  </si>
  <si>
    <t>GINEBRA STERLING</t>
  </si>
  <si>
    <t>GINEBRA HAWARD</t>
  </si>
  <si>
    <t>PIÑA COLADA REAGEE X 750ML</t>
  </si>
  <si>
    <t>PIÑA COLADA MAVI X 750ML</t>
  </si>
  <si>
    <t xml:space="preserve">MANZANILLA PODEROSA X 750 ML </t>
  </si>
  <si>
    <t xml:space="preserve">PIÑA COLADA ANTILLANA </t>
  </si>
  <si>
    <t xml:space="preserve">PARIS ICE BLACK </t>
  </si>
  <si>
    <t xml:space="preserve">PARIS  ICE ROSE </t>
  </si>
  <si>
    <t xml:space="preserve">SABAJON WARDUS </t>
  </si>
  <si>
    <t>SABAJON APOLO</t>
  </si>
  <si>
    <t xml:space="preserve">PIÑA COLADA TAHITI </t>
  </si>
  <si>
    <t xml:space="preserve">VINO COVIER 700 </t>
  </si>
  <si>
    <t xml:space="preserve">VINO TINTO ARIZO CAJAS </t>
  </si>
  <si>
    <t>BRANDY DOMECO 750</t>
  </si>
  <si>
    <t>BRANDY DOMECO 375</t>
  </si>
  <si>
    <t>BRANDY DOMECO 200</t>
  </si>
  <si>
    <t>BRANDY CINCO ESTRELLAS  X375</t>
  </si>
  <si>
    <t>BRANDY CINCO ESTRELA X 700</t>
  </si>
  <si>
    <t>BRANDY GRAJALES 375</t>
  </si>
  <si>
    <t>BRANDY GRAJALES 750</t>
  </si>
  <si>
    <t>BRANDY Gran Brindis 750</t>
  </si>
  <si>
    <t>BRANDY Gran Brindis 375</t>
  </si>
  <si>
    <t>RON TROPICO</t>
  </si>
  <si>
    <t>FOUR LOCKO</t>
  </si>
  <si>
    <t>RON SANTERO X 750ML</t>
  </si>
  <si>
    <t>ONIX SIN AZÚCAR 175</t>
  </si>
  <si>
    <t>SPORADE 1.2</t>
  </si>
  <si>
    <t xml:space="preserve">MUSTANG FORESTA </t>
  </si>
  <si>
    <t>REYES</t>
  </si>
  <si>
    <t>BIG COLA</t>
  </si>
  <si>
    <t>WHISKY  CHIVAS EXTRA VASOS</t>
  </si>
  <si>
    <t>WHISKY ROYAL CHOICE</t>
  </si>
  <si>
    <t>WHISKY JACK DANIELS X 200ML</t>
  </si>
  <si>
    <t>WHISKY BLACK JAC 750</t>
  </si>
  <si>
    <t>WHISKY BLACK JAC 375</t>
  </si>
  <si>
    <t>TEQUILA EL JIMADOR REP X 1000</t>
  </si>
  <si>
    <t>TEQUILA NEWTON 1 LT</t>
  </si>
  <si>
    <t>TEQUILA NEWTON 1 LT REP</t>
  </si>
  <si>
    <t>CREMA COLOMA</t>
  </si>
  <si>
    <t>VINO GRAJALES SEMI SECO X 750 ML</t>
  </si>
  <si>
    <t>VINO SANGRE DE BOI</t>
  </si>
  <si>
    <t>VINO MOSCATEL 750 ML</t>
  </si>
  <si>
    <t>VINO CLOSS</t>
  </si>
  <si>
    <t>VINO VIÑA PIÑA</t>
  </si>
  <si>
    <t>PIÑA COLADA ISLEÑA</t>
  </si>
  <si>
    <t xml:space="preserve">SABAJON </t>
  </si>
  <si>
    <t>BRANDY DOMECO 250</t>
  </si>
  <si>
    <t>FOUR LOCKO 355</t>
  </si>
  <si>
    <t>FOUR LOCKO 473</t>
  </si>
  <si>
    <t>papa</t>
  </si>
  <si>
    <t>ANDINA LIGHT 310</t>
  </si>
  <si>
    <t>PULP 250 tbk*12</t>
  </si>
  <si>
    <t>VIVE 100 BT 240X sandia</t>
  </si>
  <si>
    <t>VIVE 100 BT 380 sandia</t>
  </si>
  <si>
    <t>COCA COLA LATA X 12 269</t>
  </si>
  <si>
    <t>Pepsi 1.5</t>
  </si>
  <si>
    <t xml:space="preserve"> WHISKY BUCHANANS 12 AÑOS X 750ML vaso</t>
  </si>
  <si>
    <t>COSTEÑITA</t>
  </si>
  <si>
    <t>Cola y Pola Kola</t>
  </si>
  <si>
    <t>REDDS LATA Rose</t>
  </si>
  <si>
    <t>0,75</t>
  </si>
  <si>
    <t>DEUDA SALDO INICIAL</t>
  </si>
  <si>
    <t>Utilidad Total</t>
  </si>
  <si>
    <t>CANTIDAD</t>
  </si>
  <si>
    <t xml:space="preserve">VALOR </t>
  </si>
  <si>
    <t>FECHA</t>
  </si>
  <si>
    <t>SOMETING</t>
  </si>
  <si>
    <t>PONY 1.5</t>
  </si>
  <si>
    <t xml:space="preserve">CONSIGNACION </t>
  </si>
  <si>
    <t>AGUILA LT</t>
  </si>
  <si>
    <t>CENTRAL</t>
  </si>
  <si>
    <t>CORONITA</t>
  </si>
  <si>
    <t xml:space="preserve">CLUB </t>
  </si>
  <si>
    <t>PONY PET 330</t>
  </si>
  <si>
    <t>BACANA</t>
  </si>
  <si>
    <t>AGUILA LIGHT</t>
  </si>
  <si>
    <t>DEUDA TOTAL</t>
  </si>
  <si>
    <t>ABONOS</t>
  </si>
  <si>
    <t>DIFERENCIA</t>
  </si>
  <si>
    <t>MAURICIO</t>
  </si>
  <si>
    <t>AGUILA LATA</t>
  </si>
  <si>
    <t>COCA 1.5</t>
  </si>
  <si>
    <t>DEV EFECTIVO</t>
  </si>
  <si>
    <t>COCA COLA</t>
  </si>
  <si>
    <t>ABONO</t>
  </si>
  <si>
    <t>PONY 330</t>
  </si>
  <si>
    <t>1 de FEB</t>
  </si>
  <si>
    <t>2 de FEB</t>
  </si>
  <si>
    <t>3 de FEB</t>
  </si>
  <si>
    <t>4 de FEB</t>
  </si>
  <si>
    <t>5 de FEB</t>
  </si>
  <si>
    <t>6 de FEB</t>
  </si>
  <si>
    <t>7 de FEB</t>
  </si>
  <si>
    <t>8 de FEB</t>
  </si>
  <si>
    <t>9 de FEB</t>
  </si>
  <si>
    <t>10 de FEB</t>
  </si>
  <si>
    <t>11 de FEB</t>
  </si>
  <si>
    <t>12 de FEB</t>
  </si>
  <si>
    <t>13 de FEB</t>
  </si>
  <si>
    <t>14 de FEB</t>
  </si>
  <si>
    <t>15 de FEB</t>
  </si>
  <si>
    <t>16 de FEB</t>
  </si>
  <si>
    <t>17 de FEB</t>
  </si>
  <si>
    <t>18 de FEB</t>
  </si>
  <si>
    <t>19 de FEB</t>
  </si>
  <si>
    <t>20 de FEB</t>
  </si>
  <si>
    <t>21 de FEB</t>
  </si>
  <si>
    <t>22 de FEB</t>
  </si>
  <si>
    <t>23 de FEB</t>
  </si>
  <si>
    <t>24 de FEB</t>
  </si>
  <si>
    <t>25 de FEB</t>
  </si>
  <si>
    <t>26 de FEB</t>
  </si>
  <si>
    <t>27 de FEB</t>
  </si>
  <si>
    <t>28 de FEB</t>
  </si>
  <si>
    <t>TOTALES</t>
  </si>
  <si>
    <t xml:space="preserve">TRANSACCIONES </t>
  </si>
  <si>
    <t xml:space="preserve">NEQUI </t>
  </si>
  <si>
    <t xml:space="preserve">BANCOLOMBIA </t>
  </si>
  <si>
    <t xml:space="preserve">DAVIVIENDA </t>
  </si>
  <si>
    <t>DATAFONO</t>
  </si>
  <si>
    <t xml:space="preserve">TOTAL </t>
  </si>
  <si>
    <t>PAGO CREDITOS</t>
  </si>
  <si>
    <t>PAIPA</t>
  </si>
  <si>
    <t>ARMANDO</t>
  </si>
  <si>
    <t>OLIBRASAS</t>
  </si>
  <si>
    <t>CAOVA</t>
  </si>
  <si>
    <t>CL  14</t>
  </si>
  <si>
    <t>CARLOS R</t>
  </si>
  <si>
    <t>CHUPE</t>
  </si>
  <si>
    <t>ADELANTO CLIENTES</t>
  </si>
  <si>
    <t>GRAN DORADO</t>
  </si>
  <si>
    <t>CAFE DE LA ABUELA</t>
  </si>
  <si>
    <t>PLAZA</t>
  </si>
  <si>
    <t>LUIS A</t>
  </si>
  <si>
    <t>TATIANA</t>
  </si>
  <si>
    <t>ROBERTO POTRA</t>
  </si>
  <si>
    <t>PATRICIA ROBLEDALES</t>
  </si>
  <si>
    <t>TORRES</t>
  </si>
  <si>
    <t>CAOVA 2</t>
  </si>
  <si>
    <t>CL 14</t>
  </si>
  <si>
    <t>CARLOS CHALLENGER</t>
  </si>
  <si>
    <t xml:space="preserve">PROVEEDORES </t>
  </si>
  <si>
    <t>ALTIPAL</t>
  </si>
  <si>
    <t>BAVARIA</t>
  </si>
  <si>
    <t>CALDAS</t>
  </si>
  <si>
    <t>DISLICORES</t>
  </si>
  <si>
    <t>GARES</t>
  </si>
  <si>
    <t>LIDER</t>
  </si>
  <si>
    <t>MANUEL</t>
  </si>
  <si>
    <t>NIEVE</t>
  </si>
  <si>
    <t>POSTOBON COY</t>
  </si>
  <si>
    <t>POSTOBON CYR</t>
  </si>
  <si>
    <t>QUALA</t>
  </si>
  <si>
    <t>SANTA ELISA</t>
  </si>
  <si>
    <t>YUPI-BIG COLA</t>
  </si>
  <si>
    <t>GASTOS</t>
  </si>
  <si>
    <t>%INTERESES VIAJES</t>
  </si>
  <si>
    <t>ALMUERZO</t>
  </si>
  <si>
    <t>ALMUERZO TURBO</t>
  </si>
  <si>
    <t>ARRIENDO</t>
  </si>
  <si>
    <t>ASEO</t>
  </si>
  <si>
    <t>ASOPAGOS</t>
  </si>
  <si>
    <t>CELULAR</t>
  </si>
  <si>
    <t>COMBUSTIBLES</t>
  </si>
  <si>
    <t>CONTADOR</t>
  </si>
  <si>
    <t>DESAYUNO</t>
  </si>
  <si>
    <t>LUZ- AGUA-INT</t>
  </si>
  <si>
    <t>MANTENIMENTOS</t>
  </si>
  <si>
    <t>PAPELERIA</t>
  </si>
  <si>
    <t>RETENCION</t>
  </si>
  <si>
    <t>SEGUROS-TECNO</t>
  </si>
  <si>
    <t>SISSO</t>
  </si>
  <si>
    <t>SISTEMA DOCUMENTOS</t>
  </si>
  <si>
    <t>camara de comercio</t>
  </si>
  <si>
    <t>VIJILANCIA</t>
  </si>
  <si>
    <t>TINTOS</t>
  </si>
  <si>
    <t xml:space="preserve">DESCUENTOS </t>
  </si>
  <si>
    <t>FORD</t>
  </si>
  <si>
    <t>BODEGA</t>
  </si>
  <si>
    <t>JAC</t>
  </si>
  <si>
    <t>ENVASE</t>
  </si>
  <si>
    <t>COMPRA</t>
  </si>
  <si>
    <t xml:space="preserve">VENTA </t>
  </si>
  <si>
    <t>DEVOLUCION PRODUCTO</t>
  </si>
  <si>
    <t>VENTA TOTAL</t>
  </si>
  <si>
    <t>CAJA INICIAL</t>
  </si>
  <si>
    <t>PAGO DE CREDITOS</t>
  </si>
  <si>
    <t>CAJA FINAL</t>
  </si>
  <si>
    <t>TOTAL SALDOS</t>
  </si>
  <si>
    <t xml:space="preserve">PRESTAMOS EMPLEADOS </t>
  </si>
  <si>
    <t xml:space="preserve">ARMANDO </t>
  </si>
  <si>
    <t>JUAN DANIEL</t>
  </si>
  <si>
    <t xml:space="preserve">KAREN </t>
  </si>
  <si>
    <t>YEROM</t>
  </si>
  <si>
    <t>JOSE DIAZ</t>
  </si>
  <si>
    <t>CESAR</t>
  </si>
  <si>
    <t>CAMILO BRAYAN</t>
  </si>
  <si>
    <t>DAVID</t>
  </si>
  <si>
    <t>LAURA</t>
  </si>
  <si>
    <t>BRAYAN</t>
  </si>
  <si>
    <t>GUSTAVO</t>
  </si>
  <si>
    <t>DIEGO</t>
  </si>
  <si>
    <t>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</si>
</sst>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&quot;$&quot;#,##0"/>
    <numFmt numFmtId="166" formatCode="[$ $]#,##0"/>
    <numFmt numFmtId="167" formatCode="_(&quot;$&quot;\ * #,##0_);_(&quot;$&quot;\ * \(#,##0\);_(&quot;$&quot;\ * &quot;-&quot;??_);_(@_)"/>
    <numFmt numFmtId="168" formatCode="&quot;$&quot;#,##0.00"/>
    <numFmt numFmtId="169" formatCode="&quot;$&quot;\ #,##0"/>
    <numFmt numFmtId="170" formatCode="dd/mm"/>
    <numFmt numFmtId="171" formatCode="&quot;$&quot;\ #,##0_);[Red]\(&quot;$&quot;\ #,##0\)"/>
  </numFmts>
  <fonts count="28">
    <font>
      <sz val="10"/>
      <color rgb="FF000000"/>
      <name val="Arial"/>
      <scheme val="minor"/>
    </font>
    <font>
      <sz val="20"/>
      <color theme="1"/>
      <name val="Calibri"/>
    </font>
    <font>
      <sz val="10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Arial"/>
    </font>
    <font>
      <b/>
      <sz val="11"/>
      <color theme="1"/>
      <name val="Arial Rounded"/>
    </font>
    <font>
      <sz val="11"/>
      <color theme="1"/>
      <name val="Calibri"/>
    </font>
    <font>
      <b/>
      <i/>
      <sz val="10"/>
      <color rgb="FFFFFFFF"/>
      <name val="Arial"/>
    </font>
    <font>
      <b/>
      <sz val="10"/>
      <color theme="1"/>
      <name val="Arial"/>
    </font>
    <font>
      <sz val="10"/>
      <color theme="0"/>
      <name val="Arial"/>
    </font>
    <font>
      <sz val="10"/>
      <color rgb="FFFFFFFF"/>
      <name val="Arial"/>
    </font>
    <font>
      <b/>
      <i/>
      <sz val="10"/>
      <color theme="0"/>
      <name val="Arial"/>
    </font>
    <font>
      <b/>
      <sz val="12"/>
      <color rgb="FFFFFFFF"/>
      <name val="Arial"/>
    </font>
    <font>
      <strike/>
      <sz val="11"/>
      <color theme="1"/>
      <name val="Calibri"/>
    </font>
    <font>
      <b/>
      <sz val="10"/>
      <color theme="1"/>
      <name val="Arial"/>
      <scheme val="minor"/>
    </font>
    <font>
      <b/>
      <sz val="12"/>
      <color theme="0"/>
      <name val="Calibri"/>
    </font>
    <font>
      <b/>
      <sz val="11"/>
      <color rgb="FFFFFFFF"/>
      <name val="Calibri"/>
    </font>
    <font>
      <b/>
      <sz val="12"/>
      <color rgb="FF0000FF"/>
      <name val="Calibri"/>
    </font>
    <font>
      <b/>
      <sz val="11"/>
      <color rgb="FF0000FF"/>
      <name val="Calibri"/>
    </font>
    <font>
      <sz val="13"/>
      <color theme="0"/>
      <name val="Calibri"/>
    </font>
    <font>
      <b/>
      <sz val="13"/>
      <color rgb="FF0000FF"/>
      <name val="Calibri"/>
    </font>
    <font>
      <u/>
      <sz val="11"/>
      <color theme="1"/>
      <name val="Calibri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0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rgb="FF45818E"/>
        <bgColor rgb="FF45818E"/>
      </patternFill>
    </fill>
    <fill>
      <patternFill patternType="solid">
        <fgColor rgb="FF274E13"/>
        <bgColor rgb="FF274E13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134F5C"/>
        <bgColor rgb="FF134F5C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DD7E6B"/>
        <bgColor rgb="FFDD7E6B"/>
      </patternFill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</fills>
  <borders count="26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548DD4"/>
      </right>
      <top style="medium">
        <color rgb="FF548DD4"/>
      </top>
      <bottom/>
      <diagonal/>
    </border>
    <border>
      <left/>
      <right style="medium">
        <color rgb="FF000000"/>
      </right>
      <top/>
      <bottom style="thick">
        <color rgb="FFFF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548DD4"/>
      </right>
      <top/>
      <bottom/>
      <diagonal/>
    </border>
    <border>
      <left style="thick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CC0000"/>
      </left>
      <right/>
      <top style="thin">
        <color rgb="FFCC0000"/>
      </top>
      <bottom style="thin">
        <color rgb="FFCC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CC0000"/>
      </left>
      <right style="thin">
        <color rgb="FFCC0000"/>
      </right>
      <top/>
      <bottom/>
      <diagonal/>
    </border>
    <border>
      <left style="thick">
        <color rgb="FFCC0000"/>
      </left>
      <right/>
      <top/>
      <bottom/>
      <diagonal/>
    </border>
    <border>
      <left style="medium">
        <color rgb="FF0000FF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/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 style="medium">
        <color rgb="FF00FF00"/>
      </right>
      <top/>
      <bottom/>
      <diagonal/>
    </border>
    <border>
      <left style="medium">
        <color rgb="FF00FF00"/>
      </left>
      <right style="medium">
        <color rgb="FF00FF00"/>
      </right>
      <top/>
      <bottom style="medium">
        <color rgb="FF00FF00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 style="medium">
        <color rgb="FF3C78D8"/>
      </bottom>
      <diagonal/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  <diagonal/>
    </border>
    <border>
      <left style="medium">
        <color rgb="FF0000FF"/>
      </left>
      <right/>
      <top/>
      <bottom/>
      <diagonal/>
    </border>
    <border>
      <left style="medium">
        <color rgb="FF4A86E8"/>
      </left>
      <right style="medium">
        <color rgb="FF4A86E8"/>
      </right>
      <top style="medium">
        <color rgb="FF3C78D8"/>
      </top>
      <bottom style="medium">
        <color rgb="FF3C78D8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medium">
        <color rgb="FF4A86E8"/>
      </left>
      <right style="medium">
        <color rgb="FF4A86E8"/>
      </right>
      <top style="medium">
        <color rgb="FF3C78D8"/>
      </top>
      <bottom/>
      <diagonal/>
    </border>
    <border>
      <left style="medium">
        <color rgb="FF3C78D8"/>
      </left>
      <right style="medium">
        <color rgb="FF3C78D8"/>
      </right>
      <top style="medium">
        <color rgb="FF3C78D8"/>
      </top>
      <bottom/>
      <diagonal/>
    </border>
    <border>
      <left style="medium">
        <color rgb="FF00FF00"/>
      </left>
      <right/>
      <top style="medium">
        <color rgb="FF00FF00"/>
      </top>
      <bottom/>
      <diagonal/>
    </border>
    <border>
      <left style="medium">
        <color rgb="FF93C47D"/>
      </left>
      <right style="medium">
        <color rgb="FF93C47D"/>
      </right>
      <top style="medium">
        <color rgb="FF93C47D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medium">
        <color rgb="FF00FF00"/>
      </left>
      <right/>
      <top/>
      <bottom/>
      <diagonal/>
    </border>
    <border>
      <left style="medium">
        <color rgb="FF93C47D"/>
      </left>
      <right style="medium">
        <color rgb="FF93C47D"/>
      </right>
      <top style="thin">
        <color rgb="FF00FF00"/>
      </top>
      <bottom style="thin">
        <color rgb="FF00FF00"/>
      </bottom>
      <diagonal/>
    </border>
    <border>
      <left style="medium">
        <color rgb="FF00FF00"/>
      </left>
      <right/>
      <top/>
      <bottom style="medium">
        <color rgb="FF00FF00"/>
      </bottom>
      <diagonal/>
    </border>
    <border>
      <left style="medium">
        <color rgb="FF93C47D"/>
      </left>
      <right style="medium">
        <color rgb="FF93C47D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medium">
        <color rgb="FF660000"/>
      </left>
      <right/>
      <top style="medium">
        <color rgb="FF660000"/>
      </top>
      <bottom/>
      <diagonal/>
    </border>
    <border>
      <left style="medium">
        <color rgb="FF980000"/>
      </left>
      <right style="medium">
        <color rgb="FF980000"/>
      </right>
      <top style="medium">
        <color rgb="FF980000"/>
      </top>
      <bottom style="medium">
        <color rgb="FF660000"/>
      </bottom>
      <diagonal/>
    </border>
    <border>
      <left style="medium">
        <color rgb="FF660000"/>
      </left>
      <right style="medium">
        <color rgb="FF660000"/>
      </right>
      <top style="medium">
        <color rgb="FF660000"/>
      </top>
      <bottom style="medium">
        <color rgb="FF660000"/>
      </bottom>
      <diagonal/>
    </border>
    <border>
      <left style="medium">
        <color rgb="FF660000"/>
      </left>
      <right/>
      <top/>
      <bottom/>
      <diagonal/>
    </border>
    <border>
      <left style="medium">
        <color rgb="FF980000"/>
      </left>
      <right style="medium">
        <color rgb="FF980000"/>
      </right>
      <top/>
      <bottom style="medium">
        <color rgb="FF990000"/>
      </bottom>
      <diagonal/>
    </border>
    <border>
      <left style="medium">
        <color rgb="FF990000"/>
      </left>
      <right style="medium">
        <color rgb="FF990000"/>
      </right>
      <top/>
      <bottom style="medium">
        <color rgb="FF990000"/>
      </bottom>
      <diagonal/>
    </border>
    <border>
      <left style="medium">
        <color rgb="FF980000"/>
      </left>
      <right style="medium">
        <color rgb="FF980000"/>
      </right>
      <top style="medium">
        <color rgb="FF990000"/>
      </top>
      <bottom style="medium">
        <color rgb="FF990000"/>
      </bottom>
      <diagonal/>
    </border>
    <border>
      <left style="medium">
        <color rgb="FF990000"/>
      </left>
      <right style="medium">
        <color rgb="FF990000"/>
      </right>
      <top style="medium">
        <color rgb="FF990000"/>
      </top>
      <bottom style="medium">
        <color rgb="FF990000"/>
      </bottom>
      <diagonal/>
    </border>
    <border>
      <left style="medium">
        <color rgb="FF980000"/>
      </left>
      <right style="medium">
        <color rgb="FF980000"/>
      </right>
      <top style="medium">
        <color rgb="FF990000"/>
      </top>
      <bottom/>
      <diagonal/>
    </border>
    <border>
      <left style="medium">
        <color rgb="FF990000"/>
      </left>
      <right style="medium">
        <color rgb="FF990000"/>
      </right>
      <top style="medium">
        <color rgb="FF990000"/>
      </top>
      <bottom/>
      <diagonal/>
    </border>
    <border>
      <left style="medium">
        <color rgb="FF660000"/>
      </left>
      <right/>
      <top/>
      <bottom style="medium">
        <color rgb="FF660000"/>
      </bottom>
      <diagonal/>
    </border>
    <border>
      <left style="medium">
        <color rgb="FF980000"/>
      </left>
      <right style="medium">
        <color rgb="FF980000"/>
      </right>
      <top style="medium">
        <color rgb="FF980000"/>
      </top>
      <bottom style="medium">
        <color rgb="FF980000"/>
      </bottom>
      <diagonal/>
    </border>
    <border>
      <left style="medium">
        <color rgb="FF990000"/>
      </left>
      <right style="medium">
        <color rgb="FF990000"/>
      </right>
      <top style="medium">
        <color rgb="FF980000"/>
      </top>
      <bottom style="medium">
        <color rgb="FF980000"/>
      </bottom>
      <diagonal/>
    </border>
    <border>
      <left style="medium">
        <color rgb="FF990000"/>
      </left>
      <right style="medium">
        <color rgb="FF980000"/>
      </right>
      <top style="medium">
        <color rgb="FF980000"/>
      </top>
      <bottom style="medium">
        <color rgb="FF980000"/>
      </bottom>
      <diagonal/>
    </border>
    <border>
      <left style="medium">
        <color rgb="FF7F6000"/>
      </left>
      <right style="medium">
        <color rgb="FF7F6000"/>
      </right>
      <top style="medium">
        <color rgb="FF7F6000"/>
      </top>
      <bottom/>
      <diagonal/>
    </border>
    <border>
      <left style="medium">
        <color rgb="FF7F6000"/>
      </left>
      <right style="medium">
        <color rgb="FF7F6000"/>
      </right>
      <top/>
      <bottom style="medium">
        <color rgb="FF7F6000"/>
      </bottom>
      <diagonal/>
    </border>
    <border>
      <left style="medium">
        <color rgb="FF7F6000"/>
      </left>
      <right style="medium">
        <color rgb="FF7F6000"/>
      </right>
      <top/>
      <bottom/>
      <diagonal/>
    </border>
    <border>
      <left style="medium">
        <color rgb="FF7F6000"/>
      </left>
      <right style="medium">
        <color rgb="FF7F6000"/>
      </right>
      <top style="medium">
        <color rgb="FF7F6000"/>
      </top>
      <bottom style="medium">
        <color rgb="FF7F6000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/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medium">
        <color rgb="FFFF00FF"/>
      </left>
      <right style="medium">
        <color rgb="FFFF00FF"/>
      </right>
      <top/>
      <bottom/>
      <diagonal/>
    </border>
    <border>
      <left style="medium">
        <color rgb="FFFF00FF"/>
      </left>
      <right style="medium">
        <color rgb="FFFF00FF"/>
      </right>
      <top/>
      <bottom style="medium">
        <color rgb="FFFF00FF"/>
      </bottom>
      <diagonal/>
    </border>
    <border>
      <left style="medium">
        <color rgb="FF00FFFF"/>
      </left>
      <right style="medium">
        <color rgb="FF00FFFF"/>
      </right>
      <top/>
      <bottom style="medium">
        <color rgb="FF00FFFF"/>
      </bottom>
      <diagonal/>
    </border>
    <border>
      <left/>
      <right style="medium">
        <color rgb="FF073763"/>
      </right>
      <top/>
      <bottom style="medium">
        <color rgb="FF073763"/>
      </bottom>
      <diagonal/>
    </border>
    <border>
      <left/>
      <right style="thin">
        <color rgb="FFCC0000"/>
      </right>
      <top/>
      <bottom style="thin">
        <color rgb="FFCC0000"/>
      </bottom>
      <diagonal/>
    </border>
    <border>
      <left style="medium">
        <color rgb="FF00FFFF"/>
      </left>
      <right style="medium">
        <color rgb="FF00FFFF"/>
      </right>
      <top style="medium">
        <color rgb="FF00FFFF"/>
      </top>
      <bottom style="medium">
        <color rgb="FF00FFFF"/>
      </bottom>
      <diagonal/>
    </border>
    <border>
      <left style="medium">
        <color rgb="FF073763"/>
      </left>
      <right style="medium">
        <color rgb="FFC00000"/>
      </right>
      <top/>
      <bottom style="medium">
        <color rgb="FF073763"/>
      </bottom>
      <diagonal/>
    </border>
    <border>
      <left/>
      <right style="medium">
        <color rgb="FFC00000"/>
      </right>
      <top/>
      <bottom style="medium">
        <color rgb="FF073763"/>
      </bottom>
      <diagonal/>
    </border>
    <border>
      <left/>
      <right/>
      <top/>
      <bottom style="medium">
        <color rgb="FF073763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FF"/>
      </left>
      <right/>
      <top style="thin">
        <color rgb="FFFF00FF"/>
      </top>
      <bottom style="thin">
        <color rgb="FFFF00FF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B0F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548DD4"/>
      </right>
      <top style="medium">
        <color rgb="FF00B0F0"/>
      </top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medium">
        <color rgb="FF00B0F0"/>
      </right>
      <top/>
      <bottom style="thick">
        <color rgb="FFFF0000"/>
      </bottom>
      <diagonal/>
    </border>
    <border>
      <left/>
      <right style="medium">
        <color rgb="FF548DD4"/>
      </right>
      <top/>
      <bottom style="thick">
        <color rgb="FFFF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thick">
        <color rgb="FFFF0000"/>
      </left>
      <right style="medium">
        <color rgb="FF000000"/>
      </right>
      <top style="thick">
        <color rgb="FFFF0000"/>
      </top>
      <bottom style="thick">
        <color rgb="FFFF0000"/>
      </bottom>
      <diagonal/>
    </border>
    <border>
      <left/>
      <right style="thin">
        <color rgb="FF000000"/>
      </right>
      <top style="thick">
        <color rgb="FFFF0000"/>
      </top>
      <bottom style="thick">
        <color rgb="FFFF0000"/>
      </bottom>
      <diagonal/>
    </border>
    <border>
      <left/>
      <right style="medium">
        <color rgb="FFC0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9900"/>
      </left>
      <right style="medium">
        <color rgb="FF000000"/>
      </right>
      <top style="thick">
        <color rgb="FFFF99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ck">
        <color rgb="FFFF9900"/>
      </right>
      <top/>
      <bottom/>
      <diagonal/>
    </border>
    <border>
      <left style="thick">
        <color rgb="FFFF99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FF9900"/>
      </left>
      <right style="medium">
        <color rgb="FF000000"/>
      </right>
      <top/>
      <bottom style="thick">
        <color rgb="FFFF9900"/>
      </bottom>
      <diagonal/>
    </border>
    <border>
      <left style="thick">
        <color rgb="FFFF9900"/>
      </left>
      <right/>
      <top style="thick">
        <color rgb="FFFF9900"/>
      </top>
      <bottom style="thick">
        <color rgb="FFFF9900"/>
      </bottom>
      <diagonal/>
    </border>
    <border>
      <left/>
      <right style="thick">
        <color rgb="FF000000"/>
      </right>
      <top style="thick">
        <color rgb="FFFF9900"/>
      </top>
      <bottom style="thick">
        <color rgb="FFFF9900"/>
      </bottom>
      <diagonal/>
    </border>
    <border>
      <left/>
      <right style="medium">
        <color rgb="FF000000"/>
      </right>
      <top style="thick">
        <color rgb="FFFF9900"/>
      </top>
      <bottom style="thick">
        <color rgb="FFFF9900"/>
      </bottom>
      <diagonal/>
    </border>
    <border>
      <left/>
      <right style="thin">
        <color rgb="FF000000"/>
      </right>
      <top style="thick">
        <color rgb="FFFF9900"/>
      </top>
      <bottom style="thick">
        <color rgb="FFFF9900"/>
      </bottom>
      <diagonal/>
    </border>
    <border>
      <left/>
      <right style="medium">
        <color rgb="FF000000"/>
      </right>
      <top style="thick">
        <color rgb="FFFF9900"/>
      </top>
      <bottom style="thick">
        <color rgb="FFFF9900"/>
      </bottom>
      <diagonal/>
    </border>
    <border>
      <left/>
      <right style="medium">
        <color rgb="FFC00000"/>
      </right>
      <top style="thick">
        <color rgb="FFFF9900"/>
      </top>
      <bottom style="thick">
        <color rgb="FFFF9900"/>
      </bottom>
      <diagonal/>
    </border>
    <border>
      <left style="thick">
        <color rgb="FF00FF00"/>
      </left>
      <right/>
      <top style="thick">
        <color rgb="FF00FF00"/>
      </top>
      <bottom/>
      <diagonal/>
    </border>
    <border>
      <left/>
      <right style="thick">
        <color rgb="FF38761D"/>
      </right>
      <top/>
      <bottom/>
      <diagonal/>
    </border>
    <border>
      <left/>
      <right style="thick">
        <color rgb="FF00FF00"/>
      </right>
      <top/>
      <bottom/>
      <diagonal/>
    </border>
    <border>
      <left style="thick">
        <color rgb="FF00FF00"/>
      </left>
      <right/>
      <top/>
      <bottom/>
      <diagonal/>
    </border>
    <border>
      <left/>
      <right style="thick">
        <color rgb="FF990000"/>
      </right>
      <top/>
      <bottom/>
      <diagonal/>
    </border>
    <border>
      <left/>
      <right style="thick">
        <color rgb="FFCC0000"/>
      </right>
      <top/>
      <bottom/>
      <diagonal/>
    </border>
    <border>
      <left style="thick">
        <color rgb="FF00FF00"/>
      </left>
      <right/>
      <top/>
      <bottom style="thick">
        <color rgb="FF00FF00"/>
      </bottom>
      <diagonal/>
    </border>
    <border>
      <left style="thick">
        <color rgb="FF00FF00"/>
      </left>
      <right/>
      <top style="thick">
        <color rgb="FF00FF00"/>
      </top>
      <bottom style="thick">
        <color rgb="FF00FF00"/>
      </bottom>
      <diagonal/>
    </border>
    <border>
      <left/>
      <right style="thick">
        <color rgb="FF000000"/>
      </right>
      <top style="thick">
        <color rgb="FF00FF00"/>
      </top>
      <bottom style="thick">
        <color rgb="FF00FF00"/>
      </bottom>
      <diagonal/>
    </border>
    <border>
      <left/>
      <right style="medium">
        <color rgb="FF000000"/>
      </right>
      <top style="thick">
        <color rgb="FF00FF00"/>
      </top>
      <bottom style="thick">
        <color rgb="FF00FF00"/>
      </bottom>
      <diagonal/>
    </border>
    <border>
      <left/>
      <right style="thin">
        <color rgb="FF000000"/>
      </right>
      <top style="thick">
        <color rgb="FF00FF00"/>
      </top>
      <bottom style="thick">
        <color rgb="FF00FF00"/>
      </bottom>
      <diagonal/>
    </border>
    <border>
      <left/>
      <right style="medium">
        <color rgb="FF000000"/>
      </right>
      <top style="thick">
        <color rgb="FF00FF00"/>
      </top>
      <bottom style="thick">
        <color rgb="FF00FF00"/>
      </bottom>
      <diagonal/>
    </border>
    <border>
      <left/>
      <right style="medium">
        <color rgb="FFC00000"/>
      </right>
      <top style="thick">
        <color rgb="FF00FF00"/>
      </top>
      <bottom style="thick">
        <color rgb="FF00FF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FF"/>
      </bottom>
      <diagonal/>
    </border>
    <border>
      <left/>
      <right style="thin">
        <color rgb="FF000000"/>
      </right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00"/>
      </right>
      <top style="thick">
        <color rgb="FF0000FF"/>
      </top>
      <bottom/>
      <diagonal/>
    </border>
    <border>
      <left/>
      <right style="medium">
        <color rgb="FF000000"/>
      </right>
      <top style="thick">
        <color rgb="FF0000FF"/>
      </top>
      <bottom/>
      <diagonal/>
    </border>
    <border>
      <left/>
      <right style="thin">
        <color rgb="FF000000"/>
      </right>
      <top style="thick">
        <color rgb="FF0000FF"/>
      </top>
      <bottom/>
      <diagonal/>
    </border>
    <border>
      <left/>
      <right style="medium">
        <color rgb="FF000000"/>
      </right>
      <top style="thick">
        <color rgb="FF0000FF"/>
      </top>
      <bottom/>
      <diagonal/>
    </border>
    <border>
      <left/>
      <right style="medium">
        <color rgb="FFC00000"/>
      </right>
      <top style="thick">
        <color rgb="FF0000FF"/>
      </top>
      <bottom/>
      <diagonal/>
    </border>
    <border>
      <left style="thick">
        <color rgb="FF99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FF0000"/>
      </top>
      <bottom style="thin">
        <color rgb="FF000000"/>
      </bottom>
      <diagonal/>
    </border>
    <border>
      <left/>
      <right/>
      <top style="medium">
        <color rgb="FFFF0000"/>
      </top>
      <bottom/>
      <diagonal/>
    </border>
    <border>
      <left/>
      <right style="thin">
        <color rgb="FF000000"/>
      </right>
      <top style="medium">
        <color rgb="FFFF0000"/>
      </top>
      <bottom/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/>
      <right/>
      <top style="medium">
        <color rgb="FFFF0000"/>
      </top>
      <bottom/>
      <diagonal/>
    </border>
    <border>
      <left/>
      <right style="thick">
        <color rgb="FF99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ck">
        <color rgb="FF99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rgb="FF990000"/>
      </left>
      <right/>
      <top/>
      <bottom style="thick">
        <color rgb="FF990000"/>
      </bottom>
      <diagonal/>
    </border>
    <border>
      <left/>
      <right style="thick">
        <color rgb="FF000000"/>
      </right>
      <top style="medium">
        <color rgb="FFFF0000"/>
      </top>
      <bottom/>
      <diagonal/>
    </border>
    <border>
      <left/>
      <right style="medium">
        <color rgb="FF00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741B47"/>
      </left>
      <right style="medium">
        <color rgb="FF741B47"/>
      </right>
      <top style="medium">
        <color rgb="FF741B47"/>
      </top>
      <bottom/>
      <diagonal/>
    </border>
    <border>
      <left style="medium">
        <color rgb="FF741B47"/>
      </left>
      <right/>
      <top style="medium">
        <color rgb="FF741B47"/>
      </top>
      <bottom/>
      <diagonal/>
    </border>
    <border>
      <left style="medium">
        <color rgb="FF000000"/>
      </left>
      <right style="medium">
        <color rgb="FF000000"/>
      </right>
      <top style="medium">
        <color rgb="FF741B47"/>
      </top>
      <bottom style="thin">
        <color rgb="FF000000"/>
      </bottom>
      <diagonal/>
    </border>
    <border>
      <left/>
      <right/>
      <top style="medium">
        <color rgb="FF741B47"/>
      </top>
      <bottom/>
      <diagonal/>
    </border>
    <border>
      <left/>
      <right style="thin">
        <color rgb="FF000000"/>
      </right>
      <top style="medium">
        <color rgb="FF741B47"/>
      </top>
      <bottom/>
      <diagonal/>
    </border>
    <border>
      <left/>
      <right style="thin">
        <color rgb="FF000000"/>
      </right>
      <top style="medium">
        <color rgb="FF741B47"/>
      </top>
      <bottom style="thin">
        <color rgb="FF000000"/>
      </bottom>
      <diagonal/>
    </border>
    <border>
      <left/>
      <right/>
      <top style="medium">
        <color rgb="FF741B47"/>
      </top>
      <bottom/>
      <diagonal/>
    </border>
    <border>
      <left/>
      <right style="thick">
        <color rgb="FF76A5AF"/>
      </right>
      <top style="medium">
        <color rgb="FF741B47"/>
      </top>
      <bottom/>
      <diagonal/>
    </border>
    <border>
      <left/>
      <right style="medium">
        <color rgb="FF741B47"/>
      </right>
      <top style="medium">
        <color rgb="FF741B47"/>
      </top>
      <bottom/>
      <diagonal/>
    </border>
    <border>
      <left style="medium">
        <color rgb="FF741B47"/>
      </left>
      <right style="medium">
        <color rgb="FF741B47"/>
      </right>
      <top/>
      <bottom/>
      <diagonal/>
    </border>
    <border>
      <left style="medium">
        <color rgb="FF741B47"/>
      </left>
      <right/>
      <top/>
      <bottom/>
      <diagonal/>
    </border>
    <border>
      <left/>
      <right style="thick">
        <color rgb="FF76A5AF"/>
      </right>
      <top/>
      <bottom/>
      <diagonal/>
    </border>
    <border>
      <left/>
      <right style="medium">
        <color rgb="FF741B47"/>
      </right>
      <top/>
      <bottom/>
      <diagonal/>
    </border>
    <border>
      <left/>
      <right style="thick">
        <color rgb="FFFF00FF"/>
      </right>
      <top/>
      <bottom/>
      <diagonal/>
    </border>
    <border>
      <left style="medium">
        <color rgb="FF741B47"/>
      </left>
      <right style="medium">
        <color rgb="FF741B47"/>
      </right>
      <top/>
      <bottom style="medium">
        <color rgb="FF741B47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76A5AF"/>
      </left>
      <right/>
      <top/>
      <bottom/>
      <diagonal/>
    </border>
    <border>
      <left style="medium">
        <color rgb="FF980000"/>
      </left>
      <right/>
      <top style="medium">
        <color rgb="FF980000"/>
      </top>
      <bottom style="medium">
        <color rgb="FF980000"/>
      </bottom>
      <diagonal/>
    </border>
    <border>
      <left style="medium">
        <color rgb="FF000000"/>
      </left>
      <right style="medium">
        <color rgb="FF000000"/>
      </right>
      <top style="medium">
        <color rgb="FF980000"/>
      </top>
      <bottom style="medium">
        <color rgb="FF980000"/>
      </bottom>
      <diagonal/>
    </border>
    <border>
      <left/>
      <right/>
      <top style="medium">
        <color rgb="FF980000"/>
      </top>
      <bottom style="medium">
        <color rgb="FF980000"/>
      </bottom>
      <diagonal/>
    </border>
    <border>
      <left/>
      <right style="thin">
        <color rgb="FF000000"/>
      </right>
      <top style="medium">
        <color rgb="FF980000"/>
      </top>
      <bottom style="medium">
        <color rgb="FF980000"/>
      </bottom>
      <diagonal/>
    </border>
    <border>
      <left/>
      <right/>
      <top style="medium">
        <color rgb="FF980000"/>
      </top>
      <bottom style="medium">
        <color rgb="FF98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ck">
        <color rgb="FF6D9EEB"/>
      </right>
      <top/>
      <bottom/>
      <diagonal/>
    </border>
    <border>
      <left/>
      <right style="thin">
        <color rgb="FF000000"/>
      </right>
      <top/>
      <bottom style="thick">
        <color rgb="FF76A5AF"/>
      </bottom>
      <diagonal/>
    </border>
    <border>
      <left style="thick">
        <color rgb="FF76A5AF"/>
      </left>
      <right/>
      <top/>
      <bottom style="thick">
        <color rgb="FF76A5AF"/>
      </bottom>
      <diagonal/>
    </border>
    <border>
      <left style="thick">
        <color rgb="FF4A86E8"/>
      </left>
      <right/>
      <top style="thick">
        <color rgb="FF4A86E8"/>
      </top>
      <bottom style="thick">
        <color rgb="FF4A86E8"/>
      </bottom>
      <diagonal/>
    </border>
    <border>
      <left/>
      <right style="thin">
        <color rgb="FF000000"/>
      </right>
      <top style="thick">
        <color rgb="FF4A86E8"/>
      </top>
      <bottom style="thick">
        <color rgb="FF4A86E8"/>
      </bottom>
      <diagonal/>
    </border>
    <border>
      <left/>
      <right style="thin">
        <color rgb="FF000000"/>
      </right>
      <top style="thick">
        <color rgb="FF4A86E8"/>
      </top>
      <bottom style="thick">
        <color rgb="FF4A86E8"/>
      </bottom>
      <diagonal/>
    </border>
    <border>
      <left/>
      <right style="thick">
        <color rgb="FF76A5AF"/>
      </right>
      <top style="thick">
        <color rgb="FF4A86E8"/>
      </top>
      <bottom style="thick">
        <color rgb="FF4A86E8"/>
      </bottom>
      <diagonal/>
    </border>
    <border>
      <left/>
      <right style="thick">
        <color rgb="FF4A86E8"/>
      </right>
      <top style="thick">
        <color rgb="FF4A86E8"/>
      </top>
      <bottom style="thick">
        <color rgb="FF4A86E8"/>
      </bottom>
      <diagonal/>
    </border>
    <border>
      <left style="thick">
        <color rgb="FFFF00FF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FF00FF"/>
      </top>
      <bottom/>
      <diagonal/>
    </border>
    <border>
      <left/>
      <right style="thin">
        <color rgb="FF000000"/>
      </right>
      <top style="thick">
        <color rgb="FFFF00FF"/>
      </top>
      <bottom style="thin">
        <color rgb="FF000000"/>
      </bottom>
      <diagonal/>
    </border>
    <border>
      <left/>
      <right/>
      <top style="thick">
        <color rgb="FFFF00FF"/>
      </top>
      <bottom/>
      <diagonal/>
    </border>
    <border>
      <left/>
      <right style="thick">
        <color rgb="FFFF00FF"/>
      </right>
      <top style="thick">
        <color rgb="FFFF00FF"/>
      </top>
      <bottom/>
      <diagonal/>
    </border>
    <border>
      <left/>
      <right/>
      <top/>
      <bottom style="thick">
        <color rgb="FFFF00FF"/>
      </bottom>
      <diagonal/>
    </border>
    <border>
      <left/>
      <right style="thin">
        <color rgb="FF000000"/>
      </right>
      <top/>
      <bottom style="thick">
        <color rgb="FFFF00FF"/>
      </bottom>
      <diagonal/>
    </border>
    <border>
      <left/>
      <right/>
      <top/>
      <bottom style="thick">
        <color rgb="FFFF00FF"/>
      </bottom>
      <diagonal/>
    </border>
    <border>
      <left/>
      <right style="thick">
        <color rgb="FFFF00FF"/>
      </right>
      <top/>
      <bottom style="thick">
        <color rgb="FFFF00FF"/>
      </bottom>
      <diagonal/>
    </border>
    <border>
      <left style="thick">
        <color rgb="FFFF00FF"/>
      </left>
      <right/>
      <top/>
      <bottom style="thick">
        <color rgb="FFFF00FF"/>
      </bottom>
      <diagonal/>
    </border>
    <border>
      <left style="thick">
        <color rgb="FFFF00FF"/>
      </left>
      <right/>
      <top style="thick">
        <color rgb="FFFF00FF"/>
      </top>
      <bottom style="thick">
        <color rgb="FFFF00FF"/>
      </bottom>
      <diagonal/>
    </border>
    <border>
      <left/>
      <right style="thick">
        <color rgb="FF000000"/>
      </right>
      <top style="thick">
        <color rgb="FFFF00FF"/>
      </top>
      <bottom style="thick">
        <color rgb="FFFF00FF"/>
      </bottom>
      <diagonal/>
    </border>
    <border>
      <left/>
      <right/>
      <top style="thick">
        <color rgb="FFFF00FF"/>
      </top>
      <bottom style="thick">
        <color rgb="FFFF00FF"/>
      </bottom>
      <diagonal/>
    </border>
    <border>
      <left/>
      <right style="thin">
        <color rgb="FF000000"/>
      </right>
      <top style="thick">
        <color rgb="FFFF00FF"/>
      </top>
      <bottom style="thick">
        <color rgb="FFFF00FF"/>
      </bottom>
      <diagonal/>
    </border>
    <border>
      <left/>
      <right style="medium">
        <color rgb="FF000000"/>
      </right>
      <top style="thick">
        <color rgb="FFFF00FF"/>
      </top>
      <bottom style="thick">
        <color rgb="FFFF00FF"/>
      </bottom>
      <diagonal/>
    </border>
    <border>
      <left/>
      <right style="medium">
        <color rgb="FFC00000"/>
      </right>
      <top style="thick">
        <color rgb="FFFF00FF"/>
      </top>
      <bottom style="thick">
        <color rgb="FFFF00FF"/>
      </bottom>
      <diagonal/>
    </border>
    <border>
      <left/>
      <right style="thick">
        <color rgb="FFFF00FF"/>
      </right>
      <top style="thick">
        <color rgb="FFFF00FF"/>
      </top>
      <bottom style="thick">
        <color rgb="FFFF00FF"/>
      </bottom>
      <diagonal/>
    </border>
    <border>
      <left style="thick">
        <color rgb="FFFFFF00"/>
      </left>
      <right/>
      <top/>
      <bottom/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/>
      <top/>
      <bottom style="thin">
        <color rgb="FFC0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CC0000"/>
      </left>
      <right/>
      <top style="thick">
        <color rgb="FFCC0000"/>
      </top>
      <bottom style="thick">
        <color rgb="FFCC0000"/>
      </bottom>
      <diagonal/>
    </border>
    <border>
      <left style="thick">
        <color rgb="FFCC0000"/>
      </left>
      <right style="thick">
        <color rgb="FFCC0000"/>
      </right>
      <top style="thick">
        <color rgb="FFCC0000"/>
      </top>
      <bottom style="thick">
        <color rgb="FFCC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medium">
        <color rgb="FFFF0000"/>
      </bottom>
      <diagonal/>
    </border>
    <border>
      <left/>
      <right/>
      <top/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medium">
        <color rgb="FFFF0000"/>
      </right>
      <top/>
      <bottom style="medium">
        <color rgb="FFC00000"/>
      </bottom>
      <diagonal/>
    </border>
    <border>
      <left style="medium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thick">
        <color rgb="FFFF0000"/>
      </right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0000"/>
      </left>
      <right style="thin">
        <color rgb="FFCC0000"/>
      </right>
      <top/>
      <bottom/>
      <diagonal/>
    </border>
    <border>
      <left style="thin">
        <color rgb="FFFF0000"/>
      </left>
      <right style="thin">
        <color rgb="FFCC0000"/>
      </right>
      <top style="thin">
        <color rgb="FFFF0000"/>
      </top>
      <bottom style="thin">
        <color rgb="FFFF0000"/>
      </bottom>
      <diagonal/>
    </border>
    <border>
      <left style="thin">
        <color rgb="FFCC0000"/>
      </left>
      <right style="thin">
        <color rgb="FFCC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CC0000"/>
      </left>
      <right style="thin">
        <color rgb="FFCC0000"/>
      </right>
      <top/>
      <bottom style="thin">
        <color rgb="FFCC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00">
    <xf numFmtId="0" fontId="0" fillId="0" borderId="0" xfId="0"/>
    <xf numFmtId="164" fontId="3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2" borderId="0" xfId="0" applyFont="1" applyFill="1"/>
    <xf numFmtId="165" fontId="5" fillId="0" borderId="0" xfId="0" applyNumberFormat="1" applyFont="1"/>
    <xf numFmtId="0" fontId="5" fillId="0" borderId="6" xfId="0" applyFont="1" applyBorder="1"/>
    <xf numFmtId="166" fontId="3" fillId="0" borderId="8" xfId="0" applyNumberFormat="1" applyFont="1" applyBorder="1"/>
    <xf numFmtId="164" fontId="3" fillId="0" borderId="9" xfId="0" applyNumberFormat="1" applyFont="1" applyBorder="1" applyAlignment="1">
      <alignment horizontal="right" wrapText="1"/>
    </xf>
    <xf numFmtId="164" fontId="5" fillId="0" borderId="9" xfId="0" applyNumberFormat="1" applyFont="1" applyBorder="1" applyAlignment="1">
      <alignment horizontal="right"/>
    </xf>
    <xf numFmtId="164" fontId="5" fillId="2" borderId="9" xfId="0" applyNumberFormat="1" applyFont="1" applyFill="1" applyBorder="1" applyAlignment="1">
      <alignment horizontal="right"/>
    </xf>
    <xf numFmtId="164" fontId="5" fillId="0" borderId="9" xfId="0" applyNumberFormat="1" applyFont="1" applyBorder="1"/>
    <xf numFmtId="164" fontId="5" fillId="2" borderId="9" xfId="0" applyNumberFormat="1" applyFont="1" applyFill="1" applyBorder="1"/>
    <xf numFmtId="164" fontId="7" fillId="0" borderId="9" xfId="0" applyNumberFormat="1" applyFont="1" applyBorder="1" applyAlignment="1">
      <alignment horizontal="right"/>
    </xf>
    <xf numFmtId="167" fontId="7" fillId="0" borderId="10" xfId="0" applyNumberFormat="1" applyFont="1" applyBorder="1" applyAlignment="1">
      <alignment horizontal="right"/>
    </xf>
    <xf numFmtId="167" fontId="7" fillId="0" borderId="11" xfId="0" applyNumberFormat="1" applyFont="1" applyBorder="1" applyAlignment="1">
      <alignment horizontal="right"/>
    </xf>
    <xf numFmtId="164" fontId="7" fillId="0" borderId="12" xfId="0" applyNumberFormat="1" applyFont="1" applyBorder="1" applyAlignment="1">
      <alignment horizontal="right"/>
    </xf>
    <xf numFmtId="166" fontId="3" fillId="0" borderId="13" xfId="0" applyNumberFormat="1" applyFont="1" applyBorder="1"/>
    <xf numFmtId="1" fontId="3" fillId="0" borderId="13" xfId="0" applyNumberFormat="1" applyFont="1" applyBorder="1"/>
    <xf numFmtId="166" fontId="3" fillId="0" borderId="14" xfId="0" applyNumberFormat="1" applyFont="1" applyBorder="1"/>
    <xf numFmtId="167" fontId="7" fillId="0" borderId="15" xfId="0" applyNumberFormat="1" applyFont="1" applyBorder="1" applyAlignment="1">
      <alignment horizontal="right"/>
    </xf>
    <xf numFmtId="1" fontId="5" fillId="0" borderId="7" xfId="0" applyNumberFormat="1" applyFont="1" applyBorder="1"/>
    <xf numFmtId="164" fontId="3" fillId="0" borderId="17" xfId="0" applyNumberFormat="1" applyFont="1" applyBorder="1" applyAlignment="1">
      <alignment horizontal="right" wrapText="1"/>
    </xf>
    <xf numFmtId="164" fontId="3" fillId="2" borderId="17" xfId="0" applyNumberFormat="1" applyFont="1" applyFill="1" applyBorder="1" applyAlignment="1">
      <alignment horizontal="right" wrapText="1"/>
    </xf>
    <xf numFmtId="164" fontId="3" fillId="0" borderId="18" xfId="0" applyNumberFormat="1" applyFont="1" applyBorder="1" applyAlignment="1">
      <alignment horizontal="right" wrapText="1"/>
    </xf>
    <xf numFmtId="167" fontId="5" fillId="0" borderId="19" xfId="0" applyNumberFormat="1" applyFont="1" applyBorder="1"/>
    <xf numFmtId="167" fontId="3" fillId="0" borderId="19" xfId="0" applyNumberFormat="1" applyFont="1" applyBorder="1" applyAlignment="1">
      <alignment horizontal="right"/>
    </xf>
    <xf numFmtId="1" fontId="3" fillId="0" borderId="21" xfId="0" applyNumberFormat="1" applyFont="1" applyBorder="1"/>
    <xf numFmtId="164" fontId="5" fillId="0" borderId="22" xfId="0" applyNumberFormat="1" applyFont="1" applyBorder="1"/>
    <xf numFmtId="164" fontId="5" fillId="2" borderId="22" xfId="0" applyNumberFormat="1" applyFont="1" applyFill="1" applyBorder="1"/>
    <xf numFmtId="164" fontId="5" fillId="0" borderId="22" xfId="0" applyNumberFormat="1" applyFont="1" applyBorder="1" applyAlignment="1">
      <alignment horizontal="right"/>
    </xf>
    <xf numFmtId="164" fontId="7" fillId="0" borderId="22" xfId="0" applyNumberFormat="1" applyFont="1" applyBorder="1" applyAlignment="1">
      <alignment horizontal="right"/>
    </xf>
    <xf numFmtId="167" fontId="7" fillId="0" borderId="23" xfId="0" applyNumberFormat="1" applyFont="1" applyBorder="1" applyAlignment="1">
      <alignment horizontal="right"/>
    </xf>
    <xf numFmtId="167" fontId="7" fillId="0" borderId="24" xfId="0" applyNumberFormat="1" applyFont="1" applyBorder="1" applyAlignment="1">
      <alignment horizontal="right"/>
    </xf>
    <xf numFmtId="1" fontId="3" fillId="0" borderId="26" xfId="0" applyNumberFormat="1" applyFont="1" applyBorder="1"/>
    <xf numFmtId="164" fontId="5" fillId="2" borderId="22" xfId="0" applyNumberFormat="1" applyFont="1" applyFill="1" applyBorder="1" applyAlignment="1">
      <alignment horizontal="right"/>
    </xf>
    <xf numFmtId="0" fontId="3" fillId="0" borderId="27" xfId="0" applyFont="1" applyBorder="1"/>
    <xf numFmtId="164" fontId="5" fillId="0" borderId="28" xfId="0" applyNumberFormat="1" applyFont="1" applyBorder="1"/>
    <xf numFmtId="164" fontId="5" fillId="2" borderId="28" xfId="0" applyNumberFormat="1" applyFont="1" applyFill="1" applyBorder="1"/>
    <xf numFmtId="164" fontId="5" fillId="0" borderId="28" xfId="0" applyNumberFormat="1" applyFont="1" applyBorder="1" applyAlignment="1">
      <alignment horizontal="right"/>
    </xf>
    <xf numFmtId="164" fontId="7" fillId="0" borderId="28" xfId="0" applyNumberFormat="1" applyFont="1" applyBorder="1" applyAlignment="1">
      <alignment horizontal="right"/>
    </xf>
    <xf numFmtId="0" fontId="3" fillId="0" borderId="30" xfId="0" applyFont="1" applyBorder="1"/>
    <xf numFmtId="164" fontId="5" fillId="0" borderId="30" xfId="0" applyNumberFormat="1" applyFont="1" applyBorder="1" applyAlignment="1">
      <alignment horizontal="right"/>
    </xf>
    <xf numFmtId="164" fontId="5" fillId="0" borderId="30" xfId="0" applyNumberFormat="1" applyFont="1" applyBorder="1"/>
    <xf numFmtId="164" fontId="5" fillId="2" borderId="30" xfId="0" applyNumberFormat="1" applyFont="1" applyFill="1" applyBorder="1"/>
    <xf numFmtId="164" fontId="7" fillId="0" borderId="30" xfId="0" applyNumberFormat="1" applyFont="1" applyBorder="1" applyAlignment="1">
      <alignment horizontal="right"/>
    </xf>
    <xf numFmtId="0" fontId="3" fillId="0" borderId="29" xfId="0" applyFont="1" applyBorder="1"/>
    <xf numFmtId="164" fontId="5" fillId="0" borderId="29" xfId="0" applyNumberFormat="1" applyFont="1" applyBorder="1"/>
    <xf numFmtId="164" fontId="5" fillId="2" borderId="29" xfId="0" applyNumberFormat="1" applyFont="1" applyFill="1" applyBorder="1"/>
    <xf numFmtId="164" fontId="7" fillId="0" borderId="29" xfId="0" applyNumberFormat="1" applyFont="1" applyBorder="1" applyAlignment="1">
      <alignment horizontal="right"/>
    </xf>
    <xf numFmtId="0" fontId="3" fillId="0" borderId="34" xfId="0" applyFont="1" applyBorder="1"/>
    <xf numFmtId="164" fontId="5" fillId="0" borderId="35" xfId="0" applyNumberFormat="1" applyFont="1" applyBorder="1"/>
    <xf numFmtId="164" fontId="5" fillId="2" borderId="35" xfId="0" applyNumberFormat="1" applyFont="1" applyFill="1" applyBorder="1"/>
    <xf numFmtId="164" fontId="7" fillId="0" borderId="35" xfId="0" applyNumberFormat="1" applyFont="1" applyBorder="1" applyAlignment="1">
      <alignment horizontal="right"/>
    </xf>
    <xf numFmtId="0" fontId="3" fillId="0" borderId="37" xfId="0" applyFont="1" applyBorder="1"/>
    <xf numFmtId="164" fontId="5" fillId="0" borderId="35" xfId="0" applyNumberFormat="1" applyFont="1" applyBorder="1" applyAlignment="1">
      <alignment horizontal="right"/>
    </xf>
    <xf numFmtId="164" fontId="5" fillId="2" borderId="35" xfId="0" applyNumberFormat="1" applyFont="1" applyFill="1" applyBorder="1" applyAlignment="1">
      <alignment horizontal="right"/>
    </xf>
    <xf numFmtId="167" fontId="5" fillId="0" borderId="10" xfId="0" applyNumberFormat="1" applyFont="1" applyBorder="1" applyAlignment="1">
      <alignment horizontal="right"/>
    </xf>
    <xf numFmtId="0" fontId="3" fillId="0" borderId="39" xfId="0" applyFont="1" applyBorder="1"/>
    <xf numFmtId="164" fontId="5" fillId="0" borderId="40" xfId="0" applyNumberFormat="1" applyFont="1" applyBorder="1"/>
    <xf numFmtId="164" fontId="5" fillId="2" borderId="40" xfId="0" applyNumberFormat="1" applyFont="1" applyFill="1" applyBorder="1"/>
    <xf numFmtId="164" fontId="7" fillId="0" borderId="40" xfId="0" applyNumberFormat="1" applyFont="1" applyBorder="1" applyAlignment="1">
      <alignment horizontal="right"/>
    </xf>
    <xf numFmtId="1" fontId="3" fillId="2" borderId="42" xfId="0" applyNumberFormat="1" applyFont="1" applyFill="1" applyBorder="1"/>
    <xf numFmtId="164" fontId="5" fillId="2" borderId="43" xfId="0" applyNumberFormat="1" applyFont="1" applyFill="1" applyBorder="1"/>
    <xf numFmtId="164" fontId="5" fillId="2" borderId="43" xfId="0" applyNumberFormat="1" applyFont="1" applyFill="1" applyBorder="1" applyAlignment="1">
      <alignment horizontal="right"/>
    </xf>
    <xf numFmtId="164" fontId="7" fillId="2" borderId="43" xfId="0" applyNumberFormat="1" applyFont="1" applyFill="1" applyBorder="1" applyAlignment="1">
      <alignment horizontal="right"/>
    </xf>
    <xf numFmtId="1" fontId="3" fillId="2" borderId="45" xfId="0" applyNumberFormat="1" applyFont="1" applyFill="1" applyBorder="1"/>
    <xf numFmtId="167" fontId="3" fillId="2" borderId="45" xfId="0" applyNumberFormat="1" applyFont="1" applyFill="1" applyBorder="1"/>
    <xf numFmtId="0" fontId="5" fillId="2" borderId="43" xfId="0" applyFont="1" applyFill="1" applyBorder="1"/>
    <xf numFmtId="0" fontId="3" fillId="2" borderId="45" xfId="0" applyFont="1" applyFill="1" applyBorder="1"/>
    <xf numFmtId="167" fontId="3" fillId="0" borderId="45" xfId="0" applyNumberFormat="1" applyFont="1" applyBorder="1"/>
    <xf numFmtId="164" fontId="5" fillId="0" borderId="43" xfId="0" applyNumberFormat="1" applyFont="1" applyBorder="1"/>
    <xf numFmtId="164" fontId="5" fillId="0" borderId="43" xfId="0" applyNumberFormat="1" applyFont="1" applyBorder="1" applyAlignment="1">
      <alignment horizontal="right"/>
    </xf>
    <xf numFmtId="164" fontId="7" fillId="0" borderId="43" xfId="0" applyNumberFormat="1" applyFont="1" applyBorder="1" applyAlignment="1">
      <alignment horizontal="right"/>
    </xf>
    <xf numFmtId="167" fontId="3" fillId="0" borderId="47" xfId="0" applyNumberFormat="1" applyFont="1" applyBorder="1"/>
    <xf numFmtId="164" fontId="5" fillId="0" borderId="48" xfId="0" applyNumberFormat="1" applyFont="1" applyBorder="1"/>
    <xf numFmtId="164" fontId="5" fillId="2" borderId="48" xfId="0" applyNumberFormat="1" applyFont="1" applyFill="1" applyBorder="1"/>
    <xf numFmtId="164" fontId="5" fillId="0" borderId="48" xfId="0" applyNumberFormat="1" applyFont="1" applyBorder="1" applyAlignment="1">
      <alignment horizontal="right"/>
    </xf>
    <xf numFmtId="164" fontId="7" fillId="0" borderId="48" xfId="0" applyNumberFormat="1" applyFont="1" applyBorder="1" applyAlignment="1">
      <alignment horizontal="right"/>
    </xf>
    <xf numFmtId="0" fontId="3" fillId="0" borderId="50" xfId="0" applyFont="1" applyBorder="1" applyAlignment="1">
      <alignment wrapText="1"/>
    </xf>
    <xf numFmtId="164" fontId="5" fillId="0" borderId="51" xfId="0" applyNumberFormat="1" applyFont="1" applyBorder="1"/>
    <xf numFmtId="164" fontId="5" fillId="0" borderId="51" xfId="0" applyNumberFormat="1" applyFont="1" applyBorder="1" applyAlignment="1">
      <alignment horizontal="right"/>
    </xf>
    <xf numFmtId="164" fontId="5" fillId="2" borderId="51" xfId="0" applyNumberFormat="1" applyFont="1" applyFill="1" applyBorder="1" applyAlignment="1">
      <alignment horizontal="right"/>
    </xf>
    <xf numFmtId="164" fontId="5" fillId="2" borderId="51" xfId="0" applyNumberFormat="1" applyFont="1" applyFill="1" applyBorder="1"/>
    <xf numFmtId="164" fontId="7" fillId="0" borderId="51" xfId="0" applyNumberFormat="1" applyFont="1" applyBorder="1" applyAlignment="1">
      <alignment horizontal="right"/>
    </xf>
    <xf numFmtId="0" fontId="3" fillId="0" borderId="53" xfId="0" applyFont="1" applyBorder="1" applyAlignment="1">
      <alignment wrapText="1"/>
    </xf>
    <xf numFmtId="164" fontId="5" fillId="0" borderId="54" xfId="0" applyNumberFormat="1" applyFont="1" applyBorder="1"/>
    <xf numFmtId="164" fontId="5" fillId="0" borderId="54" xfId="0" applyNumberFormat="1" applyFont="1" applyBorder="1" applyAlignment="1">
      <alignment horizontal="right"/>
    </xf>
    <xf numFmtId="164" fontId="5" fillId="2" borderId="54" xfId="0" applyNumberFormat="1" applyFont="1" applyFill="1" applyBorder="1" applyAlignment="1">
      <alignment horizontal="right"/>
    </xf>
    <xf numFmtId="164" fontId="5" fillId="2" borderId="54" xfId="0" applyNumberFormat="1" applyFont="1" applyFill="1" applyBorder="1"/>
    <xf numFmtId="164" fontId="7" fillId="0" borderId="54" xfId="0" applyNumberFormat="1" applyFont="1" applyBorder="1" applyAlignment="1">
      <alignment horizontal="right"/>
    </xf>
    <xf numFmtId="0" fontId="3" fillId="0" borderId="55" xfId="0" applyFont="1" applyBorder="1" applyAlignment="1">
      <alignment wrapText="1"/>
    </xf>
    <xf numFmtId="164" fontId="5" fillId="0" borderId="56" xfId="0" applyNumberFormat="1" applyFont="1" applyBorder="1"/>
    <xf numFmtId="164" fontId="5" fillId="2" borderId="56" xfId="0" applyNumberFormat="1" applyFont="1" applyFill="1" applyBorder="1"/>
    <xf numFmtId="164" fontId="5" fillId="0" borderId="56" xfId="0" applyNumberFormat="1" applyFont="1" applyBorder="1" applyAlignment="1">
      <alignment horizontal="right"/>
    </xf>
    <xf numFmtId="164" fontId="7" fillId="0" borderId="56" xfId="0" applyNumberFormat="1" applyFont="1" applyBorder="1" applyAlignment="1">
      <alignment horizontal="right"/>
    </xf>
    <xf numFmtId="0" fontId="3" fillId="0" borderId="55" xfId="0" applyFont="1" applyBorder="1"/>
    <xf numFmtId="0" fontId="3" fillId="0" borderId="57" xfId="0" applyFont="1" applyBorder="1" applyAlignment="1">
      <alignment wrapText="1"/>
    </xf>
    <xf numFmtId="164" fontId="5" fillId="0" borderId="58" xfId="0" applyNumberFormat="1" applyFont="1" applyBorder="1"/>
    <xf numFmtId="164" fontId="5" fillId="2" borderId="58" xfId="0" applyNumberFormat="1" applyFont="1" applyFill="1" applyBorder="1"/>
    <xf numFmtId="164" fontId="5" fillId="0" borderId="58" xfId="0" applyNumberFormat="1" applyFont="1" applyBorder="1" applyAlignment="1">
      <alignment horizontal="right"/>
    </xf>
    <xf numFmtId="164" fontId="7" fillId="0" borderId="58" xfId="0" applyNumberFormat="1" applyFont="1" applyBorder="1" applyAlignment="1">
      <alignment horizontal="right"/>
    </xf>
    <xf numFmtId="0" fontId="3" fillId="0" borderId="60" xfId="0" applyFont="1" applyBorder="1" applyAlignment="1">
      <alignment wrapText="1"/>
    </xf>
    <xf numFmtId="164" fontId="5" fillId="0" borderId="61" xfId="0" applyNumberFormat="1" applyFont="1" applyBorder="1"/>
    <xf numFmtId="164" fontId="5" fillId="2" borderId="61" xfId="0" applyNumberFormat="1" applyFont="1" applyFill="1" applyBorder="1"/>
    <xf numFmtId="164" fontId="7" fillId="0" borderId="62" xfId="0" applyNumberFormat="1" applyFont="1" applyBorder="1" applyAlignment="1">
      <alignment horizontal="right"/>
    </xf>
    <xf numFmtId="166" fontId="7" fillId="0" borderId="64" xfId="0" applyNumberFormat="1" applyFont="1" applyBorder="1"/>
    <xf numFmtId="164" fontId="5" fillId="0" borderId="64" xfId="0" applyNumberFormat="1" applyFont="1" applyBorder="1"/>
    <xf numFmtId="164" fontId="5" fillId="0" borderId="64" xfId="0" applyNumberFormat="1" applyFont="1" applyBorder="1" applyAlignment="1">
      <alignment horizontal="right"/>
    </xf>
    <xf numFmtId="164" fontId="5" fillId="2" borderId="64" xfId="0" applyNumberFormat="1" applyFont="1" applyFill="1" applyBorder="1"/>
    <xf numFmtId="164" fontId="7" fillId="0" borderId="64" xfId="0" applyNumberFormat="1" applyFont="1" applyBorder="1" applyAlignment="1">
      <alignment horizontal="right"/>
    </xf>
    <xf numFmtId="166" fontId="3" fillId="0" borderId="10" xfId="0" applyNumberFormat="1" applyFont="1" applyBorder="1" applyAlignment="1">
      <alignment horizontal="right"/>
    </xf>
    <xf numFmtId="167" fontId="7" fillId="0" borderId="66" xfId="0" applyNumberFormat="1" applyFont="1" applyBorder="1"/>
    <xf numFmtId="164" fontId="5" fillId="0" borderId="66" xfId="0" applyNumberFormat="1" applyFont="1" applyBorder="1"/>
    <xf numFmtId="164" fontId="5" fillId="2" borderId="66" xfId="0" applyNumberFormat="1" applyFont="1" applyFill="1" applyBorder="1"/>
    <xf numFmtId="164" fontId="5" fillId="0" borderId="66" xfId="0" applyNumberFormat="1" applyFont="1" applyBorder="1" applyAlignment="1">
      <alignment horizontal="right"/>
    </xf>
    <xf numFmtId="164" fontId="7" fillId="0" borderId="66" xfId="0" applyNumberFormat="1" applyFont="1" applyBorder="1" applyAlignment="1">
      <alignment horizontal="right"/>
    </xf>
    <xf numFmtId="0" fontId="3" fillId="0" borderId="66" xfId="0" applyFont="1" applyBorder="1"/>
    <xf numFmtId="167" fontId="3" fillId="0" borderId="66" xfId="0" applyNumberFormat="1" applyFont="1" applyBorder="1"/>
    <xf numFmtId="0" fontId="3" fillId="0" borderId="63" xfId="0" applyFont="1" applyBorder="1"/>
    <xf numFmtId="164" fontId="5" fillId="0" borderId="63" xfId="0" applyNumberFormat="1" applyFont="1" applyBorder="1"/>
    <xf numFmtId="164" fontId="5" fillId="2" borderId="63" xfId="0" applyNumberFormat="1" applyFont="1" applyFill="1" applyBorder="1"/>
    <xf numFmtId="164" fontId="5" fillId="0" borderId="63" xfId="0" applyNumberFormat="1" applyFont="1" applyBorder="1" applyAlignment="1">
      <alignment horizontal="right"/>
    </xf>
    <xf numFmtId="164" fontId="7" fillId="0" borderId="63" xfId="0" applyNumberFormat="1" applyFont="1" applyBorder="1" applyAlignment="1">
      <alignment horizontal="right"/>
    </xf>
    <xf numFmtId="166" fontId="3" fillId="0" borderId="68" xfId="0" applyNumberFormat="1" applyFont="1" applyBorder="1"/>
    <xf numFmtId="164" fontId="5" fillId="0" borderId="68" xfId="0" applyNumberFormat="1" applyFont="1" applyBorder="1"/>
    <xf numFmtId="164" fontId="5" fillId="2" borderId="68" xfId="0" applyNumberFormat="1" applyFont="1" applyFill="1" applyBorder="1"/>
    <xf numFmtId="164" fontId="5" fillId="0" borderId="68" xfId="0" applyNumberFormat="1" applyFont="1" applyBorder="1" applyAlignment="1">
      <alignment horizontal="right"/>
    </xf>
    <xf numFmtId="164" fontId="7" fillId="0" borderId="68" xfId="0" applyNumberFormat="1" applyFont="1" applyBorder="1" applyAlignment="1">
      <alignment horizontal="right"/>
    </xf>
    <xf numFmtId="166" fontId="3" fillId="0" borderId="71" xfId="0" applyNumberFormat="1" applyFont="1" applyBorder="1" applyAlignment="1">
      <alignment horizontal="center"/>
    </xf>
    <xf numFmtId="166" fontId="5" fillId="0" borderId="71" xfId="0" applyNumberFormat="1" applyFont="1" applyBorder="1"/>
    <xf numFmtId="166" fontId="5" fillId="2" borderId="71" xfId="0" applyNumberFormat="1" applyFont="1" applyFill="1" applyBorder="1"/>
    <xf numFmtId="166" fontId="8" fillId="3" borderId="72" xfId="0" applyNumberFormat="1" applyFont="1" applyFill="1" applyBorder="1" applyAlignment="1">
      <alignment horizontal="right"/>
    </xf>
    <xf numFmtId="167" fontId="5" fillId="0" borderId="0" xfId="0" applyNumberFormat="1" applyFont="1" applyAlignment="1">
      <alignment horizontal="right"/>
    </xf>
    <xf numFmtId="0" fontId="5" fillId="0" borderId="73" xfId="0" applyFont="1" applyBorder="1"/>
    <xf numFmtId="167" fontId="5" fillId="0" borderId="0" xfId="0" applyNumberFormat="1" applyFont="1"/>
    <xf numFmtId="166" fontId="3" fillId="0" borderId="74" xfId="0" applyNumberFormat="1" applyFont="1" applyBorder="1" applyAlignment="1">
      <alignment horizontal="center"/>
    </xf>
    <xf numFmtId="166" fontId="5" fillId="0" borderId="74" xfId="0" applyNumberFormat="1" applyFont="1" applyBorder="1"/>
    <xf numFmtId="166" fontId="5" fillId="2" borderId="74" xfId="0" applyNumberFormat="1" applyFont="1" applyFill="1" applyBorder="1"/>
    <xf numFmtId="0" fontId="3" fillId="0" borderId="74" xfId="0" applyFont="1" applyBorder="1" applyAlignment="1">
      <alignment horizontal="center"/>
    </xf>
    <xf numFmtId="166" fontId="5" fillId="0" borderId="74" xfId="0" applyNumberFormat="1" applyFont="1" applyBorder="1" applyAlignment="1">
      <alignment horizontal="right"/>
    </xf>
    <xf numFmtId="0" fontId="3" fillId="4" borderId="75" xfId="0" applyFont="1" applyFill="1" applyBorder="1" applyAlignment="1">
      <alignment horizontal="center"/>
    </xf>
    <xf numFmtId="166" fontId="5" fillId="4" borderId="76" xfId="0" applyNumberFormat="1" applyFont="1" applyFill="1" applyBorder="1"/>
    <xf numFmtId="166" fontId="9" fillId="4" borderId="76" xfId="0" applyNumberFormat="1" applyFont="1" applyFill="1" applyBorder="1" applyAlignment="1">
      <alignment horizontal="right"/>
    </xf>
    <xf numFmtId="166" fontId="5" fillId="4" borderId="77" xfId="0" applyNumberFormat="1" applyFont="1" applyFill="1" applyBorder="1"/>
    <xf numFmtId="166" fontId="9" fillId="4" borderId="77" xfId="0" applyNumberFormat="1" applyFont="1" applyFill="1" applyBorder="1" applyAlignment="1">
      <alignment horizontal="right"/>
    </xf>
    <xf numFmtId="166" fontId="8" fillId="5" borderId="72" xfId="0" applyNumberFormat="1" applyFont="1" applyFill="1" applyBorder="1" applyAlignment="1">
      <alignment horizontal="right"/>
    </xf>
    <xf numFmtId="0" fontId="10" fillId="3" borderId="0" xfId="0" applyFont="1" applyFill="1"/>
    <xf numFmtId="165" fontId="11" fillId="3" borderId="0" xfId="0" applyNumberFormat="1" applyFont="1" applyFill="1"/>
    <xf numFmtId="168" fontId="11" fillId="3" borderId="0" xfId="0" applyNumberFormat="1" applyFont="1" applyFill="1"/>
    <xf numFmtId="168" fontId="10" fillId="3" borderId="0" xfId="0" applyNumberFormat="1" applyFont="1" applyFill="1"/>
    <xf numFmtId="166" fontId="12" fillId="6" borderId="72" xfId="0" applyNumberFormat="1" applyFont="1" applyFill="1" applyBorder="1" applyAlignment="1">
      <alignment horizontal="right"/>
    </xf>
    <xf numFmtId="0" fontId="5" fillId="7" borderId="0" xfId="0" applyFont="1" applyFill="1"/>
    <xf numFmtId="166" fontId="9" fillId="7" borderId="78" xfId="0" applyNumberFormat="1" applyFont="1" applyFill="1" applyBorder="1"/>
    <xf numFmtId="166" fontId="9" fillId="7" borderId="9" xfId="0" applyNumberFormat="1" applyFont="1" applyFill="1" applyBorder="1"/>
    <xf numFmtId="166" fontId="9" fillId="7" borderId="79" xfId="0" applyNumberFormat="1" applyFont="1" applyFill="1" applyBorder="1"/>
    <xf numFmtId="166" fontId="9" fillId="7" borderId="80" xfId="0" applyNumberFormat="1" applyFont="1" applyFill="1" applyBorder="1" applyAlignment="1">
      <alignment horizontal="right"/>
    </xf>
    <xf numFmtId="165" fontId="5" fillId="0" borderId="22" xfId="0" applyNumberFormat="1" applyFont="1" applyBorder="1"/>
    <xf numFmtId="0" fontId="9" fillId="8" borderId="43" xfId="0" applyFont="1" applyFill="1" applyBorder="1"/>
    <xf numFmtId="0" fontId="5" fillId="0" borderId="80" xfId="0" applyFont="1" applyBorder="1"/>
    <xf numFmtId="166" fontId="13" fillId="9" borderId="70" xfId="0" applyNumberFormat="1" applyFont="1" applyFill="1" applyBorder="1" applyAlignment="1">
      <alignment horizontal="right"/>
    </xf>
    <xf numFmtId="165" fontId="9" fillId="0" borderId="43" xfId="0" applyNumberFormat="1" applyFont="1" applyBorder="1"/>
    <xf numFmtId="165" fontId="5" fillId="0" borderId="80" xfId="0" applyNumberFormat="1" applyFont="1" applyBorder="1"/>
    <xf numFmtId="0" fontId="5" fillId="0" borderId="81" xfId="0" applyFont="1" applyBorder="1"/>
    <xf numFmtId="165" fontId="9" fillId="0" borderId="48" xfId="0" applyNumberFormat="1" applyFont="1" applyBorder="1"/>
    <xf numFmtId="0" fontId="5" fillId="0" borderId="22" xfId="0" applyFont="1" applyBorder="1"/>
    <xf numFmtId="165" fontId="5" fillId="0" borderId="82" xfId="0" applyNumberFormat="1" applyFont="1" applyBorder="1"/>
    <xf numFmtId="0" fontId="5" fillId="0" borderId="83" xfId="0" applyFont="1" applyBorder="1" applyAlignment="1">
      <alignment horizontal="right"/>
    </xf>
    <xf numFmtId="165" fontId="9" fillId="0" borderId="68" xfId="0" applyNumberFormat="1" applyFont="1" applyBorder="1"/>
    <xf numFmtId="168" fontId="5" fillId="0" borderId="0" xfId="0" applyNumberFormat="1" applyFont="1"/>
    <xf numFmtId="166" fontId="5" fillId="0" borderId="84" xfId="0" applyNumberFormat="1" applyFont="1" applyBorder="1"/>
    <xf numFmtId="0" fontId="5" fillId="0" borderId="85" xfId="0" applyFont="1" applyBorder="1"/>
    <xf numFmtId="165" fontId="5" fillId="0" borderId="85" xfId="0" applyNumberFormat="1" applyFont="1" applyBorder="1"/>
    <xf numFmtId="166" fontId="5" fillId="0" borderId="0" xfId="0" applyNumberFormat="1" applyFont="1"/>
    <xf numFmtId="166" fontId="5" fillId="0" borderId="86" xfId="0" applyNumberFormat="1" applyFont="1" applyBorder="1"/>
    <xf numFmtId="0" fontId="5" fillId="0" borderId="9" xfId="0" applyFont="1" applyBorder="1"/>
    <xf numFmtId="165" fontId="5" fillId="0" borderId="9" xfId="0" applyNumberFormat="1" applyFont="1" applyBorder="1"/>
    <xf numFmtId="0" fontId="5" fillId="0" borderId="87" xfId="0" applyFont="1" applyBorder="1"/>
    <xf numFmtId="166" fontId="5" fillId="0" borderId="68" xfId="0" applyNumberFormat="1" applyFont="1" applyBorder="1"/>
    <xf numFmtId="0" fontId="9" fillId="0" borderId="79" xfId="0" applyFont="1" applyBorder="1"/>
    <xf numFmtId="165" fontId="9" fillId="0" borderId="79" xfId="0" applyNumberFormat="1" applyFont="1" applyBorder="1"/>
    <xf numFmtId="0" fontId="9" fillId="0" borderId="83" xfId="0" applyFont="1" applyBorder="1"/>
    <xf numFmtId="165" fontId="10" fillId="3" borderId="88" xfId="0" applyNumberFormat="1" applyFont="1" applyFill="1" applyBorder="1"/>
    <xf numFmtId="165" fontId="7" fillId="0" borderId="2" xfId="0" applyNumberFormat="1" applyFont="1" applyBorder="1" applyAlignment="1">
      <alignment horizontal="right" wrapText="1"/>
    </xf>
    <xf numFmtId="2" fontId="3" fillId="10" borderId="89" xfId="0" applyNumberFormat="1" applyFont="1" applyFill="1" applyBorder="1" applyAlignment="1">
      <alignment horizontal="center" wrapText="1"/>
    </xf>
    <xf numFmtId="0" fontId="3" fillId="0" borderId="90" xfId="0" applyFont="1" applyBorder="1" applyAlignment="1">
      <alignment horizontal="center" wrapText="1"/>
    </xf>
    <xf numFmtId="0" fontId="3" fillId="0" borderId="9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7" fillId="0" borderId="0" xfId="0" applyFont="1"/>
    <xf numFmtId="0" fontId="7" fillId="0" borderId="4" xfId="0" applyFont="1" applyBorder="1"/>
    <xf numFmtId="164" fontId="7" fillId="0" borderId="92" xfId="0" applyNumberFormat="1" applyFont="1" applyBorder="1"/>
    <xf numFmtId="0" fontId="7" fillId="0" borderId="92" xfId="0" applyFont="1" applyBorder="1"/>
    <xf numFmtId="165" fontId="7" fillId="0" borderId="92" xfId="0" applyNumberFormat="1" applyFont="1" applyBorder="1" applyAlignment="1">
      <alignment horizontal="right"/>
    </xf>
    <xf numFmtId="2" fontId="7" fillId="10" borderId="93" xfId="0" applyNumberFormat="1" applyFont="1" applyFill="1" applyBorder="1"/>
    <xf numFmtId="0" fontId="7" fillId="0" borderId="94" xfId="0" applyFont="1" applyBorder="1"/>
    <xf numFmtId="0" fontId="7" fillId="0" borderId="95" xfId="0" applyFont="1" applyBorder="1"/>
    <xf numFmtId="166" fontId="3" fillId="0" borderId="96" xfId="0" applyNumberFormat="1" applyFont="1" applyBorder="1"/>
    <xf numFmtId="164" fontId="7" fillId="0" borderId="97" xfId="0" applyNumberFormat="1" applyFont="1" applyBorder="1" applyAlignment="1">
      <alignment horizontal="right"/>
    </xf>
    <xf numFmtId="164" fontId="7" fillId="0" borderId="0" xfId="0" applyNumberFormat="1" applyFont="1"/>
    <xf numFmtId="164" fontId="7" fillId="0" borderId="98" xfId="0" applyNumberFormat="1" applyFont="1" applyBorder="1" applyAlignment="1">
      <alignment horizontal="right"/>
    </xf>
    <xf numFmtId="165" fontId="7" fillId="0" borderId="99" xfId="0" applyNumberFormat="1" applyFont="1" applyBorder="1" applyAlignment="1">
      <alignment horizontal="right"/>
    </xf>
    <xf numFmtId="2" fontId="7" fillId="10" borderId="100" xfId="0" applyNumberFormat="1" applyFont="1" applyFill="1" applyBorder="1"/>
    <xf numFmtId="167" fontId="7" fillId="0" borderId="0" xfId="0" applyNumberFormat="1" applyFont="1" applyAlignment="1">
      <alignment horizontal="right"/>
    </xf>
    <xf numFmtId="165" fontId="7" fillId="0" borderId="101" xfId="0" applyNumberFormat="1" applyFont="1" applyBorder="1" applyAlignment="1">
      <alignment horizontal="right"/>
    </xf>
    <xf numFmtId="165" fontId="7" fillId="0" borderId="102" xfId="0" applyNumberFormat="1" applyFont="1" applyBorder="1" applyAlignment="1">
      <alignment horizontal="right"/>
    </xf>
    <xf numFmtId="164" fontId="7" fillId="0" borderId="97" xfId="0" applyNumberFormat="1" applyFont="1" applyBorder="1"/>
    <xf numFmtId="1" fontId="3" fillId="0" borderId="96" xfId="0" applyNumberFormat="1" applyFont="1" applyBorder="1"/>
    <xf numFmtId="165" fontId="7" fillId="0" borderId="80" xfId="0" applyNumberFormat="1" applyFont="1" applyBorder="1" applyAlignment="1">
      <alignment horizontal="right"/>
    </xf>
    <xf numFmtId="166" fontId="3" fillId="0" borderId="0" xfId="0" applyNumberFormat="1" applyFont="1"/>
    <xf numFmtId="165" fontId="7" fillId="0" borderId="103" xfId="0" applyNumberFormat="1" applyFont="1" applyBorder="1" applyAlignment="1">
      <alignment horizontal="right"/>
    </xf>
    <xf numFmtId="2" fontId="7" fillId="10" borderId="104" xfId="0" applyNumberFormat="1" applyFont="1" applyFill="1" applyBorder="1"/>
    <xf numFmtId="165" fontId="7" fillId="0" borderId="105" xfId="0" applyNumberFormat="1" applyFont="1" applyBorder="1" applyAlignment="1">
      <alignment horizontal="right"/>
    </xf>
    <xf numFmtId="1" fontId="7" fillId="0" borderId="106" xfId="0" applyNumberFormat="1" applyFont="1" applyBorder="1"/>
    <xf numFmtId="164" fontId="3" fillId="0" borderId="107" xfId="0" applyNumberFormat="1" applyFont="1" applyBorder="1" applyAlignment="1">
      <alignment horizontal="right"/>
    </xf>
    <xf numFmtId="165" fontId="7" fillId="0" borderId="107" xfId="0" applyNumberFormat="1" applyFont="1" applyBorder="1" applyAlignment="1">
      <alignment horizontal="right"/>
    </xf>
    <xf numFmtId="3" fontId="7" fillId="10" borderId="107" xfId="0" applyNumberFormat="1" applyFont="1" applyFill="1" applyBorder="1" applyAlignment="1">
      <alignment horizontal="right"/>
    </xf>
    <xf numFmtId="167" fontId="3" fillId="0" borderId="108" xfId="0" applyNumberFormat="1" applyFont="1" applyBorder="1" applyAlignment="1">
      <alignment horizontal="right"/>
    </xf>
    <xf numFmtId="167" fontId="3" fillId="0" borderId="109" xfId="0" applyNumberFormat="1" applyFont="1" applyBorder="1" applyAlignment="1">
      <alignment horizontal="right"/>
    </xf>
    <xf numFmtId="167" fontId="3" fillId="0" borderId="110" xfId="0" applyNumberFormat="1" applyFont="1" applyBorder="1" applyAlignment="1">
      <alignment horizontal="right"/>
    </xf>
    <xf numFmtId="1" fontId="3" fillId="0" borderId="0" xfId="0" applyNumberFormat="1" applyFont="1"/>
    <xf numFmtId="164" fontId="7" fillId="0" borderId="112" xfId="0" applyNumberFormat="1" applyFont="1" applyBorder="1"/>
    <xf numFmtId="2" fontId="7" fillId="10" borderId="113" xfId="0" applyNumberFormat="1" applyFont="1" applyFill="1" applyBorder="1"/>
    <xf numFmtId="167" fontId="7" fillId="0" borderId="114" xfId="0" applyNumberFormat="1" applyFont="1" applyBorder="1" applyAlignment="1">
      <alignment horizontal="right"/>
    </xf>
    <xf numFmtId="165" fontId="7" fillId="0" borderId="114" xfId="0" applyNumberFormat="1" applyFont="1" applyBorder="1" applyAlignment="1">
      <alignment horizontal="right"/>
    </xf>
    <xf numFmtId="164" fontId="7" fillId="0" borderId="116" xfId="0" applyNumberFormat="1" applyFont="1" applyBorder="1" applyAlignment="1">
      <alignment horizontal="right"/>
    </xf>
    <xf numFmtId="1" fontId="3" fillId="2" borderId="0" xfId="0" applyNumberFormat="1" applyFont="1" applyFill="1"/>
    <xf numFmtId="164" fontId="7" fillId="0" borderId="116" xfId="0" applyNumberFormat="1" applyFont="1" applyBorder="1"/>
    <xf numFmtId="0" fontId="3" fillId="0" borderId="0" xfId="0" applyFont="1"/>
    <xf numFmtId="166" fontId="7" fillId="2" borderId="0" xfId="0" applyNumberFormat="1" applyFont="1" applyFill="1"/>
    <xf numFmtId="164" fontId="7" fillId="2" borderId="116" xfId="0" applyNumberFormat="1" applyFont="1" applyFill="1" applyBorder="1" applyAlignment="1">
      <alignment horizontal="right"/>
    </xf>
    <xf numFmtId="164" fontId="7" fillId="2" borderId="0" xfId="0" applyNumberFormat="1" applyFont="1" applyFill="1"/>
    <xf numFmtId="164" fontId="7" fillId="2" borderId="98" xfId="0" applyNumberFormat="1" applyFont="1" applyFill="1" applyBorder="1" applyAlignment="1">
      <alignment horizontal="right"/>
    </xf>
    <xf numFmtId="165" fontId="7" fillId="2" borderId="99" xfId="0" applyNumberFormat="1" applyFont="1" applyFill="1" applyBorder="1" applyAlignment="1">
      <alignment horizontal="right"/>
    </xf>
    <xf numFmtId="164" fontId="7" fillId="2" borderId="116" xfId="0" applyNumberFormat="1" applyFont="1" applyFill="1" applyBorder="1"/>
    <xf numFmtId="3" fontId="7" fillId="2" borderId="0" xfId="0" applyNumberFormat="1" applyFont="1" applyFill="1"/>
    <xf numFmtId="164" fontId="7" fillId="0" borderId="116" xfId="0" applyNumberFormat="1" applyFont="1" applyBorder="1" applyAlignment="1">
      <alignment horizontal="right" wrapText="1"/>
    </xf>
    <xf numFmtId="165" fontId="7" fillId="0" borderId="98" xfId="0" applyNumberFormat="1" applyFont="1" applyBorder="1" applyAlignment="1">
      <alignment horizontal="right"/>
    </xf>
    <xf numFmtId="2" fontId="7" fillId="10" borderId="117" xfId="0" applyNumberFormat="1" applyFont="1" applyFill="1" applyBorder="1"/>
    <xf numFmtId="167" fontId="7" fillId="0" borderId="119" xfId="0" applyNumberFormat="1" applyFont="1" applyBorder="1"/>
    <xf numFmtId="164" fontId="7" fillId="0" borderId="120" xfId="0" applyNumberFormat="1" applyFont="1" applyBorder="1"/>
    <xf numFmtId="164" fontId="7" fillId="0" borderId="121" xfId="0" applyNumberFormat="1" applyFont="1" applyBorder="1"/>
    <xf numFmtId="164" fontId="3" fillId="0" borderId="122" xfId="0" applyNumberFormat="1" applyFont="1" applyBorder="1" applyAlignment="1">
      <alignment horizontal="right"/>
    </xf>
    <xf numFmtId="165" fontId="7" fillId="0" borderId="122" xfId="0" applyNumberFormat="1" applyFont="1" applyBorder="1" applyAlignment="1">
      <alignment horizontal="right"/>
    </xf>
    <xf numFmtId="2" fontId="3" fillId="10" borderId="123" xfId="0" applyNumberFormat="1" applyFont="1" applyFill="1" applyBorder="1" applyAlignment="1">
      <alignment horizontal="right"/>
    </xf>
    <xf numFmtId="167" fontId="3" fillId="0" borderId="124" xfId="0" applyNumberFormat="1" applyFont="1" applyBorder="1" applyAlignment="1">
      <alignment horizontal="right"/>
    </xf>
    <xf numFmtId="167" fontId="7" fillId="0" borderId="126" xfId="0" applyNumberFormat="1" applyFont="1" applyBorder="1" applyAlignment="1">
      <alignment horizontal="right"/>
    </xf>
    <xf numFmtId="165" fontId="7" fillId="0" borderId="127" xfId="0" applyNumberFormat="1" applyFont="1" applyBorder="1" applyAlignment="1">
      <alignment horizontal="right"/>
    </xf>
    <xf numFmtId="167" fontId="7" fillId="0" borderId="129" xfId="0" applyNumberFormat="1" applyFont="1" applyBorder="1" applyAlignment="1">
      <alignment horizontal="right"/>
    </xf>
    <xf numFmtId="165" fontId="7" fillId="0" borderId="130" xfId="0" applyNumberFormat="1" applyFont="1" applyBorder="1" applyAlignment="1">
      <alignment horizontal="right"/>
    </xf>
    <xf numFmtId="164" fontId="7" fillId="11" borderId="116" xfId="0" applyNumberFormat="1" applyFont="1" applyFill="1" applyBorder="1" applyAlignment="1">
      <alignment horizontal="right" wrapText="1"/>
    </xf>
    <xf numFmtId="164" fontId="7" fillId="11" borderId="116" xfId="0" applyNumberFormat="1" applyFont="1" applyFill="1" applyBorder="1" applyAlignment="1">
      <alignment horizontal="right"/>
    </xf>
    <xf numFmtId="167" fontId="7" fillId="0" borderId="132" xfId="0" applyNumberFormat="1" applyFont="1" applyBorder="1"/>
    <xf numFmtId="164" fontId="7" fillId="0" borderId="133" xfId="0" applyNumberFormat="1" applyFont="1" applyBorder="1"/>
    <xf numFmtId="164" fontId="7" fillId="0" borderId="134" xfId="0" applyNumberFormat="1" applyFont="1" applyBorder="1"/>
    <xf numFmtId="164" fontId="3" fillId="0" borderId="135" xfId="0" applyNumberFormat="1" applyFont="1" applyBorder="1" applyAlignment="1">
      <alignment horizontal="right"/>
    </xf>
    <xf numFmtId="165" fontId="7" fillId="0" borderId="135" xfId="0" applyNumberFormat="1" applyFont="1" applyBorder="1" applyAlignment="1">
      <alignment horizontal="right"/>
    </xf>
    <xf numFmtId="2" fontId="3" fillId="10" borderId="136" xfId="0" applyNumberFormat="1" applyFont="1" applyFill="1" applyBorder="1" applyAlignment="1">
      <alignment horizontal="right"/>
    </xf>
    <xf numFmtId="167" fontId="3" fillId="0" borderId="137" xfId="0" applyNumberFormat="1" applyFont="1" applyBorder="1" applyAlignment="1">
      <alignment horizontal="right"/>
    </xf>
    <xf numFmtId="164" fontId="3" fillId="0" borderId="116" xfId="0" applyNumberFormat="1" applyFont="1" applyBorder="1" applyAlignment="1">
      <alignment horizontal="right" wrapText="1"/>
    </xf>
    <xf numFmtId="167" fontId="7" fillId="0" borderId="139" xfId="0" applyNumberFormat="1" applyFont="1" applyBorder="1" applyAlignment="1">
      <alignment horizontal="right"/>
    </xf>
    <xf numFmtId="165" fontId="7" fillId="0" borderId="139" xfId="0" applyNumberFormat="1" applyFont="1" applyBorder="1" applyAlignment="1">
      <alignment horizontal="right"/>
    </xf>
    <xf numFmtId="0" fontId="3" fillId="2" borderId="141" xfId="0" applyFont="1" applyFill="1" applyBorder="1"/>
    <xf numFmtId="0" fontId="3" fillId="0" borderId="142" xfId="0" applyFont="1" applyBorder="1"/>
    <xf numFmtId="165" fontId="7" fillId="10" borderId="143" xfId="0" applyNumberFormat="1" applyFont="1" applyFill="1" applyBorder="1" applyAlignment="1">
      <alignment horizontal="right"/>
    </xf>
    <xf numFmtId="165" fontId="7" fillId="10" borderId="99" xfId="0" applyNumberFormat="1" applyFont="1" applyFill="1" applyBorder="1" applyAlignment="1">
      <alignment horizontal="right"/>
    </xf>
    <xf numFmtId="0" fontId="3" fillId="0" borderId="80" xfId="0" applyFont="1" applyBorder="1"/>
    <xf numFmtId="0" fontId="3" fillId="0" borderId="144" xfId="0" applyFont="1" applyBorder="1"/>
    <xf numFmtId="164" fontId="7" fillId="0" borderId="0" xfId="0" applyNumberFormat="1" applyFont="1" applyAlignment="1">
      <alignment horizontal="right"/>
    </xf>
    <xf numFmtId="164" fontId="7" fillId="0" borderId="144" xfId="0" applyNumberFormat="1" applyFont="1" applyBorder="1"/>
    <xf numFmtId="164" fontId="7" fillId="0" borderId="145" xfId="0" applyNumberFormat="1" applyFont="1" applyBorder="1" applyAlignment="1">
      <alignment horizontal="right"/>
    </xf>
    <xf numFmtId="167" fontId="7" fillId="0" borderId="144" xfId="0" applyNumberFormat="1" applyFont="1" applyBorder="1" applyAlignment="1">
      <alignment horizontal="right"/>
    </xf>
    <xf numFmtId="167" fontId="7" fillId="0" borderId="146" xfId="0" applyNumberFormat="1" applyFont="1" applyBorder="1" applyAlignment="1">
      <alignment horizontal="right"/>
    </xf>
    <xf numFmtId="167" fontId="7" fillId="0" borderId="138" xfId="0" applyNumberFormat="1" applyFont="1" applyBorder="1"/>
    <xf numFmtId="164" fontId="7" fillId="0" borderId="148" xfId="0" applyNumberFormat="1" applyFont="1" applyBorder="1"/>
    <xf numFmtId="164" fontId="7" fillId="0" borderId="149" xfId="0" applyNumberFormat="1" applyFont="1" applyBorder="1"/>
    <xf numFmtId="164" fontId="3" fillId="0" borderId="150" xfId="0" applyNumberFormat="1" applyFont="1" applyBorder="1" applyAlignment="1">
      <alignment horizontal="right"/>
    </xf>
    <xf numFmtId="165" fontId="7" fillId="0" borderId="150" xfId="0" applyNumberFormat="1" applyFont="1" applyBorder="1" applyAlignment="1">
      <alignment horizontal="right"/>
    </xf>
    <xf numFmtId="2" fontId="3" fillId="10" borderId="151" xfId="0" applyNumberFormat="1" applyFont="1" applyFill="1" applyBorder="1" applyAlignment="1">
      <alignment horizontal="right"/>
    </xf>
    <xf numFmtId="167" fontId="3" fillId="0" borderId="152" xfId="0" applyNumberFormat="1" applyFont="1" applyBorder="1" applyAlignment="1">
      <alignment horizontal="right"/>
    </xf>
    <xf numFmtId="0" fontId="3" fillId="0" borderId="78" xfId="0" applyFont="1" applyBorder="1"/>
    <xf numFmtId="164" fontId="7" fillId="0" borderId="154" xfId="0" applyNumberFormat="1" applyFont="1" applyBorder="1"/>
    <xf numFmtId="164" fontId="7" fillId="0" borderId="155" xfId="0" applyNumberFormat="1" applyFont="1" applyBorder="1"/>
    <xf numFmtId="164" fontId="7" fillId="0" borderId="156" xfId="0" applyNumberFormat="1" applyFont="1" applyBorder="1" applyAlignment="1">
      <alignment horizontal="right"/>
    </xf>
    <xf numFmtId="165" fontId="7" fillId="0" borderId="157" xfId="0" applyNumberFormat="1" applyFont="1" applyBorder="1" applyAlignment="1">
      <alignment horizontal="right"/>
    </xf>
    <xf numFmtId="2" fontId="7" fillId="10" borderId="158" xfId="0" applyNumberFormat="1" applyFont="1" applyFill="1" applyBorder="1"/>
    <xf numFmtId="167" fontId="7" fillId="0" borderId="155" xfId="0" applyNumberFormat="1" applyFont="1" applyBorder="1" applyAlignment="1">
      <alignment horizontal="right"/>
    </xf>
    <xf numFmtId="167" fontId="7" fillId="0" borderId="159" xfId="0" applyNumberFormat="1" applyFont="1" applyBorder="1" applyAlignment="1">
      <alignment horizontal="right"/>
    </xf>
    <xf numFmtId="165" fontId="7" fillId="0" borderId="160" xfId="0" applyNumberFormat="1" applyFont="1" applyBorder="1" applyAlignment="1">
      <alignment horizontal="right"/>
    </xf>
    <xf numFmtId="0" fontId="3" fillId="0" borderId="161" xfId="0" applyFont="1" applyBorder="1"/>
    <xf numFmtId="165" fontId="7" fillId="0" borderId="162" xfId="0" applyNumberFormat="1" applyFont="1" applyBorder="1" applyAlignment="1">
      <alignment horizontal="right"/>
    </xf>
    <xf numFmtId="164" fontId="14" fillId="0" borderId="0" xfId="0" applyNumberFormat="1" applyFont="1"/>
    <xf numFmtId="0" fontId="3" fillId="0" borderId="163" xfId="0" applyFont="1" applyBorder="1"/>
    <xf numFmtId="164" fontId="7" fillId="0" borderId="164" xfId="0" applyNumberFormat="1" applyFont="1" applyBorder="1"/>
    <xf numFmtId="164" fontId="7" fillId="0" borderId="165" xfId="0" applyNumberFormat="1" applyFont="1" applyBorder="1"/>
    <xf numFmtId="164" fontId="7" fillId="0" borderId="166" xfId="0" applyNumberFormat="1" applyFont="1" applyBorder="1" applyAlignment="1">
      <alignment horizontal="right"/>
    </xf>
    <xf numFmtId="165" fontId="7" fillId="0" borderId="166" xfId="0" applyNumberFormat="1" applyFont="1" applyBorder="1" applyAlignment="1">
      <alignment horizontal="right"/>
    </xf>
    <xf numFmtId="2" fontId="7" fillId="10" borderId="167" xfId="0" applyNumberFormat="1" applyFont="1" applyFill="1" applyBorder="1"/>
    <xf numFmtId="167" fontId="7" fillId="0" borderId="165" xfId="0" applyNumberFormat="1" applyFont="1" applyBorder="1" applyAlignment="1">
      <alignment horizontal="right"/>
    </xf>
    <xf numFmtId="167" fontId="7" fillId="0" borderId="168" xfId="0" applyNumberFormat="1" applyFont="1" applyBorder="1" applyAlignment="1">
      <alignment horizontal="right"/>
    </xf>
    <xf numFmtId="165" fontId="7" fillId="0" borderId="169" xfId="0" applyNumberFormat="1" applyFont="1" applyBorder="1" applyAlignment="1">
      <alignment horizontal="right"/>
    </xf>
    <xf numFmtId="167" fontId="7" fillId="0" borderId="78" xfId="0" applyNumberFormat="1" applyFont="1" applyBorder="1"/>
    <xf numFmtId="164" fontId="3" fillId="0" borderId="171" xfId="0" applyNumberFormat="1" applyFont="1" applyBorder="1" applyAlignment="1">
      <alignment horizontal="right"/>
    </xf>
    <xf numFmtId="164" fontId="3" fillId="0" borderId="156" xfId="0" applyNumberFormat="1" applyFont="1" applyBorder="1" applyAlignment="1">
      <alignment horizontal="right"/>
    </xf>
    <xf numFmtId="165" fontId="7" fillId="0" borderId="156" xfId="0" applyNumberFormat="1" applyFont="1" applyBorder="1" applyAlignment="1">
      <alignment horizontal="right"/>
    </xf>
    <xf numFmtId="165" fontId="3" fillId="10" borderId="172" xfId="0" applyNumberFormat="1" applyFont="1" applyFill="1" applyBorder="1" applyAlignment="1">
      <alignment horizontal="right"/>
    </xf>
    <xf numFmtId="165" fontId="3" fillId="10" borderId="173" xfId="0" applyNumberFormat="1" applyFont="1" applyFill="1" applyBorder="1" applyAlignment="1">
      <alignment horizontal="right"/>
    </xf>
    <xf numFmtId="0" fontId="3" fillId="0" borderId="175" xfId="0" applyFont="1" applyBorder="1"/>
    <xf numFmtId="164" fontId="7" fillId="0" borderId="176" xfId="0" applyNumberFormat="1" applyFont="1" applyBorder="1"/>
    <xf numFmtId="164" fontId="7" fillId="0" borderId="177" xfId="0" applyNumberFormat="1" applyFont="1" applyBorder="1"/>
    <xf numFmtId="164" fontId="7" fillId="0" borderId="178" xfId="0" applyNumberFormat="1" applyFont="1" applyBorder="1" applyAlignment="1">
      <alignment horizontal="right"/>
    </xf>
    <xf numFmtId="165" fontId="7" fillId="0" borderId="179" xfId="0" applyNumberFormat="1" applyFont="1" applyBorder="1" applyAlignment="1">
      <alignment horizontal="right"/>
    </xf>
    <xf numFmtId="2" fontId="7" fillId="10" borderId="180" xfId="0" applyNumberFormat="1" applyFont="1" applyFill="1" applyBorder="1"/>
    <xf numFmtId="167" fontId="7" fillId="0" borderId="177" xfId="0" applyNumberFormat="1" applyFont="1" applyBorder="1" applyAlignment="1">
      <alignment horizontal="right"/>
    </xf>
    <xf numFmtId="167" fontId="7" fillId="0" borderId="181" xfId="0" applyNumberFormat="1" applyFont="1" applyBorder="1" applyAlignment="1">
      <alignment horizontal="right"/>
    </xf>
    <xf numFmtId="165" fontId="7" fillId="0" borderId="182" xfId="0" applyNumberFormat="1" applyFont="1" applyBorder="1" applyAlignment="1">
      <alignment horizontal="right"/>
    </xf>
    <xf numFmtId="0" fontId="3" fillId="0" borderId="184" xfId="0" applyFont="1" applyBorder="1"/>
    <xf numFmtId="167" fontId="7" fillId="0" borderId="185" xfId="0" applyNumberFormat="1" applyFont="1" applyBorder="1" applyAlignment="1">
      <alignment horizontal="right"/>
    </xf>
    <xf numFmtId="165" fontId="7" fillId="0" borderId="186" xfId="0" applyNumberFormat="1" applyFont="1" applyBorder="1" applyAlignment="1">
      <alignment horizontal="right"/>
    </xf>
    <xf numFmtId="3" fontId="7" fillId="0" borderId="0" xfId="0" applyNumberFormat="1" applyFont="1"/>
    <xf numFmtId="166" fontId="3" fillId="0" borderId="184" xfId="0" applyNumberFormat="1" applyFont="1" applyBorder="1"/>
    <xf numFmtId="167" fontId="7" fillId="0" borderId="187" xfId="0" applyNumberFormat="1" applyFont="1" applyBorder="1" applyAlignment="1">
      <alignment horizontal="right"/>
    </xf>
    <xf numFmtId="0" fontId="7" fillId="0" borderId="9" xfId="0" applyFont="1" applyBorder="1"/>
    <xf numFmtId="164" fontId="7" fillId="0" borderId="189" xfId="0" applyNumberFormat="1" applyFont="1" applyBorder="1" applyAlignment="1">
      <alignment horizontal="right"/>
    </xf>
    <xf numFmtId="0" fontId="3" fillId="0" borderId="190" xfId="0" applyFont="1" applyBorder="1"/>
    <xf numFmtId="0" fontId="3" fillId="0" borderId="191" xfId="0" applyFont="1" applyBorder="1"/>
    <xf numFmtId="164" fontId="7" fillId="0" borderId="192" xfId="0" applyNumberFormat="1" applyFont="1" applyBorder="1" applyAlignment="1">
      <alignment horizontal="right"/>
    </xf>
    <xf numFmtId="164" fontId="7" fillId="0" borderId="193" xfId="0" applyNumberFormat="1" applyFont="1" applyBorder="1"/>
    <xf numFmtId="164" fontId="7" fillId="0" borderId="194" xfId="0" applyNumberFormat="1" applyFont="1" applyBorder="1" applyAlignment="1">
      <alignment horizontal="right"/>
    </xf>
    <xf numFmtId="165" fontId="7" fillId="0" borderId="194" xfId="0" applyNumberFormat="1" applyFont="1" applyBorder="1" applyAlignment="1">
      <alignment horizontal="right"/>
    </xf>
    <xf numFmtId="2" fontId="7" fillId="10" borderId="195" xfId="0" applyNumberFormat="1" applyFont="1" applyFill="1" applyBorder="1"/>
    <xf numFmtId="167" fontId="7" fillId="0" borderId="193" xfId="0" applyNumberFormat="1" applyFont="1" applyBorder="1" applyAlignment="1">
      <alignment horizontal="right"/>
    </xf>
    <xf numFmtId="167" fontId="3" fillId="0" borderId="60" xfId="0" applyNumberFormat="1" applyFont="1" applyBorder="1" applyAlignment="1">
      <alignment horizontal="right"/>
    </xf>
    <xf numFmtId="164" fontId="7" fillId="0" borderId="196" xfId="0" applyNumberFormat="1" applyFont="1" applyBorder="1" applyAlignment="1">
      <alignment horizontal="right"/>
    </xf>
    <xf numFmtId="165" fontId="7" fillId="0" borderId="197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165" fontId="7" fillId="0" borderId="198" xfId="0" applyNumberFormat="1" applyFont="1" applyBorder="1" applyAlignment="1">
      <alignment horizontal="right"/>
    </xf>
    <xf numFmtId="0" fontId="3" fillId="0" borderId="199" xfId="0" applyFont="1" applyBorder="1"/>
    <xf numFmtId="167" fontId="7" fillId="0" borderId="200" xfId="0" applyNumberFormat="1" applyFont="1" applyBorder="1"/>
    <xf numFmtId="4" fontId="7" fillId="0" borderId="201" xfId="0" applyNumberFormat="1" applyFont="1" applyBorder="1"/>
    <xf numFmtId="4" fontId="7" fillId="0" borderId="201" xfId="0" applyNumberFormat="1" applyFont="1" applyBorder="1" applyAlignment="1">
      <alignment horizontal="right"/>
    </xf>
    <xf numFmtId="165" fontId="7" fillId="0" borderId="201" xfId="0" applyNumberFormat="1" applyFont="1" applyBorder="1" applyAlignment="1">
      <alignment horizontal="right"/>
    </xf>
    <xf numFmtId="2" fontId="7" fillId="10" borderId="202" xfId="0" applyNumberFormat="1" applyFont="1" applyFill="1" applyBorder="1"/>
    <xf numFmtId="167" fontId="3" fillId="0" borderId="201" xfId="0" applyNumberFormat="1" applyFont="1" applyBorder="1" applyAlignment="1">
      <alignment horizontal="right"/>
    </xf>
    <xf numFmtId="167" fontId="3" fillId="0" borderId="203" xfId="0" applyNumberFormat="1" applyFont="1" applyBorder="1" applyAlignment="1">
      <alignment horizontal="right"/>
    </xf>
    <xf numFmtId="167" fontId="3" fillId="0" borderId="204" xfId="0" applyNumberFormat="1" applyFont="1" applyBorder="1" applyAlignment="1">
      <alignment horizontal="right"/>
    </xf>
    <xf numFmtId="165" fontId="7" fillId="0" borderId="187" xfId="0" applyNumberFormat="1" applyFont="1" applyBorder="1" applyAlignment="1">
      <alignment horizontal="right"/>
    </xf>
    <xf numFmtId="0" fontId="3" fillId="4" borderId="0" xfId="0" applyFont="1" applyFill="1"/>
    <xf numFmtId="0" fontId="3" fillId="0" borderId="141" xfId="0" applyFont="1" applyBorder="1"/>
    <xf numFmtId="165" fontId="7" fillId="4" borderId="206" xfId="0" applyNumberFormat="1" applyFont="1" applyFill="1" applyBorder="1" applyAlignment="1">
      <alignment horizontal="right"/>
    </xf>
    <xf numFmtId="0" fontId="3" fillId="10" borderId="0" xfId="0" applyFont="1" applyFill="1"/>
    <xf numFmtId="0" fontId="3" fillId="0" borderId="207" xfId="0" applyFont="1" applyBorder="1"/>
    <xf numFmtId="165" fontId="7" fillId="0" borderId="208" xfId="0" applyNumberFormat="1" applyFont="1" applyBorder="1" applyAlignment="1">
      <alignment horizontal="right"/>
    </xf>
    <xf numFmtId="2" fontId="7" fillId="10" borderId="209" xfId="0" applyNumberFormat="1" applyFont="1" applyFill="1" applyBorder="1"/>
    <xf numFmtId="167" fontId="7" fillId="0" borderId="207" xfId="0" applyNumberFormat="1" applyFont="1" applyBorder="1" applyAlignment="1">
      <alignment horizontal="right"/>
    </xf>
    <xf numFmtId="167" fontId="7" fillId="0" borderId="210" xfId="0" applyNumberFormat="1" applyFont="1" applyBorder="1" applyAlignment="1">
      <alignment horizontal="right"/>
    </xf>
    <xf numFmtId="167" fontId="3" fillId="0" borderId="0" xfId="0" applyNumberFormat="1" applyFont="1"/>
    <xf numFmtId="0" fontId="3" fillId="0" borderId="211" xfId="0" applyFont="1" applyBorder="1"/>
    <xf numFmtId="165" fontId="7" fillId="0" borderId="212" xfId="0" applyNumberFormat="1" applyFont="1" applyBorder="1" applyAlignment="1">
      <alignment horizontal="right"/>
    </xf>
    <xf numFmtId="2" fontId="7" fillId="10" borderId="213" xfId="0" applyNumberFormat="1" applyFont="1" applyFill="1" applyBorder="1"/>
    <xf numFmtId="167" fontId="7" fillId="0" borderId="211" xfId="0" applyNumberFormat="1" applyFont="1" applyBorder="1" applyAlignment="1">
      <alignment horizontal="right"/>
    </xf>
    <xf numFmtId="167" fontId="7" fillId="0" borderId="214" xfId="0" applyNumberFormat="1" applyFont="1" applyBorder="1" applyAlignment="1">
      <alignment horizontal="right"/>
    </xf>
    <xf numFmtId="166" fontId="7" fillId="0" borderId="216" xfId="0" applyNumberFormat="1" applyFont="1" applyBorder="1"/>
    <xf numFmtId="167" fontId="7" fillId="0" borderId="217" xfId="0" applyNumberFormat="1" applyFont="1" applyBorder="1"/>
    <xf numFmtId="166" fontId="3" fillId="0" borderId="218" xfId="0" applyNumberFormat="1" applyFont="1" applyBorder="1" applyAlignment="1">
      <alignment horizontal="right"/>
    </xf>
    <xf numFmtId="3" fontId="7" fillId="0" borderId="219" xfId="0" applyNumberFormat="1" applyFont="1" applyBorder="1" applyAlignment="1">
      <alignment horizontal="right"/>
    </xf>
    <xf numFmtId="165" fontId="7" fillId="0" borderId="218" xfId="0" applyNumberFormat="1" applyFont="1" applyBorder="1" applyAlignment="1">
      <alignment horizontal="right"/>
    </xf>
    <xf numFmtId="165" fontId="7" fillId="0" borderId="219" xfId="0" applyNumberFormat="1" applyFont="1" applyBorder="1" applyAlignment="1">
      <alignment horizontal="right"/>
    </xf>
    <xf numFmtId="2" fontId="7" fillId="10" borderId="220" xfId="0" applyNumberFormat="1" applyFont="1" applyFill="1" applyBorder="1"/>
    <xf numFmtId="167" fontId="3" fillId="0" borderId="221" xfId="0" applyNumberFormat="1" applyFont="1" applyBorder="1" applyAlignment="1">
      <alignment horizontal="right"/>
    </xf>
    <xf numFmtId="167" fontId="3" fillId="0" borderId="222" xfId="0" applyNumberFormat="1" applyFont="1" applyBorder="1" applyAlignment="1">
      <alignment horizontal="right"/>
    </xf>
    <xf numFmtId="1" fontId="7" fillId="0" borderId="98" xfId="0" applyNumberFormat="1" applyFont="1" applyBorder="1" applyAlignment="1">
      <alignment horizontal="right"/>
    </xf>
    <xf numFmtId="167" fontId="7" fillId="0" borderId="224" xfId="0" applyNumberFormat="1" applyFont="1" applyBorder="1" applyAlignment="1">
      <alignment horizontal="right"/>
    </xf>
    <xf numFmtId="165" fontId="7" fillId="0" borderId="224" xfId="0" applyNumberFormat="1" applyFont="1" applyBorder="1" applyAlignment="1">
      <alignment horizontal="right"/>
    </xf>
    <xf numFmtId="167" fontId="7" fillId="0" borderId="226" xfId="0" applyNumberFormat="1" applyFont="1" applyBorder="1"/>
    <xf numFmtId="164" fontId="3" fillId="0" borderId="227" xfId="0" applyNumberFormat="1" applyFont="1" applyBorder="1" applyAlignment="1">
      <alignment horizontal="right"/>
    </xf>
    <xf numFmtId="166" fontId="3" fillId="0" borderId="228" xfId="0" applyNumberFormat="1" applyFont="1" applyBorder="1" applyAlignment="1">
      <alignment horizontal="right"/>
    </xf>
    <xf numFmtId="166" fontId="3" fillId="0" borderId="88" xfId="0" applyNumberFormat="1" applyFont="1" applyBorder="1" applyAlignment="1">
      <alignment horizontal="right"/>
    </xf>
    <xf numFmtId="165" fontId="7" fillId="0" borderId="88" xfId="0" applyNumberFormat="1" applyFont="1" applyBorder="1" applyAlignment="1">
      <alignment horizontal="right"/>
    </xf>
    <xf numFmtId="2" fontId="3" fillId="10" borderId="88" xfId="0" applyNumberFormat="1" applyFont="1" applyFill="1" applyBorder="1" applyAlignment="1">
      <alignment horizontal="right"/>
    </xf>
    <xf numFmtId="167" fontId="3" fillId="0" borderId="88" xfId="0" applyNumberFormat="1" applyFont="1" applyBorder="1" applyAlignment="1">
      <alignment horizontal="right"/>
    </xf>
    <xf numFmtId="0" fontId="7" fillId="0" borderId="229" xfId="0" applyFont="1" applyBorder="1"/>
    <xf numFmtId="164" fontId="7" fillId="0" borderId="229" xfId="0" applyNumberFormat="1" applyFont="1" applyBorder="1"/>
    <xf numFmtId="0" fontId="7" fillId="0" borderId="142" xfId="0" applyFont="1" applyBorder="1"/>
    <xf numFmtId="165" fontId="7" fillId="0" borderId="0" xfId="0" applyNumberFormat="1" applyFont="1" applyAlignment="1">
      <alignment horizontal="right"/>
    </xf>
    <xf numFmtId="166" fontId="7" fillId="0" borderId="0" xfId="0" applyNumberFormat="1" applyFont="1"/>
    <xf numFmtId="164" fontId="7" fillId="0" borderId="6" xfId="0" applyNumberFormat="1" applyFont="1" applyBorder="1"/>
    <xf numFmtId="166" fontId="3" fillId="0" borderId="6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164" fontId="7" fillId="0" borderId="11" xfId="0" applyNumberFormat="1" applyFont="1" applyBorder="1"/>
    <xf numFmtId="166" fontId="3" fillId="0" borderId="11" xfId="0" applyNumberFormat="1" applyFont="1" applyBorder="1" applyAlignment="1">
      <alignment horizontal="right"/>
    </xf>
    <xf numFmtId="165" fontId="3" fillId="12" borderId="85" xfId="0" applyNumberFormat="1" applyFont="1" applyFill="1" applyBorder="1" applyAlignment="1">
      <alignment horizontal="right"/>
    </xf>
    <xf numFmtId="165" fontId="3" fillId="10" borderId="85" xfId="0" applyNumberFormat="1" applyFont="1" applyFill="1" applyBorder="1"/>
    <xf numFmtId="165" fontId="3" fillId="12" borderId="9" xfId="0" applyNumberFormat="1" applyFont="1" applyFill="1" applyBorder="1" applyAlignment="1">
      <alignment horizontal="right"/>
    </xf>
    <xf numFmtId="165" fontId="3" fillId="10" borderId="9" xfId="0" applyNumberFormat="1" applyFont="1" applyFill="1" applyBorder="1"/>
    <xf numFmtId="167" fontId="15" fillId="0" borderId="11" xfId="0" applyNumberFormat="1" applyFont="1" applyBorder="1"/>
    <xf numFmtId="0" fontId="3" fillId="10" borderId="11" xfId="0" applyFont="1" applyFill="1" applyBorder="1" applyAlignment="1">
      <alignment horizontal="center"/>
    </xf>
    <xf numFmtId="164" fontId="7" fillId="10" borderId="11" xfId="0" applyNumberFormat="1" applyFont="1" applyFill="1" applyBorder="1"/>
    <xf numFmtId="166" fontId="3" fillId="10" borderId="11" xfId="0" applyNumberFormat="1" applyFont="1" applyFill="1" applyBorder="1" applyAlignment="1">
      <alignment horizontal="right"/>
    </xf>
    <xf numFmtId="166" fontId="16" fillId="13" borderId="11" xfId="0" applyNumberFormat="1" applyFont="1" applyFill="1" applyBorder="1" applyAlignment="1">
      <alignment horizontal="right"/>
    </xf>
    <xf numFmtId="0" fontId="17" fillId="9" borderId="11" xfId="0" applyFont="1" applyFill="1" applyBorder="1" applyAlignment="1">
      <alignment horizontal="center"/>
    </xf>
    <xf numFmtId="164" fontId="7" fillId="9" borderId="11" xfId="0" applyNumberFormat="1" applyFont="1" applyFill="1" applyBorder="1"/>
    <xf numFmtId="166" fontId="17" fillId="9" borderId="11" xfId="0" applyNumberFormat="1" applyFont="1" applyFill="1" applyBorder="1" applyAlignment="1">
      <alignment horizontal="right"/>
    </xf>
    <xf numFmtId="166" fontId="7" fillId="9" borderId="11" xfId="0" applyNumberFormat="1" applyFont="1" applyFill="1" applyBorder="1"/>
    <xf numFmtId="166" fontId="18" fillId="0" borderId="11" xfId="0" applyNumberFormat="1" applyFont="1" applyBorder="1"/>
    <xf numFmtId="165" fontId="3" fillId="10" borderId="79" xfId="0" applyNumberFormat="1" applyFont="1" applyFill="1" applyBorder="1"/>
    <xf numFmtId="0" fontId="17" fillId="3" borderId="232" xfId="0" applyFont="1" applyFill="1" applyBorder="1" applyAlignment="1">
      <alignment horizontal="center"/>
    </xf>
    <xf numFmtId="164" fontId="7" fillId="3" borderId="232" xfId="0" applyNumberFormat="1" applyFont="1" applyFill="1" applyBorder="1"/>
    <xf numFmtId="166" fontId="7" fillId="3" borderId="232" xfId="0" applyNumberFormat="1" applyFont="1" applyFill="1" applyBorder="1" applyAlignment="1">
      <alignment horizontal="right"/>
    </xf>
    <xf numFmtId="166" fontId="7" fillId="3" borderId="233" xfId="0" applyNumberFormat="1" applyFont="1" applyFill="1" applyBorder="1"/>
    <xf numFmtId="166" fontId="19" fillId="11" borderId="232" xfId="0" applyNumberFormat="1" applyFont="1" applyFill="1" applyBorder="1"/>
    <xf numFmtId="165" fontId="3" fillId="10" borderId="233" xfId="0" applyNumberFormat="1" applyFont="1" applyFill="1" applyBorder="1"/>
    <xf numFmtId="0" fontId="17" fillId="3" borderId="233" xfId="0" applyFont="1" applyFill="1" applyBorder="1" applyAlignment="1">
      <alignment horizontal="center"/>
    </xf>
    <xf numFmtId="164" fontId="7" fillId="3" borderId="233" xfId="0" applyNumberFormat="1" applyFont="1" applyFill="1" applyBorder="1"/>
    <xf numFmtId="166" fontId="7" fillId="3" borderId="233" xfId="0" applyNumberFormat="1" applyFont="1" applyFill="1" applyBorder="1" applyAlignment="1">
      <alignment horizontal="right"/>
    </xf>
    <xf numFmtId="166" fontId="3" fillId="11" borderId="232" xfId="0" applyNumberFormat="1" applyFont="1" applyFill="1" applyBorder="1"/>
    <xf numFmtId="165" fontId="3" fillId="0" borderId="233" xfId="0" applyNumberFormat="1" applyFont="1" applyBorder="1" applyAlignment="1">
      <alignment horizontal="right"/>
    </xf>
    <xf numFmtId="165" fontId="20" fillId="6" borderId="233" xfId="0" applyNumberFormat="1" applyFont="1" applyFill="1" applyBorder="1" applyAlignment="1">
      <alignment horizontal="right"/>
    </xf>
    <xf numFmtId="0" fontId="7" fillId="0" borderId="234" xfId="0" applyFont="1" applyBorder="1"/>
    <xf numFmtId="164" fontId="7" fillId="0" borderId="110" xfId="0" applyNumberFormat="1" applyFont="1" applyBorder="1" applyAlignment="1">
      <alignment horizontal="center" wrapText="1"/>
    </xf>
    <xf numFmtId="0" fontId="7" fillId="0" borderId="110" xfId="0" applyFont="1" applyBorder="1" applyAlignment="1">
      <alignment horizontal="center" wrapText="1"/>
    </xf>
    <xf numFmtId="0" fontId="7" fillId="0" borderId="236" xfId="0" applyFont="1" applyBorder="1" applyAlignment="1">
      <alignment horizontal="center" wrapText="1"/>
    </xf>
    <xf numFmtId="165" fontId="7" fillId="0" borderId="237" xfId="0" applyNumberFormat="1" applyFont="1" applyBorder="1" applyAlignment="1">
      <alignment horizontal="right" wrapText="1"/>
    </xf>
    <xf numFmtId="165" fontId="7" fillId="0" borderId="238" xfId="0" applyNumberFormat="1" applyFont="1" applyBorder="1" applyAlignment="1">
      <alignment horizontal="right" wrapText="1"/>
    </xf>
    <xf numFmtId="2" fontId="7" fillId="10" borderId="109" xfId="0" applyNumberFormat="1" applyFont="1" applyFill="1" applyBorder="1" applyAlignment="1">
      <alignment horizontal="center" wrapText="1"/>
    </xf>
    <xf numFmtId="166" fontId="7" fillId="0" borderId="239" xfId="0" applyNumberFormat="1" applyFont="1" applyBorder="1"/>
    <xf numFmtId="166" fontId="7" fillId="0" borderId="99" xfId="0" applyNumberFormat="1" applyFont="1" applyBorder="1"/>
    <xf numFmtId="3" fontId="7" fillId="0" borderId="98" xfId="0" applyNumberFormat="1" applyFont="1" applyBorder="1" applyAlignment="1">
      <alignment horizontal="right"/>
    </xf>
    <xf numFmtId="167" fontId="7" fillId="0" borderId="240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165" fontId="7" fillId="0" borderId="142" xfId="0" applyNumberFormat="1" applyFont="1" applyBorder="1" applyAlignment="1">
      <alignment horizontal="right"/>
    </xf>
    <xf numFmtId="2" fontId="7" fillId="10" borderId="233" xfId="0" applyNumberFormat="1" applyFont="1" applyFill="1" applyBorder="1"/>
    <xf numFmtId="166" fontId="7" fillId="0" borderId="166" xfId="0" applyNumberFormat="1" applyFont="1" applyBorder="1"/>
    <xf numFmtId="3" fontId="7" fillId="0" borderId="165" xfId="0" applyNumberFormat="1" applyFont="1" applyBorder="1"/>
    <xf numFmtId="167" fontId="7" fillId="0" borderId="241" xfId="0" applyNumberFormat="1" applyFont="1" applyBorder="1" applyAlignment="1">
      <alignment horizontal="right"/>
    </xf>
    <xf numFmtId="166" fontId="7" fillId="0" borderId="232" xfId="0" applyNumberFormat="1" applyFont="1" applyBorder="1"/>
    <xf numFmtId="166" fontId="7" fillId="0" borderId="165" xfId="0" applyNumberFormat="1" applyFont="1" applyBorder="1"/>
    <xf numFmtId="3" fontId="7" fillId="0" borderId="233" xfId="0" applyNumberFormat="1" applyFont="1" applyBorder="1" applyAlignment="1">
      <alignment horizontal="right"/>
    </xf>
    <xf numFmtId="3" fontId="7" fillId="0" borderId="165" xfId="0" applyNumberFormat="1" applyFont="1" applyBorder="1" applyAlignment="1">
      <alignment horizontal="right"/>
    </xf>
    <xf numFmtId="169" fontId="7" fillId="0" borderId="165" xfId="0" applyNumberFormat="1" applyFont="1" applyBorder="1" applyAlignment="1">
      <alignment horizontal="right"/>
    </xf>
    <xf numFmtId="169" fontId="7" fillId="10" borderId="165" xfId="0" applyNumberFormat="1" applyFont="1" applyFill="1" applyBorder="1" applyAlignment="1">
      <alignment horizontal="right"/>
    </xf>
    <xf numFmtId="166" fontId="7" fillId="0" borderId="161" xfId="0" applyNumberFormat="1" applyFont="1" applyBorder="1"/>
    <xf numFmtId="166" fontId="7" fillId="2" borderId="80" xfId="0" applyNumberFormat="1" applyFont="1" applyFill="1" applyBorder="1"/>
    <xf numFmtId="2" fontId="7" fillId="10" borderId="242" xfId="0" applyNumberFormat="1" applyFont="1" applyFill="1" applyBorder="1"/>
    <xf numFmtId="166" fontId="7" fillId="0" borderId="80" xfId="0" applyNumberFormat="1" applyFont="1" applyBorder="1"/>
    <xf numFmtId="3" fontId="7" fillId="0" borderId="110" xfId="0" applyNumberFormat="1" applyFont="1" applyBorder="1" applyAlignment="1">
      <alignment horizontal="right"/>
    </xf>
    <xf numFmtId="169" fontId="7" fillId="0" borderId="110" xfId="0" applyNumberFormat="1" applyFont="1" applyBorder="1" applyAlignment="1">
      <alignment horizontal="right"/>
    </xf>
    <xf numFmtId="169" fontId="7" fillId="10" borderId="110" xfId="0" applyNumberFormat="1" applyFont="1" applyFill="1" applyBorder="1" applyAlignment="1">
      <alignment horizontal="right"/>
    </xf>
    <xf numFmtId="166" fontId="7" fillId="0" borderId="243" xfId="0" applyNumberFormat="1" applyFont="1" applyBorder="1"/>
    <xf numFmtId="0" fontId="7" fillId="0" borderId="99" xfId="0" applyFont="1" applyBorder="1"/>
    <xf numFmtId="0" fontId="7" fillId="0" borderId="0" xfId="0" applyFont="1" applyAlignment="1">
      <alignment horizontal="right"/>
    </xf>
    <xf numFmtId="0" fontId="7" fillId="0" borderId="98" xfId="0" applyFont="1" applyBorder="1"/>
    <xf numFmtId="0" fontId="7" fillId="0" borderId="166" xfId="0" applyFont="1" applyBorder="1"/>
    <xf numFmtId="0" fontId="7" fillId="0" borderId="244" xfId="0" applyFont="1" applyBorder="1"/>
    <xf numFmtId="0" fontId="7" fillId="0" borderId="165" xfId="0" applyFont="1" applyBorder="1"/>
    <xf numFmtId="3" fontId="7" fillId="0" borderId="245" xfId="0" applyNumberFormat="1" applyFont="1" applyBorder="1" applyAlignment="1">
      <alignment horizontal="right"/>
    </xf>
    <xf numFmtId="3" fontId="7" fillId="0" borderId="246" xfId="0" applyNumberFormat="1" applyFont="1" applyBorder="1" applyAlignment="1">
      <alignment horizontal="right"/>
    </xf>
    <xf numFmtId="169" fontId="7" fillId="0" borderId="247" xfId="0" applyNumberFormat="1" applyFont="1" applyBorder="1" applyAlignment="1">
      <alignment horizontal="right"/>
    </xf>
    <xf numFmtId="169" fontId="7" fillId="10" borderId="247" xfId="0" applyNumberFormat="1" applyFont="1" applyFill="1" applyBorder="1" applyAlignment="1">
      <alignment horizontal="right"/>
    </xf>
    <xf numFmtId="165" fontId="7" fillId="0" borderId="233" xfId="0" applyNumberFormat="1" applyFont="1" applyBorder="1" applyAlignment="1">
      <alignment horizontal="right"/>
    </xf>
    <xf numFmtId="3" fontId="7" fillId="10" borderId="233" xfId="0" applyNumberFormat="1" applyFont="1" applyFill="1" applyBorder="1" applyAlignment="1">
      <alignment horizontal="right"/>
    </xf>
    <xf numFmtId="0" fontId="7" fillId="10" borderId="0" xfId="0" applyFont="1" applyFill="1"/>
    <xf numFmtId="165" fontId="3" fillId="0" borderId="11" xfId="0" applyNumberFormat="1" applyFont="1" applyBorder="1" applyAlignment="1">
      <alignment horizontal="right"/>
    </xf>
    <xf numFmtId="165" fontId="15" fillId="0" borderId="11" xfId="0" applyNumberFormat="1" applyFont="1" applyBorder="1"/>
    <xf numFmtId="166" fontId="16" fillId="3" borderId="232" xfId="0" applyNumberFormat="1" applyFont="1" applyFill="1" applyBorder="1"/>
    <xf numFmtId="165" fontId="21" fillId="0" borderId="233" xfId="0" applyNumberFormat="1" applyFont="1" applyBorder="1" applyAlignment="1">
      <alignment horizontal="right"/>
    </xf>
    <xf numFmtId="2" fontId="7" fillId="10" borderId="248" xfId="0" applyNumberFormat="1" applyFont="1" applyFill="1" applyBorder="1"/>
    <xf numFmtId="164" fontId="22" fillId="0" borderId="97" xfId="0" applyNumberFormat="1" applyFont="1" applyBorder="1" applyAlignment="1">
      <alignment horizontal="right"/>
    </xf>
    <xf numFmtId="0" fontId="7" fillId="0" borderId="114" xfId="0" applyFont="1" applyBorder="1" applyAlignment="1">
      <alignment horizontal="right"/>
    </xf>
    <xf numFmtId="0" fontId="15" fillId="0" borderId="0" xfId="0" applyFont="1" applyAlignment="1">
      <alignment horizontal="right"/>
    </xf>
    <xf numFmtId="165" fontId="15" fillId="0" borderId="0" xfId="0" applyNumberFormat="1" applyFont="1"/>
    <xf numFmtId="165" fontId="15" fillId="0" borderId="9" xfId="0" applyNumberFormat="1" applyFont="1" applyBorder="1"/>
    <xf numFmtId="0" fontId="23" fillId="0" borderId="9" xfId="0" applyFont="1" applyBorder="1"/>
    <xf numFmtId="0" fontId="24" fillId="0" borderId="79" xfId="0" applyFont="1" applyBorder="1"/>
    <xf numFmtId="165" fontId="15" fillId="0" borderId="79" xfId="0" applyNumberFormat="1" applyFont="1" applyBorder="1"/>
    <xf numFmtId="1" fontId="25" fillId="0" borderId="233" xfId="0" applyNumberFormat="1" applyFont="1" applyBorder="1"/>
    <xf numFmtId="165" fontId="9" fillId="0" borderId="233" xfId="0" applyNumberFormat="1" applyFont="1" applyBorder="1"/>
    <xf numFmtId="164" fontId="5" fillId="0" borderId="0" xfId="0" applyNumberFormat="1" applyFont="1"/>
    <xf numFmtId="164" fontId="5" fillId="2" borderId="0" xfId="0" applyNumberFormat="1" applyFont="1" applyFill="1"/>
    <xf numFmtId="1" fontId="3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5" fontId="9" fillId="0" borderId="0" xfId="0" applyNumberFormat="1" applyFont="1"/>
    <xf numFmtId="1" fontId="3" fillId="0" borderId="87" xfId="0" applyNumberFormat="1" applyFont="1" applyBorder="1" applyAlignment="1">
      <alignment horizontal="center"/>
    </xf>
    <xf numFmtId="164" fontId="9" fillId="0" borderId="233" xfId="0" applyNumberFormat="1" applyFont="1" applyBorder="1" applyAlignment="1">
      <alignment horizontal="center"/>
    </xf>
    <xf numFmtId="164" fontId="9" fillId="0" borderId="250" xfId="0" applyNumberFormat="1" applyFont="1" applyBorder="1" applyAlignment="1">
      <alignment horizontal="center"/>
    </xf>
    <xf numFmtId="164" fontId="9" fillId="0" borderId="22" xfId="0" applyNumberFormat="1" applyFont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1" fontId="5" fillId="0" borderId="251" xfId="0" applyNumberFormat="1" applyFont="1" applyBorder="1"/>
    <xf numFmtId="3" fontId="5" fillId="0" borderId="252" xfId="0" applyNumberFormat="1" applyFont="1" applyBorder="1"/>
    <xf numFmtId="170" fontId="5" fillId="2" borderId="22" xfId="0" applyNumberFormat="1" applyFont="1" applyFill="1" applyBorder="1" applyAlignment="1">
      <alignment horizontal="right"/>
    </xf>
    <xf numFmtId="3" fontId="5" fillId="0" borderId="22" xfId="0" applyNumberFormat="1" applyFont="1" applyBorder="1"/>
    <xf numFmtId="170" fontId="5" fillId="2" borderId="22" xfId="0" applyNumberFormat="1" applyFont="1" applyFill="1" applyBorder="1"/>
    <xf numFmtId="3" fontId="5" fillId="0" borderId="22" xfId="0" applyNumberFormat="1" applyFont="1" applyBorder="1" applyAlignment="1">
      <alignment horizontal="right"/>
    </xf>
    <xf numFmtId="165" fontId="5" fillId="0" borderId="22" xfId="0" applyNumberFormat="1" applyFont="1" applyBorder="1" applyAlignment="1">
      <alignment horizontal="right"/>
    </xf>
    <xf numFmtId="165" fontId="9" fillId="0" borderId="22" xfId="0" applyNumberFormat="1" applyFont="1" applyBorder="1" applyAlignment="1">
      <alignment horizontal="right"/>
    </xf>
    <xf numFmtId="165" fontId="9" fillId="0" borderId="28" xfId="0" applyNumberFormat="1" applyFont="1" applyBorder="1" applyAlignment="1">
      <alignment horizontal="right"/>
    </xf>
    <xf numFmtId="165" fontId="9" fillId="0" borderId="9" xfId="0" applyNumberFormat="1" applyFont="1" applyBorder="1"/>
    <xf numFmtId="165" fontId="9" fillId="0" borderId="231" xfId="0" applyNumberFormat="1" applyFont="1" applyBorder="1"/>
    <xf numFmtId="170" fontId="5" fillId="0" borderId="0" xfId="0" applyNumberFormat="1" applyFont="1"/>
    <xf numFmtId="164" fontId="9" fillId="0" borderId="252" xfId="0" applyNumberFormat="1" applyFont="1" applyBorder="1" applyAlignment="1">
      <alignment horizontal="center"/>
    </xf>
    <xf numFmtId="165" fontId="5" fillId="0" borderId="28" xfId="0" applyNumberFormat="1" applyFont="1" applyBorder="1"/>
    <xf numFmtId="165" fontId="5" fillId="0" borderId="87" xfId="0" applyNumberFormat="1" applyFont="1" applyBorder="1" applyAlignment="1">
      <alignment horizontal="right"/>
    </xf>
    <xf numFmtId="165" fontId="9" fillId="0" borderId="9" xfId="0" applyNumberFormat="1" applyFont="1" applyBorder="1" applyAlignment="1">
      <alignment horizontal="right"/>
    </xf>
    <xf numFmtId="170" fontId="5" fillId="2" borderId="250" xfId="0" applyNumberFormat="1" applyFont="1" applyFill="1" applyBorder="1"/>
    <xf numFmtId="0" fontId="23" fillId="0" borderId="11" xfId="0" applyFont="1" applyBorder="1"/>
    <xf numFmtId="165" fontId="23" fillId="0" borderId="11" xfId="0" applyNumberFormat="1" applyFont="1" applyBorder="1"/>
    <xf numFmtId="0" fontId="23" fillId="0" borderId="20" xfId="0" applyFont="1" applyBorder="1"/>
    <xf numFmtId="165" fontId="23" fillId="0" borderId="20" xfId="0" applyNumberFormat="1" applyFont="1" applyBorder="1"/>
    <xf numFmtId="0" fontId="23" fillId="0" borderId="233" xfId="0" applyFont="1" applyBorder="1"/>
    <xf numFmtId="165" fontId="23" fillId="0" borderId="233" xfId="0" applyNumberFormat="1" applyFont="1" applyBorder="1"/>
    <xf numFmtId="170" fontId="23" fillId="0" borderId="0" xfId="0" applyNumberFormat="1" applyFont="1"/>
    <xf numFmtId="0" fontId="9" fillId="0" borderId="80" xfId="0" applyFont="1" applyBorder="1"/>
    <xf numFmtId="0" fontId="23" fillId="0" borderId="0" xfId="0" applyFont="1"/>
    <xf numFmtId="0" fontId="9" fillId="14" borderId="253" xfId="0" applyFont="1" applyFill="1" applyBorder="1" applyAlignment="1">
      <alignment horizontal="center"/>
    </xf>
    <xf numFmtId="0" fontId="5" fillId="14" borderId="254" xfId="0" applyFont="1" applyFill="1" applyBorder="1"/>
    <xf numFmtId="0" fontId="5" fillId="14" borderId="80" xfId="0" applyFont="1" applyFill="1" applyBorder="1"/>
    <xf numFmtId="165" fontId="5" fillId="14" borderId="0" xfId="0" applyNumberFormat="1" applyFont="1" applyFill="1" applyAlignment="1">
      <alignment horizontal="right"/>
    </xf>
    <xf numFmtId="165" fontId="5" fillId="0" borderId="80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80" xfId="0" applyFont="1" applyBorder="1" applyAlignment="1">
      <alignment horizontal="right"/>
    </xf>
    <xf numFmtId="0" fontId="9" fillId="14" borderId="80" xfId="0" applyFont="1" applyFill="1" applyBorder="1"/>
    <xf numFmtId="165" fontId="5" fillId="14" borderId="80" xfId="0" applyNumberFormat="1" applyFont="1" applyFill="1" applyBorder="1" applyAlignment="1">
      <alignment horizontal="right"/>
    </xf>
    <xf numFmtId="0" fontId="9" fillId="15" borderId="253" xfId="0" applyFont="1" applyFill="1" applyBorder="1" applyAlignment="1">
      <alignment horizontal="center"/>
    </xf>
    <xf numFmtId="0" fontId="5" fillId="15" borderId="254" xfId="0" applyFont="1" applyFill="1" applyBorder="1"/>
    <xf numFmtId="0" fontId="5" fillId="15" borderId="80" xfId="0" applyFont="1" applyFill="1" applyBorder="1"/>
    <xf numFmtId="165" fontId="5" fillId="15" borderId="80" xfId="0" applyNumberFormat="1" applyFont="1" applyFill="1" applyBorder="1"/>
    <xf numFmtId="165" fontId="5" fillId="15" borderId="0" xfId="0" applyNumberFormat="1" applyFont="1" applyFill="1" applyAlignment="1">
      <alignment horizontal="right"/>
    </xf>
    <xf numFmtId="165" fontId="5" fillId="2" borderId="80" xfId="0" applyNumberFormat="1" applyFont="1" applyFill="1" applyBorder="1"/>
    <xf numFmtId="165" fontId="5" fillId="2" borderId="80" xfId="0" applyNumberFormat="1" applyFont="1" applyFill="1" applyBorder="1" applyAlignment="1">
      <alignment horizontal="right"/>
    </xf>
    <xf numFmtId="0" fontId="9" fillId="16" borderId="80" xfId="0" applyFont="1" applyFill="1" applyBorder="1"/>
    <xf numFmtId="165" fontId="5" fillId="16" borderId="80" xfId="0" applyNumberFormat="1" applyFont="1" applyFill="1" applyBorder="1"/>
    <xf numFmtId="165" fontId="5" fillId="16" borderId="80" xfId="0" applyNumberFormat="1" applyFont="1" applyFill="1" applyBorder="1" applyAlignment="1">
      <alignment horizontal="right"/>
    </xf>
    <xf numFmtId="165" fontId="5" fillId="16" borderId="0" xfId="0" applyNumberFormat="1" applyFont="1" applyFill="1" applyAlignment="1">
      <alignment horizontal="right"/>
    </xf>
    <xf numFmtId="0" fontId="9" fillId="8" borderId="80" xfId="0" applyFont="1" applyFill="1" applyBorder="1"/>
    <xf numFmtId="165" fontId="5" fillId="8" borderId="80" xfId="0" applyNumberFormat="1" applyFont="1" applyFill="1" applyBorder="1"/>
    <xf numFmtId="165" fontId="5" fillId="8" borderId="80" xfId="0" applyNumberFormat="1" applyFont="1" applyFill="1" applyBorder="1" applyAlignment="1">
      <alignment horizontal="right"/>
    </xf>
    <xf numFmtId="165" fontId="5" fillId="8" borderId="0" xfId="0" applyNumberFormat="1" applyFont="1" applyFill="1" applyAlignment="1">
      <alignment horizontal="right"/>
    </xf>
    <xf numFmtId="0" fontId="9" fillId="2" borderId="80" xfId="0" applyFont="1" applyFill="1" applyBorder="1"/>
    <xf numFmtId="165" fontId="5" fillId="2" borderId="0" xfId="0" applyNumberFormat="1" applyFont="1" applyFill="1" applyAlignment="1">
      <alignment horizontal="right"/>
    </xf>
    <xf numFmtId="0" fontId="9" fillId="17" borderId="80" xfId="0" applyFont="1" applyFill="1" applyBorder="1"/>
    <xf numFmtId="165" fontId="9" fillId="17" borderId="80" xfId="0" applyNumberFormat="1" applyFont="1" applyFill="1" applyBorder="1" applyAlignment="1">
      <alignment horizontal="right"/>
    </xf>
    <xf numFmtId="165" fontId="5" fillId="17" borderId="0" xfId="0" applyNumberFormat="1" applyFont="1" applyFill="1" applyAlignment="1">
      <alignment horizontal="right"/>
    </xf>
    <xf numFmtId="0" fontId="9" fillId="18" borderId="253" xfId="0" applyFont="1" applyFill="1" applyBorder="1" applyAlignment="1">
      <alignment horizontal="center"/>
    </xf>
    <xf numFmtId="0" fontId="5" fillId="18" borderId="254" xfId="0" applyFont="1" applyFill="1" applyBorder="1"/>
    <xf numFmtId="0" fontId="5" fillId="18" borderId="80" xfId="0" applyFont="1" applyFill="1" applyBorder="1"/>
    <xf numFmtId="0" fontId="9" fillId="0" borderId="253" xfId="0" applyFont="1" applyBorder="1"/>
    <xf numFmtId="165" fontId="5" fillId="2" borderId="99" xfId="0" applyNumberFormat="1" applyFont="1" applyFill="1" applyBorder="1" applyAlignment="1">
      <alignment horizontal="right"/>
    </xf>
    <xf numFmtId="168" fontId="5" fillId="2" borderId="80" xfId="0" applyNumberFormat="1" applyFont="1" applyFill="1" applyBorder="1"/>
    <xf numFmtId="168" fontId="5" fillId="2" borderId="80" xfId="0" applyNumberFormat="1" applyFont="1" applyFill="1" applyBorder="1" applyAlignment="1">
      <alignment horizontal="right"/>
    </xf>
    <xf numFmtId="168" fontId="5" fillId="0" borderId="80" xfId="0" applyNumberFormat="1" applyFont="1" applyBorder="1"/>
    <xf numFmtId="165" fontId="5" fillId="2" borderId="255" xfId="0" applyNumberFormat="1" applyFont="1" applyFill="1" applyBorder="1"/>
    <xf numFmtId="168" fontId="5" fillId="0" borderId="80" xfId="0" applyNumberFormat="1" applyFont="1" applyBorder="1" applyAlignment="1">
      <alignment horizontal="right"/>
    </xf>
    <xf numFmtId="165" fontId="5" fillId="2" borderId="255" xfId="0" applyNumberFormat="1" applyFont="1" applyFill="1" applyBorder="1" applyAlignment="1">
      <alignment horizontal="right"/>
    </xf>
    <xf numFmtId="0" fontId="5" fillId="2" borderId="80" xfId="0" applyFont="1" applyFill="1" applyBorder="1" applyAlignment="1">
      <alignment horizontal="right"/>
    </xf>
    <xf numFmtId="0" fontId="5" fillId="2" borderId="80" xfId="0" applyFont="1" applyFill="1" applyBorder="1"/>
    <xf numFmtId="0" fontId="9" fillId="19" borderId="80" xfId="0" applyFont="1" applyFill="1" applyBorder="1"/>
    <xf numFmtId="165" fontId="9" fillId="19" borderId="80" xfId="0" applyNumberFormat="1" applyFont="1" applyFill="1" applyBorder="1" applyAlignment="1">
      <alignment horizontal="right"/>
    </xf>
    <xf numFmtId="168" fontId="9" fillId="19" borderId="80" xfId="0" applyNumberFormat="1" applyFont="1" applyFill="1" applyBorder="1" applyAlignment="1">
      <alignment horizontal="right"/>
    </xf>
    <xf numFmtId="0" fontId="9" fillId="20" borderId="253" xfId="0" applyFont="1" applyFill="1" applyBorder="1" applyAlignment="1">
      <alignment horizontal="center"/>
    </xf>
    <xf numFmtId="0" fontId="5" fillId="20" borderId="254" xfId="0" applyFont="1" applyFill="1" applyBorder="1"/>
    <xf numFmtId="0" fontId="5" fillId="20" borderId="80" xfId="0" applyFont="1" applyFill="1" applyBorder="1"/>
    <xf numFmtId="165" fontId="5" fillId="20" borderId="0" xfId="0" applyNumberFormat="1" applyFont="1" applyFill="1" applyAlignment="1">
      <alignment horizontal="right"/>
    </xf>
    <xf numFmtId="171" fontId="5" fillId="0" borderId="99" xfId="0" applyNumberFormat="1" applyFont="1" applyBorder="1"/>
    <xf numFmtId="166" fontId="9" fillId="0" borderId="80" xfId="0" applyNumberFormat="1" applyFont="1" applyBorder="1"/>
    <xf numFmtId="165" fontId="5" fillId="0" borderId="99" xfId="0" applyNumberFormat="1" applyFont="1" applyBorder="1"/>
    <xf numFmtId="1" fontId="9" fillId="0" borderId="80" xfId="0" applyNumberFormat="1" applyFont="1" applyBorder="1"/>
    <xf numFmtId="165" fontId="5" fillId="0" borderId="99" xfId="0" applyNumberFormat="1" applyFont="1" applyBorder="1" applyAlignment="1">
      <alignment horizontal="right"/>
    </xf>
    <xf numFmtId="0" fontId="9" fillId="4" borderId="80" xfId="0" applyFont="1" applyFill="1" applyBorder="1"/>
    <xf numFmtId="165" fontId="5" fillId="4" borderId="80" xfId="0" applyNumberFormat="1" applyFont="1" applyFill="1" applyBorder="1"/>
    <xf numFmtId="165" fontId="5" fillId="4" borderId="80" xfId="0" applyNumberFormat="1" applyFont="1" applyFill="1" applyBorder="1" applyAlignment="1">
      <alignment horizontal="right"/>
    </xf>
    <xf numFmtId="165" fontId="5" fillId="4" borderId="0" xfId="0" applyNumberFormat="1" applyFont="1" applyFill="1" applyAlignment="1">
      <alignment horizontal="right"/>
    </xf>
    <xf numFmtId="0" fontId="9" fillId="20" borderId="80" xfId="0" applyFont="1" applyFill="1" applyBorder="1"/>
    <xf numFmtId="171" fontId="9" fillId="20" borderId="80" xfId="0" applyNumberFormat="1" applyFont="1" applyFill="1" applyBorder="1" applyAlignment="1">
      <alignment horizontal="right"/>
    </xf>
    <xf numFmtId="165" fontId="9" fillId="20" borderId="80" xfId="0" applyNumberFormat="1" applyFont="1" applyFill="1" applyBorder="1" applyAlignment="1">
      <alignment horizontal="right"/>
    </xf>
    <xf numFmtId="0" fontId="9" fillId="21" borderId="253" xfId="0" applyFont="1" applyFill="1" applyBorder="1" applyAlignment="1">
      <alignment horizontal="center"/>
    </xf>
    <xf numFmtId="0" fontId="5" fillId="21" borderId="254" xfId="0" applyFont="1" applyFill="1" applyBorder="1"/>
    <xf numFmtId="0" fontId="5" fillId="21" borderId="80" xfId="0" applyFont="1" applyFill="1" applyBorder="1"/>
    <xf numFmtId="165" fontId="5" fillId="21" borderId="0" xfId="0" applyNumberFormat="1" applyFont="1" applyFill="1" applyAlignment="1">
      <alignment horizontal="right"/>
    </xf>
    <xf numFmtId="0" fontId="9" fillId="22" borderId="80" xfId="0" applyFont="1" applyFill="1" applyBorder="1"/>
    <xf numFmtId="165" fontId="9" fillId="22" borderId="80" xfId="0" applyNumberFormat="1" applyFont="1" applyFill="1" applyBorder="1" applyAlignment="1">
      <alignment horizontal="right"/>
    </xf>
    <xf numFmtId="165" fontId="5" fillId="22" borderId="0" xfId="0" applyNumberFormat="1" applyFont="1" applyFill="1" applyAlignment="1">
      <alignment horizontal="right"/>
    </xf>
    <xf numFmtId="0" fontId="9" fillId="23" borderId="253" xfId="0" applyFont="1" applyFill="1" applyBorder="1" applyAlignment="1">
      <alignment horizontal="center"/>
    </xf>
    <xf numFmtId="0" fontId="5" fillId="23" borderId="254" xfId="0" applyFont="1" applyFill="1" applyBorder="1"/>
    <xf numFmtId="0" fontId="5" fillId="23" borderId="80" xfId="0" applyFont="1" applyFill="1" applyBorder="1"/>
    <xf numFmtId="165" fontId="5" fillId="23" borderId="0" xfId="0" applyNumberFormat="1" applyFont="1" applyFill="1" applyAlignment="1">
      <alignment horizontal="right"/>
    </xf>
    <xf numFmtId="166" fontId="9" fillId="0" borderId="256" xfId="0" applyNumberFormat="1" applyFont="1" applyBorder="1"/>
    <xf numFmtId="166" fontId="5" fillId="0" borderId="256" xfId="0" applyNumberFormat="1" applyFont="1" applyBorder="1" applyAlignment="1">
      <alignment horizontal="right"/>
    </xf>
    <xf numFmtId="165" fontId="5" fillId="0" borderId="103" xfId="0" applyNumberFormat="1" applyFont="1" applyBorder="1"/>
    <xf numFmtId="165" fontId="5" fillId="0" borderId="103" xfId="0" applyNumberFormat="1" applyFont="1" applyBorder="1" applyAlignment="1">
      <alignment horizontal="right"/>
    </xf>
    <xf numFmtId="166" fontId="9" fillId="0" borderId="257" xfId="0" applyNumberFormat="1" applyFont="1" applyBorder="1"/>
    <xf numFmtId="165" fontId="5" fillId="0" borderId="258" xfId="0" applyNumberFormat="1" applyFont="1" applyBorder="1"/>
    <xf numFmtId="165" fontId="5" fillId="0" borderId="259" xfId="0" applyNumberFormat="1" applyFont="1" applyBorder="1"/>
    <xf numFmtId="165" fontId="5" fillId="0" borderId="259" xfId="0" applyNumberFormat="1" applyFont="1" applyBorder="1" applyAlignment="1">
      <alignment horizontal="right"/>
    </xf>
    <xf numFmtId="0" fontId="9" fillId="0" borderId="260" xfId="0" applyFont="1" applyBorder="1"/>
    <xf numFmtId="165" fontId="5" fillId="0" borderId="260" xfId="0" applyNumberFormat="1" applyFont="1" applyBorder="1" applyAlignment="1">
      <alignment horizontal="right"/>
    </xf>
    <xf numFmtId="165" fontId="5" fillId="0" borderId="261" xfId="0" applyNumberFormat="1" applyFont="1" applyBorder="1"/>
    <xf numFmtId="0" fontId="9" fillId="24" borderId="80" xfId="0" applyFont="1" applyFill="1" applyBorder="1"/>
    <xf numFmtId="166" fontId="9" fillId="24" borderId="80" xfId="0" applyNumberFormat="1" applyFont="1" applyFill="1" applyBorder="1" applyAlignment="1">
      <alignment horizontal="right"/>
    </xf>
    <xf numFmtId="165" fontId="9" fillId="24" borderId="80" xfId="0" applyNumberFormat="1" applyFont="1" applyFill="1" applyBorder="1" applyAlignment="1">
      <alignment horizontal="right"/>
    </xf>
    <xf numFmtId="165" fontId="5" fillId="24" borderId="0" xfId="0" applyNumberFormat="1" applyFont="1" applyFill="1" applyAlignment="1">
      <alignment horizontal="right"/>
    </xf>
    <xf numFmtId="0" fontId="9" fillId="17" borderId="253" xfId="0" applyFont="1" applyFill="1" applyBorder="1" applyAlignment="1">
      <alignment horizontal="center"/>
    </xf>
    <xf numFmtId="0" fontId="5" fillId="17" borderId="254" xfId="0" applyFont="1" applyFill="1" applyBorder="1"/>
    <xf numFmtId="0" fontId="5" fillId="17" borderId="80" xfId="0" applyFont="1" applyFill="1" applyBorder="1"/>
    <xf numFmtId="0" fontId="9" fillId="25" borderId="80" xfId="0" applyFont="1" applyFill="1" applyBorder="1"/>
    <xf numFmtId="165" fontId="5" fillId="25" borderId="80" xfId="0" applyNumberFormat="1" applyFont="1" applyFill="1" applyBorder="1" applyAlignment="1">
      <alignment horizontal="right"/>
    </xf>
    <xf numFmtId="165" fontId="5" fillId="25" borderId="0" xfId="0" applyNumberFormat="1" applyFont="1" applyFill="1" applyAlignment="1">
      <alignment horizontal="right"/>
    </xf>
    <xf numFmtId="165" fontId="5" fillId="11" borderId="0" xfId="0" applyNumberFormat="1" applyFont="1" applyFill="1" applyAlignment="1">
      <alignment horizontal="right"/>
    </xf>
    <xf numFmtId="0" fontId="15" fillId="0" borderId="262" xfId="0" applyFont="1" applyBorder="1"/>
    <xf numFmtId="165" fontId="23" fillId="0" borderId="263" xfId="0" applyNumberFormat="1" applyFont="1" applyBorder="1"/>
    <xf numFmtId="165" fontId="23" fillId="0" borderId="0" xfId="0" applyNumberFormat="1" applyFont="1"/>
    <xf numFmtId="0" fontId="26" fillId="26" borderId="264" xfId="0" applyFont="1" applyFill="1" applyBorder="1"/>
    <xf numFmtId="165" fontId="26" fillId="26" borderId="261" xfId="0" applyNumberFormat="1" applyFont="1" applyFill="1" applyBorder="1" applyAlignment="1">
      <alignment horizontal="right"/>
    </xf>
    <xf numFmtId="165" fontId="26" fillId="26" borderId="261" xfId="0" applyNumberFormat="1" applyFont="1" applyFill="1" applyBorder="1"/>
    <xf numFmtId="165" fontId="26" fillId="26" borderId="0" xfId="0" applyNumberFormat="1" applyFont="1" applyFill="1" applyAlignment="1">
      <alignment horizontal="right"/>
    </xf>
    <xf numFmtId="165" fontId="27" fillId="16" borderId="80" xfId="0" applyNumberFormat="1" applyFont="1" applyFill="1" applyBorder="1" applyAlignment="1">
      <alignment horizontal="right"/>
    </xf>
    <xf numFmtId="165" fontId="26" fillId="16" borderId="80" xfId="0" applyNumberFormat="1" applyFont="1" applyFill="1" applyBorder="1" applyAlignment="1">
      <alignment horizontal="right"/>
    </xf>
    <xf numFmtId="0" fontId="9" fillId="27" borderId="80" xfId="0" applyFont="1" applyFill="1" applyBorder="1"/>
    <xf numFmtId="165" fontId="27" fillId="27" borderId="80" xfId="0" applyNumberFormat="1" applyFont="1" applyFill="1" applyBorder="1" applyAlignment="1">
      <alignment horizontal="right"/>
    </xf>
    <xf numFmtId="165" fontId="5" fillId="27" borderId="0" xfId="0" applyNumberFormat="1" applyFont="1" applyFill="1" applyAlignment="1">
      <alignment horizontal="right"/>
    </xf>
    <xf numFmtId="165" fontId="27" fillId="0" borderId="80" xfId="0" applyNumberFormat="1" applyFont="1" applyBorder="1" applyAlignment="1">
      <alignment horizontal="right"/>
    </xf>
    <xf numFmtId="0" fontId="9" fillId="28" borderId="80" xfId="0" applyFont="1" applyFill="1" applyBorder="1"/>
    <xf numFmtId="165" fontId="5" fillId="28" borderId="80" xfId="0" applyNumberFormat="1" applyFont="1" applyFill="1" applyBorder="1"/>
    <xf numFmtId="165" fontId="5" fillId="28" borderId="80" xfId="0" applyNumberFormat="1" applyFont="1" applyFill="1" applyBorder="1" applyAlignment="1">
      <alignment horizontal="right"/>
    </xf>
    <xf numFmtId="0" fontId="13" fillId="3" borderId="80" xfId="0" applyFont="1" applyFill="1" applyBorder="1"/>
    <xf numFmtId="165" fontId="13" fillId="3" borderId="80" xfId="0" applyNumberFormat="1" applyFont="1" applyFill="1" applyBorder="1" applyAlignment="1">
      <alignment horizontal="right"/>
    </xf>
    <xf numFmtId="0" fontId="9" fillId="29" borderId="253" xfId="0" applyFont="1" applyFill="1" applyBorder="1" applyAlignment="1">
      <alignment horizontal="center"/>
    </xf>
    <xf numFmtId="0" fontId="5" fillId="29" borderId="254" xfId="0" applyFont="1" applyFill="1" applyBorder="1"/>
    <xf numFmtId="0" fontId="5" fillId="29" borderId="80" xfId="0" applyFont="1" applyFill="1" applyBorder="1"/>
    <xf numFmtId="0" fontId="5" fillId="29" borderId="0" xfId="0" applyFont="1" applyFill="1"/>
    <xf numFmtId="165" fontId="5" fillId="7" borderId="80" xfId="0" applyNumberFormat="1" applyFont="1" applyFill="1" applyBorder="1"/>
    <xf numFmtId="0" fontId="9" fillId="30" borderId="80" xfId="0" applyFont="1" applyFill="1" applyBorder="1"/>
    <xf numFmtId="165" fontId="5" fillId="30" borderId="80" xfId="0" applyNumberFormat="1" applyFont="1" applyFill="1" applyBorder="1"/>
    <xf numFmtId="165" fontId="5" fillId="30" borderId="80" xfId="0" applyNumberFormat="1" applyFont="1" applyFill="1" applyBorder="1" applyAlignment="1">
      <alignment horizontal="right"/>
    </xf>
    <xf numFmtId="165" fontId="5" fillId="30" borderId="0" xfId="0" applyNumberFormat="1" applyFont="1" applyFill="1" applyAlignment="1">
      <alignment horizontal="right"/>
    </xf>
    <xf numFmtId="0" fontId="9" fillId="31" borderId="80" xfId="0" applyFont="1" applyFill="1" applyBorder="1"/>
    <xf numFmtId="165" fontId="5" fillId="31" borderId="80" xfId="0" applyNumberFormat="1" applyFont="1" applyFill="1" applyBorder="1" applyAlignment="1">
      <alignment horizontal="right"/>
    </xf>
    <xf numFmtId="165" fontId="5" fillId="31" borderId="80" xfId="0" applyNumberFormat="1" applyFont="1" applyFill="1" applyBorder="1"/>
    <xf numFmtId="165" fontId="5" fillId="31" borderId="0" xfId="0" applyNumberFormat="1" applyFont="1" applyFill="1" applyAlignment="1">
      <alignment horizontal="right"/>
    </xf>
    <xf numFmtId="0" fontId="9" fillId="29" borderId="80" xfId="0" applyFont="1" applyFill="1" applyBorder="1" applyAlignment="1">
      <alignment horizontal="center"/>
    </xf>
    <xf numFmtId="165" fontId="9" fillId="29" borderId="80" xfId="0" applyNumberFormat="1" applyFont="1" applyFill="1" applyBorder="1" applyAlignment="1">
      <alignment horizontal="center"/>
    </xf>
    <xf numFmtId="165" fontId="5" fillId="29" borderId="0" xfId="0" applyNumberFormat="1" applyFont="1" applyFill="1" applyAlignment="1">
      <alignment horizontal="right"/>
    </xf>
    <xf numFmtId="0" fontId="5" fillId="0" borderId="63" xfId="0" applyFont="1" applyBorder="1"/>
    <xf numFmtId="0" fontId="2" fillId="0" borderId="65" xfId="0" applyFont="1" applyBorder="1"/>
    <xf numFmtId="0" fontId="2" fillId="0" borderId="64" xfId="0" applyFont="1" applyBorder="1"/>
    <xf numFmtId="166" fontId="5" fillId="0" borderId="67" xfId="0" applyNumberFormat="1" applyFont="1" applyBorder="1"/>
    <xf numFmtId="0" fontId="2" fillId="0" borderId="69" xfId="0" applyFont="1" applyBorder="1"/>
    <xf numFmtId="0" fontId="2" fillId="0" borderId="70" xfId="0" applyFont="1" applyBorder="1"/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166" fontId="6" fillId="0" borderId="7" xfId="0" applyNumberFormat="1" applyFont="1" applyBorder="1"/>
    <xf numFmtId="0" fontId="2" fillId="0" borderId="7" xfId="0" applyFont="1" applyBorder="1"/>
    <xf numFmtId="0" fontId="2" fillId="0" borderId="16" xfId="0" applyFont="1" applyBorder="1"/>
    <xf numFmtId="1" fontId="5" fillId="0" borderId="20" xfId="0" applyNumberFormat="1" applyFont="1" applyBorder="1"/>
    <xf numFmtId="0" fontId="2" fillId="0" borderId="25" xfId="0" applyFont="1" applyBorder="1"/>
    <xf numFmtId="0" fontId="2" fillId="0" borderId="24" xfId="0" applyFont="1" applyBorder="1"/>
    <xf numFmtId="0" fontId="5" fillId="0" borderId="29" xfId="0" applyFont="1" applyBorder="1"/>
    <xf numFmtId="0" fontId="2" fillId="0" borderId="31" xfId="0" applyFont="1" applyBorder="1"/>
    <xf numFmtId="0" fontId="2" fillId="0" borderId="32" xfId="0" applyFont="1" applyBorder="1"/>
    <xf numFmtId="0" fontId="5" fillId="0" borderId="33" xfId="0" applyFont="1" applyBorder="1"/>
    <xf numFmtId="0" fontId="2" fillId="0" borderId="36" xfId="0" applyFont="1" applyBorder="1"/>
    <xf numFmtId="0" fontId="2" fillId="0" borderId="38" xfId="0" applyFont="1" applyBorder="1"/>
    <xf numFmtId="1" fontId="5" fillId="0" borderId="41" xfId="0" applyNumberFormat="1" applyFont="1" applyBorder="1"/>
    <xf numFmtId="0" fontId="2" fillId="0" borderId="44" xfId="0" applyFont="1" applyBorder="1"/>
    <xf numFmtId="0" fontId="2" fillId="0" borderId="46" xfId="0" applyFont="1" applyBorder="1"/>
    <xf numFmtId="0" fontId="5" fillId="0" borderId="49" xfId="0" applyFont="1" applyBorder="1"/>
    <xf numFmtId="0" fontId="2" fillId="0" borderId="52" xfId="0" applyFont="1" applyBorder="1"/>
    <xf numFmtId="0" fontId="2" fillId="0" borderId="59" xfId="0" applyFont="1" applyBorder="1"/>
    <xf numFmtId="0" fontId="3" fillId="0" borderId="205" xfId="0" applyFont="1" applyBorder="1"/>
    <xf numFmtId="0" fontId="2" fillId="0" borderId="205" xfId="0" applyFont="1" applyBorder="1"/>
    <xf numFmtId="0" fontId="2" fillId="0" borderId="215" xfId="0" applyFont="1" applyBorder="1"/>
    <xf numFmtId="166" fontId="3" fillId="0" borderId="223" xfId="0" applyNumberFormat="1" applyFont="1" applyBorder="1"/>
    <xf numFmtId="0" fontId="2" fillId="0" borderId="223" xfId="0" applyFont="1" applyBorder="1"/>
    <xf numFmtId="0" fontId="2" fillId="0" borderId="225" xfId="0" applyFont="1" applyBorder="1"/>
    <xf numFmtId="165" fontId="3" fillId="0" borderId="230" xfId="0" applyNumberFormat="1" applyFont="1" applyBorder="1" applyAlignment="1">
      <alignment horizontal="center"/>
    </xf>
    <xf numFmtId="0" fontId="2" fillId="0" borderId="231" xfId="0" applyFont="1" applyBorder="1"/>
    <xf numFmtId="0" fontId="7" fillId="0" borderId="234" xfId="0" applyFont="1" applyBorder="1" applyAlignment="1">
      <alignment horizontal="center" wrapText="1"/>
    </xf>
    <xf numFmtId="0" fontId="2" fillId="0" borderId="235" xfId="0" applyFont="1" applyBorder="1"/>
    <xf numFmtId="0" fontId="7" fillId="0" borderId="1" xfId="0" applyFont="1" applyBorder="1" applyAlignment="1">
      <alignment horizontal="center" wrapText="1"/>
    </xf>
    <xf numFmtId="166" fontId="3" fillId="0" borderId="7" xfId="0" applyNumberFormat="1" applyFont="1" applyBorder="1"/>
    <xf numFmtId="1" fontId="3" fillId="0" borderId="111" xfId="0" applyNumberFormat="1" applyFont="1" applyBorder="1"/>
    <xf numFmtId="0" fontId="2" fillId="0" borderId="115" xfId="0" applyFont="1" applyBorder="1"/>
    <xf numFmtId="0" fontId="2" fillId="0" borderId="118" xfId="0" applyFont="1" applyBorder="1"/>
    <xf numFmtId="0" fontId="7" fillId="0" borderId="125" xfId="0" applyFont="1" applyBorder="1"/>
    <xf numFmtId="0" fontId="2" fillId="0" borderId="128" xfId="0" applyFont="1" applyBorder="1"/>
    <xf numFmtId="0" fontId="2" fillId="0" borderId="131" xfId="0" applyFont="1" applyBorder="1"/>
    <xf numFmtId="0" fontId="3" fillId="0" borderId="138" xfId="0" applyFont="1" applyBorder="1" applyAlignment="1">
      <alignment horizontal="center" wrapText="1"/>
    </xf>
    <xf numFmtId="0" fontId="2" fillId="0" borderId="140" xfId="0" applyFont="1" applyBorder="1"/>
    <xf numFmtId="0" fontId="2" fillId="0" borderId="147" xfId="0" applyFont="1" applyBorder="1"/>
    <xf numFmtId="0" fontId="7" fillId="0" borderId="153" xfId="0" applyFont="1" applyBorder="1"/>
    <xf numFmtId="0" fontId="2" fillId="0" borderId="153" xfId="0" applyFont="1" applyBorder="1"/>
    <xf numFmtId="0" fontId="2" fillId="0" borderId="170" xfId="0" applyFont="1" applyBorder="1"/>
    <xf numFmtId="0" fontId="7" fillId="0" borderId="174" xfId="0" applyFont="1" applyBorder="1"/>
    <xf numFmtId="0" fontId="2" fillId="0" borderId="183" xfId="0" applyFont="1" applyBorder="1"/>
    <xf numFmtId="0" fontId="2" fillId="0" borderId="188" xfId="0" applyFont="1" applyBorder="1"/>
    <xf numFmtId="0" fontId="15" fillId="0" borderId="249" xfId="0" applyFont="1" applyBorder="1" applyAlignment="1">
      <alignment horizontal="right"/>
    </xf>
    <xf numFmtId="0" fontId="2" fillId="0" borderId="8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o Coy" id="{2953F97F-A759-45BB-A561-6E308EC588C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2" dT="2026-02-05T00:59:59.00" personId="{2953F97F-A759-45BB-A561-6E308EC588CC}" id="{93EF2CEE-04BD-4179-A2DF-FDE5422A37A9}">
    <text>LEO</text>
  </threadedComment>
  <threadedComment ref="M112" dT="2026-02-16T14:35:11.00" personId="{2953F97F-A759-45BB-A561-6E308EC588CC}" id="{7463AB75-CC0E-4D28-ADF3-A53BC5FFAA08}">
    <text>COSTEÑA LATA</text>
  </threadedComment>
  <threadedComment ref="N112" dT="2026-02-16T14:35:29.00" personId="{2953F97F-A759-45BB-A561-6E308EC588CC}" id="{19074C20-241B-480A-9792-64B13E213477}">
    <text>ENRIQUE</text>
  </threadedComment>
  <threadedComment ref="R112" dT="2026-02-17T14:33:41.00" personId="{2953F97F-A759-45BB-A561-6E308EC588CC}" id="{D8D09D03-CAD4-481F-B641-760AE585776A}">
    <text>COSTEÑA LATA 160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5" dT="2026-02-14T17:17:17.00" personId="{2953F97F-A759-45BB-A561-6E308EC588CC}" id="{EBB67534-2AF9-445F-9340-62CA2F57864E}">
    <text>CENTRAL LATA</text>
  </threadedComment>
  <threadedComment ref="C52" dT="2026-02-05T00:55:10.00" personId="{2953F97F-A759-45BB-A561-6E308EC588CC}" id="{78255EA7-54A6-410C-B3B4-8956A556B624}">
    <text>COCA COLA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3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/>
  <cols>
    <col min="2" max="2" width="20.33203125" customWidth="1"/>
  </cols>
  <sheetData>
    <row r="1" spans="1:38" ht="15.75" customHeight="1">
      <c r="A1" s="651">
        <v>1</v>
      </c>
      <c r="B1" s="652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/>
      <c r="AF1" s="1"/>
      <c r="AG1" s="2" t="s">
        <v>0</v>
      </c>
      <c r="AH1" s="2" t="s">
        <v>1</v>
      </c>
      <c r="AI1" s="3" t="s">
        <v>2</v>
      </c>
      <c r="AJ1" s="2" t="s">
        <v>0</v>
      </c>
      <c r="AK1" s="2" t="s">
        <v>1</v>
      </c>
      <c r="AL1" s="3" t="s">
        <v>2</v>
      </c>
    </row>
    <row r="2" spans="1:38">
      <c r="A2" s="4"/>
      <c r="B2" s="5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8"/>
      <c r="AI2" s="9"/>
      <c r="AJ2" s="6"/>
      <c r="AK2" s="8"/>
      <c r="AL2" s="9"/>
    </row>
    <row r="3" spans="1:38" ht="15.75" customHeight="1">
      <c r="A3" s="653" t="s">
        <v>3</v>
      </c>
      <c r="B3" s="10" t="s">
        <v>4</v>
      </c>
      <c r="C3" s="11">
        <v>31</v>
      </c>
      <c r="D3" s="12">
        <f>29+13</f>
        <v>42</v>
      </c>
      <c r="E3" s="12">
        <v>28</v>
      </c>
      <c r="F3" s="13">
        <v>54</v>
      </c>
      <c r="G3" s="12">
        <v>33</v>
      </c>
      <c r="H3" s="14">
        <v>25</v>
      </c>
      <c r="I3" s="12">
        <v>52</v>
      </c>
      <c r="J3" s="12">
        <v>9</v>
      </c>
      <c r="K3" s="12">
        <v>19</v>
      </c>
      <c r="L3" s="12">
        <v>30</v>
      </c>
      <c r="M3" s="12">
        <v>27</v>
      </c>
      <c r="N3" s="12">
        <v>13</v>
      </c>
      <c r="O3" s="12">
        <v>56</v>
      </c>
      <c r="P3" s="12">
        <v>61</v>
      </c>
      <c r="Q3" s="12">
        <v>28</v>
      </c>
      <c r="R3" s="12">
        <v>21</v>
      </c>
      <c r="S3" s="14">
        <v>27</v>
      </c>
      <c r="T3" s="14">
        <v>29</v>
      </c>
      <c r="U3" s="14"/>
      <c r="V3" s="14"/>
      <c r="W3" s="14"/>
      <c r="X3" s="14"/>
      <c r="Y3" s="14"/>
      <c r="Z3" s="14"/>
      <c r="AA3" s="15"/>
      <c r="AB3" s="14"/>
      <c r="AC3" s="14"/>
      <c r="AD3" s="14"/>
      <c r="AE3" s="14"/>
      <c r="AF3" s="14"/>
      <c r="AG3" s="16">
        <f t="shared" ref="AG3:AG19" si="0">SUM(C3:AF3)</f>
        <v>585</v>
      </c>
      <c r="AH3" s="17">
        <v>65600</v>
      </c>
      <c r="AI3" s="18">
        <f t="shared" ref="AI3:AI19" si="1">+AH3*AG3</f>
        <v>38376000</v>
      </c>
      <c r="AJ3" s="19">
        <f t="shared" ref="AJ3:AJ108" si="2">T3</f>
        <v>29</v>
      </c>
      <c r="AK3" s="18">
        <f t="shared" ref="AK3:AK108" si="3">AH3</f>
        <v>65600</v>
      </c>
      <c r="AL3" s="18">
        <f t="shared" ref="AL3:AL19" si="4">+AK3*AJ3</f>
        <v>1902400</v>
      </c>
    </row>
    <row r="4" spans="1:38" ht="15.75" customHeight="1">
      <c r="A4" s="654"/>
      <c r="B4" s="20" t="s">
        <v>5</v>
      </c>
      <c r="C4" s="14"/>
      <c r="D4" s="14"/>
      <c r="E4" s="14"/>
      <c r="F4" s="15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  <c r="AB4" s="14"/>
      <c r="AC4" s="14"/>
      <c r="AD4" s="14"/>
      <c r="AE4" s="14"/>
      <c r="AF4" s="14"/>
      <c r="AG4" s="16">
        <f t="shared" si="0"/>
        <v>0</v>
      </c>
      <c r="AH4" s="17">
        <v>60500</v>
      </c>
      <c r="AI4" s="18">
        <f t="shared" si="1"/>
        <v>0</v>
      </c>
      <c r="AJ4" s="19">
        <f t="shared" si="2"/>
        <v>0</v>
      </c>
      <c r="AK4" s="18">
        <f t="shared" si="3"/>
        <v>60500</v>
      </c>
      <c r="AL4" s="18">
        <f t="shared" si="4"/>
        <v>0</v>
      </c>
    </row>
    <row r="5" spans="1:38" ht="15.75" customHeight="1">
      <c r="A5" s="654"/>
      <c r="B5" s="20" t="s">
        <v>6</v>
      </c>
      <c r="C5" s="14"/>
      <c r="D5" s="14"/>
      <c r="E5" s="14"/>
      <c r="F5" s="15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/>
      <c r="AB5" s="14"/>
      <c r="AC5" s="14"/>
      <c r="AD5" s="14"/>
      <c r="AE5" s="14"/>
      <c r="AF5" s="14"/>
      <c r="AG5" s="16">
        <f t="shared" si="0"/>
        <v>0</v>
      </c>
      <c r="AH5" s="17">
        <v>50000</v>
      </c>
      <c r="AI5" s="18">
        <f t="shared" si="1"/>
        <v>0</v>
      </c>
      <c r="AJ5" s="19">
        <f t="shared" si="2"/>
        <v>0</v>
      </c>
      <c r="AK5" s="18">
        <f t="shared" si="3"/>
        <v>50000</v>
      </c>
      <c r="AL5" s="18">
        <f t="shared" si="4"/>
        <v>0</v>
      </c>
    </row>
    <row r="6" spans="1:38" ht="15.75" customHeight="1">
      <c r="A6" s="654"/>
      <c r="B6" s="20" t="s">
        <v>7</v>
      </c>
      <c r="C6" s="11">
        <v>3</v>
      </c>
      <c r="D6" s="12">
        <v>8</v>
      </c>
      <c r="E6" s="12">
        <v>9</v>
      </c>
      <c r="F6" s="13">
        <v>13</v>
      </c>
      <c r="G6" s="12"/>
      <c r="H6" s="14">
        <v>8</v>
      </c>
      <c r="I6" s="14">
        <v>4</v>
      </c>
      <c r="J6" s="12">
        <v>2</v>
      </c>
      <c r="K6" s="12">
        <v>4</v>
      </c>
      <c r="L6" s="12">
        <v>8</v>
      </c>
      <c r="M6" s="12">
        <v>2</v>
      </c>
      <c r="N6" s="12">
        <v>3</v>
      </c>
      <c r="O6" s="12">
        <v>14</v>
      </c>
      <c r="P6" s="12">
        <v>6</v>
      </c>
      <c r="Q6" s="12">
        <v>4</v>
      </c>
      <c r="R6" s="12"/>
      <c r="S6" s="14">
        <v>4</v>
      </c>
      <c r="T6" s="14"/>
      <c r="U6" s="14"/>
      <c r="V6" s="14"/>
      <c r="W6" s="14"/>
      <c r="X6" s="14"/>
      <c r="Y6" s="14"/>
      <c r="Z6" s="14"/>
      <c r="AA6" s="15"/>
      <c r="AB6" s="14"/>
      <c r="AC6" s="14"/>
      <c r="AD6" s="14"/>
      <c r="AE6" s="14"/>
      <c r="AF6" s="14"/>
      <c r="AG6" s="16">
        <f t="shared" si="0"/>
        <v>92</v>
      </c>
      <c r="AH6" s="17">
        <v>50050</v>
      </c>
      <c r="AI6" s="18">
        <f t="shared" si="1"/>
        <v>4604600</v>
      </c>
      <c r="AJ6" s="19">
        <f t="shared" si="2"/>
        <v>0</v>
      </c>
      <c r="AK6" s="18">
        <f t="shared" si="3"/>
        <v>50050</v>
      </c>
      <c r="AL6" s="18">
        <f t="shared" si="4"/>
        <v>0</v>
      </c>
    </row>
    <row r="7" spans="1:38" ht="15.75" customHeight="1">
      <c r="A7" s="654"/>
      <c r="B7" s="20" t="s">
        <v>8</v>
      </c>
      <c r="C7" s="14"/>
      <c r="D7" s="14"/>
      <c r="E7" s="14"/>
      <c r="F7" s="15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>
        <v>1</v>
      </c>
      <c r="S7" s="14"/>
      <c r="T7" s="14"/>
      <c r="U7" s="14"/>
      <c r="V7" s="14"/>
      <c r="W7" s="14"/>
      <c r="X7" s="14"/>
      <c r="Y7" s="14"/>
      <c r="Z7" s="14"/>
      <c r="AA7" s="15"/>
      <c r="AB7" s="14"/>
      <c r="AC7" s="14"/>
      <c r="AD7" s="14"/>
      <c r="AE7" s="14"/>
      <c r="AF7" s="14"/>
      <c r="AG7" s="16">
        <f t="shared" si="0"/>
        <v>1</v>
      </c>
      <c r="AH7" s="17">
        <v>59000</v>
      </c>
      <c r="AI7" s="18">
        <f t="shared" si="1"/>
        <v>59000</v>
      </c>
      <c r="AJ7" s="19">
        <f t="shared" si="2"/>
        <v>0</v>
      </c>
      <c r="AK7" s="18">
        <f t="shared" si="3"/>
        <v>59000</v>
      </c>
      <c r="AL7" s="18">
        <f t="shared" si="4"/>
        <v>0</v>
      </c>
    </row>
    <row r="8" spans="1:38" ht="15.75" customHeight="1">
      <c r="A8" s="654"/>
      <c r="B8" s="20" t="s">
        <v>9</v>
      </c>
      <c r="C8" s="12">
        <v>4</v>
      </c>
      <c r="D8" s="12">
        <v>3</v>
      </c>
      <c r="E8" s="12">
        <v>5</v>
      </c>
      <c r="F8" s="15">
        <v>5</v>
      </c>
      <c r="G8" s="12"/>
      <c r="H8" s="14"/>
      <c r="I8" s="12">
        <v>2</v>
      </c>
      <c r="J8" s="12">
        <v>1</v>
      </c>
      <c r="K8" s="14">
        <v>1</v>
      </c>
      <c r="L8" s="12">
        <v>2</v>
      </c>
      <c r="M8" s="12"/>
      <c r="N8" s="12">
        <v>1</v>
      </c>
      <c r="O8" s="12">
        <v>2</v>
      </c>
      <c r="P8" s="12">
        <v>2</v>
      </c>
      <c r="Q8" s="12">
        <v>3</v>
      </c>
      <c r="R8" s="14">
        <v>1</v>
      </c>
      <c r="S8" s="14">
        <v>3</v>
      </c>
      <c r="T8" s="14">
        <v>1</v>
      </c>
      <c r="U8" s="14"/>
      <c r="V8" s="14"/>
      <c r="W8" s="14"/>
      <c r="X8" s="14"/>
      <c r="Y8" s="14"/>
      <c r="Z8" s="14"/>
      <c r="AA8" s="15"/>
      <c r="AB8" s="14"/>
      <c r="AC8" s="14"/>
      <c r="AD8" s="14"/>
      <c r="AE8" s="14"/>
      <c r="AF8" s="14"/>
      <c r="AG8" s="16">
        <f t="shared" si="0"/>
        <v>36</v>
      </c>
      <c r="AH8" s="17">
        <v>83400</v>
      </c>
      <c r="AI8" s="18">
        <f t="shared" si="1"/>
        <v>3002400</v>
      </c>
      <c r="AJ8" s="19">
        <f t="shared" si="2"/>
        <v>1</v>
      </c>
      <c r="AK8" s="18">
        <f t="shared" si="3"/>
        <v>83400</v>
      </c>
      <c r="AL8" s="18">
        <f t="shared" si="4"/>
        <v>83400</v>
      </c>
    </row>
    <row r="9" spans="1:38" ht="15.75" customHeight="1">
      <c r="A9" s="654"/>
      <c r="B9" s="20" t="s">
        <v>10</v>
      </c>
      <c r="C9" s="14"/>
      <c r="D9" s="14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  <c r="AB9" s="14"/>
      <c r="AC9" s="14"/>
      <c r="AD9" s="14"/>
      <c r="AE9" s="14"/>
      <c r="AF9" s="14"/>
      <c r="AG9" s="16">
        <f t="shared" si="0"/>
        <v>0</v>
      </c>
      <c r="AH9" s="17">
        <v>83400</v>
      </c>
      <c r="AI9" s="18">
        <f t="shared" si="1"/>
        <v>0</v>
      </c>
      <c r="AJ9" s="19">
        <f t="shared" si="2"/>
        <v>0</v>
      </c>
      <c r="AK9" s="18">
        <f t="shared" si="3"/>
        <v>83400</v>
      </c>
      <c r="AL9" s="18">
        <f t="shared" si="4"/>
        <v>0</v>
      </c>
    </row>
    <row r="10" spans="1:38" ht="15.75" customHeight="1">
      <c r="A10" s="654"/>
      <c r="B10" s="20" t="s">
        <v>11</v>
      </c>
      <c r="C10" s="14">
        <v>1</v>
      </c>
      <c r="D10" s="14"/>
      <c r="E10" s="12">
        <v>2</v>
      </c>
      <c r="F10" s="13">
        <v>1</v>
      </c>
      <c r="G10" s="12"/>
      <c r="H10" s="14"/>
      <c r="I10" s="12">
        <v>2</v>
      </c>
      <c r="J10" s="12"/>
      <c r="K10" s="14"/>
      <c r="L10" s="14"/>
      <c r="M10" s="13">
        <v>3</v>
      </c>
      <c r="N10" s="13"/>
      <c r="O10" s="14"/>
      <c r="P10" s="14"/>
      <c r="Q10" s="14"/>
      <c r="R10" s="14">
        <v>4</v>
      </c>
      <c r="S10" s="14"/>
      <c r="T10" s="14">
        <v>1</v>
      </c>
      <c r="U10" s="14"/>
      <c r="V10" s="14"/>
      <c r="W10" s="14"/>
      <c r="X10" s="14"/>
      <c r="Y10" s="14"/>
      <c r="Z10" s="14"/>
      <c r="AA10" s="15"/>
      <c r="AB10" s="14"/>
      <c r="AC10" s="14"/>
      <c r="AD10" s="14"/>
      <c r="AE10" s="14"/>
      <c r="AF10" s="14"/>
      <c r="AG10" s="16">
        <f t="shared" si="0"/>
        <v>14</v>
      </c>
      <c r="AH10" s="17">
        <v>50500</v>
      </c>
      <c r="AI10" s="18">
        <f t="shared" si="1"/>
        <v>707000</v>
      </c>
      <c r="AJ10" s="19">
        <f t="shared" si="2"/>
        <v>1</v>
      </c>
      <c r="AK10" s="18">
        <f t="shared" si="3"/>
        <v>50500</v>
      </c>
      <c r="AL10" s="18">
        <f t="shared" si="4"/>
        <v>50500</v>
      </c>
    </row>
    <row r="11" spans="1:38" ht="15.75" customHeight="1">
      <c r="A11" s="654"/>
      <c r="B11" s="20" t="s">
        <v>12</v>
      </c>
      <c r="C11" s="14"/>
      <c r="D11" s="14"/>
      <c r="E11" s="12"/>
      <c r="F11" s="15"/>
      <c r="G11" s="14"/>
      <c r="H11" s="14"/>
      <c r="I11" s="14"/>
      <c r="J11" s="14"/>
      <c r="K11" s="14"/>
      <c r="L11" s="14"/>
      <c r="M11" s="15"/>
      <c r="N11" s="15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  <c r="AB11" s="14"/>
      <c r="AC11" s="14"/>
      <c r="AD11" s="14"/>
      <c r="AE11" s="14"/>
      <c r="AF11" s="14"/>
      <c r="AG11" s="16">
        <f t="shared" si="0"/>
        <v>0</v>
      </c>
      <c r="AH11" s="17">
        <v>59600</v>
      </c>
      <c r="AI11" s="18">
        <f t="shared" si="1"/>
        <v>0</v>
      </c>
      <c r="AJ11" s="19">
        <f t="shared" si="2"/>
        <v>0</v>
      </c>
      <c r="AK11" s="18">
        <f t="shared" si="3"/>
        <v>59600</v>
      </c>
      <c r="AL11" s="18">
        <f t="shared" si="4"/>
        <v>0</v>
      </c>
    </row>
    <row r="12" spans="1:38" ht="15.75" customHeight="1">
      <c r="A12" s="654"/>
      <c r="B12" s="20" t="s">
        <v>13</v>
      </c>
      <c r="C12" s="11">
        <v>23</v>
      </c>
      <c r="D12" s="12">
        <f>29+30+50</f>
        <v>109</v>
      </c>
      <c r="E12" s="12">
        <v>20</v>
      </c>
      <c r="F12" s="13">
        <f>25+20+12</f>
        <v>57</v>
      </c>
      <c r="G12" s="12">
        <v>4</v>
      </c>
      <c r="H12" s="14">
        <v>29</v>
      </c>
      <c r="I12" s="12">
        <v>50</v>
      </c>
      <c r="J12" s="12">
        <f>24+30</f>
        <v>54</v>
      </c>
      <c r="K12" s="12">
        <v>22</v>
      </c>
      <c r="L12" s="12">
        <v>32</v>
      </c>
      <c r="M12" s="13">
        <v>52</v>
      </c>
      <c r="N12" s="13">
        <v>27</v>
      </c>
      <c r="O12" s="12">
        <v>50</v>
      </c>
      <c r="P12" s="12">
        <v>31</v>
      </c>
      <c r="Q12" s="12">
        <v>21</v>
      </c>
      <c r="R12" s="12">
        <f>31+32</f>
        <v>63</v>
      </c>
      <c r="S12" s="14">
        <v>14</v>
      </c>
      <c r="T12" s="14">
        <v>32</v>
      </c>
      <c r="U12" s="14"/>
      <c r="V12" s="14"/>
      <c r="W12" s="14"/>
      <c r="X12" s="14"/>
      <c r="Y12" s="14"/>
      <c r="Z12" s="14"/>
      <c r="AA12" s="15"/>
      <c r="AB12" s="14"/>
      <c r="AC12" s="14"/>
      <c r="AD12" s="14"/>
      <c r="AE12" s="14"/>
      <c r="AF12" s="14"/>
      <c r="AG12" s="16">
        <f t="shared" si="0"/>
        <v>690</v>
      </c>
      <c r="AH12" s="17">
        <v>41500</v>
      </c>
      <c r="AI12" s="18">
        <f t="shared" si="1"/>
        <v>28635000</v>
      </c>
      <c r="AJ12" s="19">
        <f t="shared" si="2"/>
        <v>32</v>
      </c>
      <c r="AK12" s="18">
        <f t="shared" si="3"/>
        <v>41500</v>
      </c>
      <c r="AL12" s="18">
        <f t="shared" si="4"/>
        <v>1328000</v>
      </c>
    </row>
    <row r="13" spans="1:38" ht="15.75" customHeight="1">
      <c r="A13" s="654"/>
      <c r="B13" s="21" t="s">
        <v>14</v>
      </c>
      <c r="C13" s="14"/>
      <c r="D13" s="14"/>
      <c r="E13" s="14"/>
      <c r="F13" s="15"/>
      <c r="G13" s="14"/>
      <c r="H13" s="14"/>
      <c r="I13" s="14"/>
      <c r="J13" s="14"/>
      <c r="K13" s="14"/>
      <c r="L13" s="14"/>
      <c r="M13" s="15"/>
      <c r="N13" s="15"/>
      <c r="O13" s="14"/>
      <c r="P13" s="14"/>
      <c r="Q13" s="12"/>
      <c r="R13" s="14"/>
      <c r="S13" s="14"/>
      <c r="T13" s="14"/>
      <c r="U13" s="14"/>
      <c r="V13" s="14"/>
      <c r="W13" s="14"/>
      <c r="X13" s="14"/>
      <c r="Y13" s="14"/>
      <c r="Z13" s="14"/>
      <c r="AA13" s="15"/>
      <c r="AB13" s="14"/>
      <c r="AC13" s="14"/>
      <c r="AD13" s="14"/>
      <c r="AE13" s="14"/>
      <c r="AF13" s="14"/>
      <c r="AG13" s="16">
        <f t="shared" si="0"/>
        <v>0</v>
      </c>
      <c r="AH13" s="17">
        <v>83400</v>
      </c>
      <c r="AI13" s="18">
        <f t="shared" si="1"/>
        <v>0</v>
      </c>
      <c r="AJ13" s="19">
        <f t="shared" si="2"/>
        <v>0</v>
      </c>
      <c r="AK13" s="18">
        <f t="shared" si="3"/>
        <v>83400</v>
      </c>
      <c r="AL13" s="18">
        <f t="shared" si="4"/>
        <v>0</v>
      </c>
    </row>
    <row r="14" spans="1:38" ht="15.75" customHeight="1">
      <c r="A14" s="654"/>
      <c r="B14" s="21" t="s">
        <v>15</v>
      </c>
      <c r="C14" s="14"/>
      <c r="D14" s="14"/>
      <c r="E14" s="14"/>
      <c r="F14" s="15"/>
      <c r="G14" s="14"/>
      <c r="H14" s="14"/>
      <c r="I14" s="14"/>
      <c r="J14" s="14"/>
      <c r="K14" s="14"/>
      <c r="L14" s="14">
        <v>1</v>
      </c>
      <c r="M14" s="14">
        <v>1</v>
      </c>
      <c r="N14" s="14">
        <v>1</v>
      </c>
      <c r="O14" s="14">
        <v>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  <c r="AB14" s="14"/>
      <c r="AC14" s="14"/>
      <c r="AD14" s="14"/>
      <c r="AE14" s="14"/>
      <c r="AF14" s="14"/>
      <c r="AG14" s="16">
        <f t="shared" si="0"/>
        <v>5</v>
      </c>
      <c r="AH14" s="17">
        <v>39000</v>
      </c>
      <c r="AI14" s="18">
        <f t="shared" si="1"/>
        <v>195000</v>
      </c>
      <c r="AJ14" s="19">
        <f t="shared" si="2"/>
        <v>0</v>
      </c>
      <c r="AK14" s="18">
        <f t="shared" si="3"/>
        <v>39000</v>
      </c>
      <c r="AL14" s="18">
        <f t="shared" si="4"/>
        <v>0</v>
      </c>
    </row>
    <row r="15" spans="1:38" ht="15.75" customHeight="1">
      <c r="A15" s="654"/>
      <c r="B15" s="21" t="s">
        <v>16</v>
      </c>
      <c r="C15" s="14"/>
      <c r="D15" s="14"/>
      <c r="E15" s="14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  <c r="AB15" s="14"/>
      <c r="AC15" s="14"/>
      <c r="AD15" s="14"/>
      <c r="AE15" s="14"/>
      <c r="AF15" s="14"/>
      <c r="AG15" s="16">
        <f t="shared" si="0"/>
        <v>0</v>
      </c>
      <c r="AH15" s="17">
        <v>60500</v>
      </c>
      <c r="AI15" s="18">
        <f t="shared" si="1"/>
        <v>0</v>
      </c>
      <c r="AJ15" s="19">
        <f t="shared" si="2"/>
        <v>0</v>
      </c>
      <c r="AK15" s="18">
        <f t="shared" si="3"/>
        <v>60500</v>
      </c>
      <c r="AL15" s="18">
        <f t="shared" si="4"/>
        <v>0</v>
      </c>
    </row>
    <row r="16" spans="1:38" ht="15.75" customHeight="1">
      <c r="A16" s="654"/>
      <c r="B16" s="20" t="s">
        <v>17</v>
      </c>
      <c r="C16" s="11">
        <v>8</v>
      </c>
      <c r="D16" s="12">
        <v>10</v>
      </c>
      <c r="E16" s="12">
        <v>7</v>
      </c>
      <c r="F16" s="13">
        <v>14</v>
      </c>
      <c r="G16" s="12"/>
      <c r="H16" s="14">
        <v>8</v>
      </c>
      <c r="I16" s="12">
        <v>6</v>
      </c>
      <c r="J16" s="12">
        <v>6</v>
      </c>
      <c r="K16" s="12">
        <v>8</v>
      </c>
      <c r="L16" s="12">
        <v>7</v>
      </c>
      <c r="M16" s="12">
        <v>8</v>
      </c>
      <c r="N16" s="12">
        <v>7</v>
      </c>
      <c r="O16" s="12">
        <v>12</v>
      </c>
      <c r="P16" s="12">
        <v>10</v>
      </c>
      <c r="Q16" s="12">
        <v>5</v>
      </c>
      <c r="R16" s="12">
        <v>5</v>
      </c>
      <c r="S16" s="14">
        <v>8</v>
      </c>
      <c r="T16" s="14">
        <v>6</v>
      </c>
      <c r="U16" s="14"/>
      <c r="V16" s="14"/>
      <c r="W16" s="14"/>
      <c r="X16" s="14"/>
      <c r="Y16" s="14"/>
      <c r="Z16" s="14"/>
      <c r="AA16" s="15"/>
      <c r="AB16" s="14"/>
      <c r="AC16" s="14"/>
      <c r="AD16" s="14"/>
      <c r="AE16" s="14"/>
      <c r="AF16" s="14"/>
      <c r="AG16" s="16">
        <f t="shared" si="0"/>
        <v>135</v>
      </c>
      <c r="AH16" s="17">
        <v>67500</v>
      </c>
      <c r="AI16" s="18">
        <f t="shared" si="1"/>
        <v>9112500</v>
      </c>
      <c r="AJ16" s="19">
        <f t="shared" si="2"/>
        <v>6</v>
      </c>
      <c r="AK16" s="18">
        <f t="shared" si="3"/>
        <v>67500</v>
      </c>
      <c r="AL16" s="18">
        <f t="shared" si="4"/>
        <v>405000</v>
      </c>
    </row>
    <row r="17" spans="1:38" ht="15.75" customHeight="1">
      <c r="A17" s="654"/>
      <c r="B17" s="20" t="s">
        <v>18</v>
      </c>
      <c r="C17" s="11">
        <v>4</v>
      </c>
      <c r="D17" s="12">
        <v>8</v>
      </c>
      <c r="E17" s="12">
        <v>6</v>
      </c>
      <c r="F17" s="13">
        <v>11</v>
      </c>
      <c r="G17" s="12"/>
      <c r="H17" s="14">
        <v>8</v>
      </c>
      <c r="I17" s="12">
        <v>9</v>
      </c>
      <c r="J17" s="12">
        <v>2</v>
      </c>
      <c r="K17" s="12">
        <v>3</v>
      </c>
      <c r="L17" s="12">
        <v>3</v>
      </c>
      <c r="M17" s="12">
        <v>2</v>
      </c>
      <c r="N17" s="12">
        <v>5</v>
      </c>
      <c r="O17" s="12">
        <v>2</v>
      </c>
      <c r="P17" s="12">
        <v>6</v>
      </c>
      <c r="Q17" s="12">
        <v>3</v>
      </c>
      <c r="R17" s="12">
        <v>7</v>
      </c>
      <c r="S17" s="14">
        <v>5</v>
      </c>
      <c r="T17" s="14">
        <v>7</v>
      </c>
      <c r="U17" s="14"/>
      <c r="V17" s="14"/>
      <c r="W17" s="14"/>
      <c r="X17" s="14"/>
      <c r="Y17" s="14"/>
      <c r="Z17" s="14"/>
      <c r="AA17" s="15"/>
      <c r="AB17" s="14"/>
      <c r="AC17" s="14"/>
      <c r="AD17" s="14"/>
      <c r="AE17" s="14"/>
      <c r="AF17" s="14"/>
      <c r="AG17" s="16">
        <f t="shared" si="0"/>
        <v>91</v>
      </c>
      <c r="AH17" s="17">
        <v>63000</v>
      </c>
      <c r="AI17" s="18">
        <f t="shared" si="1"/>
        <v>5733000</v>
      </c>
      <c r="AJ17" s="19">
        <f t="shared" si="2"/>
        <v>7</v>
      </c>
      <c r="AK17" s="18">
        <f t="shared" si="3"/>
        <v>63000</v>
      </c>
      <c r="AL17" s="18">
        <f t="shared" si="4"/>
        <v>441000</v>
      </c>
    </row>
    <row r="18" spans="1:38" ht="15.75" customHeight="1">
      <c r="A18" s="654"/>
      <c r="B18" s="20" t="s">
        <v>19</v>
      </c>
      <c r="C18" s="14"/>
      <c r="D18" s="14"/>
      <c r="E18" s="14"/>
      <c r="F18" s="15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14"/>
      <c r="AC18" s="14"/>
      <c r="AD18" s="14"/>
      <c r="AE18" s="14"/>
      <c r="AF18" s="14"/>
      <c r="AG18" s="16">
        <f t="shared" si="0"/>
        <v>0</v>
      </c>
      <c r="AH18" s="17">
        <v>61000</v>
      </c>
      <c r="AI18" s="18">
        <f t="shared" si="1"/>
        <v>0</v>
      </c>
      <c r="AJ18" s="19">
        <f t="shared" si="2"/>
        <v>0</v>
      </c>
      <c r="AK18" s="18">
        <f t="shared" si="3"/>
        <v>61000</v>
      </c>
      <c r="AL18" s="18">
        <f t="shared" si="4"/>
        <v>0</v>
      </c>
    </row>
    <row r="19" spans="1:38" ht="15.75" customHeight="1">
      <c r="A19" s="654"/>
      <c r="B19" s="22" t="s">
        <v>20</v>
      </c>
      <c r="C19" s="14"/>
      <c r="D19" s="14"/>
      <c r="E19" s="14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14"/>
      <c r="AC19" s="14"/>
      <c r="AD19" s="14"/>
      <c r="AE19" s="14"/>
      <c r="AF19" s="14"/>
      <c r="AG19" s="16">
        <f t="shared" si="0"/>
        <v>0</v>
      </c>
      <c r="AH19" s="23">
        <v>61000</v>
      </c>
      <c r="AI19" s="18">
        <f t="shared" si="1"/>
        <v>0</v>
      </c>
      <c r="AJ19" s="19">
        <f t="shared" si="2"/>
        <v>0</v>
      </c>
      <c r="AK19" s="18">
        <f t="shared" si="3"/>
        <v>61000</v>
      </c>
      <c r="AL19" s="18">
        <f t="shared" si="4"/>
        <v>0</v>
      </c>
    </row>
    <row r="20" spans="1:38" ht="15.75" customHeight="1">
      <c r="A20" s="655"/>
      <c r="B20" s="24"/>
      <c r="C20" s="25">
        <f t="shared" ref="C20:AG20" si="5">SUM(C3:C19)</f>
        <v>74</v>
      </c>
      <c r="D20" s="25">
        <f t="shared" si="5"/>
        <v>180</v>
      </c>
      <c r="E20" s="25">
        <f t="shared" si="5"/>
        <v>77</v>
      </c>
      <c r="F20" s="26">
        <f t="shared" si="5"/>
        <v>155</v>
      </c>
      <c r="G20" s="25">
        <f t="shared" si="5"/>
        <v>37</v>
      </c>
      <c r="H20" s="25">
        <f t="shared" si="5"/>
        <v>78</v>
      </c>
      <c r="I20" s="25">
        <f t="shared" si="5"/>
        <v>125</v>
      </c>
      <c r="J20" s="25">
        <f t="shared" si="5"/>
        <v>74</v>
      </c>
      <c r="K20" s="25">
        <f t="shared" si="5"/>
        <v>57</v>
      </c>
      <c r="L20" s="25">
        <f t="shared" si="5"/>
        <v>83</v>
      </c>
      <c r="M20" s="25">
        <f t="shared" si="5"/>
        <v>95</v>
      </c>
      <c r="N20" s="25">
        <f t="shared" si="5"/>
        <v>57</v>
      </c>
      <c r="O20" s="25">
        <f t="shared" si="5"/>
        <v>138</v>
      </c>
      <c r="P20" s="25">
        <f t="shared" si="5"/>
        <v>116</v>
      </c>
      <c r="Q20" s="25">
        <f t="shared" si="5"/>
        <v>64</v>
      </c>
      <c r="R20" s="25">
        <f t="shared" si="5"/>
        <v>102</v>
      </c>
      <c r="S20" s="25">
        <f t="shared" si="5"/>
        <v>61</v>
      </c>
      <c r="T20" s="25">
        <f t="shared" si="5"/>
        <v>76</v>
      </c>
      <c r="U20" s="25">
        <f t="shared" si="5"/>
        <v>0</v>
      </c>
      <c r="V20" s="25">
        <f t="shared" si="5"/>
        <v>0</v>
      </c>
      <c r="W20" s="25">
        <f t="shared" si="5"/>
        <v>0</v>
      </c>
      <c r="X20" s="25">
        <f t="shared" si="5"/>
        <v>0</v>
      </c>
      <c r="Y20" s="25">
        <f t="shared" si="5"/>
        <v>0</v>
      </c>
      <c r="Z20" s="25">
        <f t="shared" si="5"/>
        <v>0</v>
      </c>
      <c r="AA20" s="26">
        <f t="shared" si="5"/>
        <v>0</v>
      </c>
      <c r="AB20" s="25">
        <f t="shared" si="5"/>
        <v>0</v>
      </c>
      <c r="AC20" s="25">
        <f t="shared" si="5"/>
        <v>0</v>
      </c>
      <c r="AD20" s="27">
        <f t="shared" si="5"/>
        <v>0</v>
      </c>
      <c r="AE20" s="27">
        <f t="shared" si="5"/>
        <v>0</v>
      </c>
      <c r="AF20" s="27">
        <f t="shared" si="5"/>
        <v>0</v>
      </c>
      <c r="AG20" s="27">
        <f t="shared" si="5"/>
        <v>1649</v>
      </c>
      <c r="AH20" s="28"/>
      <c r="AI20" s="29">
        <f>SUM(AI3:AI19)</f>
        <v>90424500</v>
      </c>
      <c r="AJ20" s="19">
        <f t="shared" si="2"/>
        <v>76</v>
      </c>
      <c r="AK20" s="18">
        <f t="shared" si="3"/>
        <v>0</v>
      </c>
      <c r="AL20" s="29"/>
    </row>
    <row r="21" spans="1:38" ht="15.75" customHeight="1">
      <c r="A21" s="656"/>
      <c r="B21" s="30" t="s">
        <v>21</v>
      </c>
      <c r="C21" s="31"/>
      <c r="D21" s="31">
        <v>2</v>
      </c>
      <c r="E21" s="31"/>
      <c r="F21" s="32"/>
      <c r="G21" s="31"/>
      <c r="H21" s="33">
        <v>4</v>
      </c>
      <c r="I21" s="31"/>
      <c r="J21" s="33"/>
      <c r="K21" s="31"/>
      <c r="L21" s="31"/>
      <c r="M21" s="31"/>
      <c r="N21" s="33"/>
      <c r="O21" s="31">
        <v>1</v>
      </c>
      <c r="P21" s="31"/>
      <c r="Q21" s="31">
        <v>2</v>
      </c>
      <c r="R21" s="31">
        <v>20</v>
      </c>
      <c r="S21" s="31"/>
      <c r="T21" s="31"/>
      <c r="U21" s="31"/>
      <c r="V21" s="31"/>
      <c r="W21" s="31"/>
      <c r="X21" s="31"/>
      <c r="Y21" s="31"/>
      <c r="Z21" s="31"/>
      <c r="AA21" s="32"/>
      <c r="AB21" s="31"/>
      <c r="AC21" s="31"/>
      <c r="AD21" s="31"/>
      <c r="AE21" s="31"/>
      <c r="AF21" s="31"/>
      <c r="AG21" s="34">
        <f t="shared" ref="AG21:AG108" si="6">SUM(C21:AF21)</f>
        <v>29</v>
      </c>
      <c r="AH21" s="35">
        <v>62000</v>
      </c>
      <c r="AI21" s="36">
        <f t="shared" ref="AI21:AI108" si="7">+AH21*AG21</f>
        <v>1798000</v>
      </c>
      <c r="AJ21" s="19">
        <f t="shared" si="2"/>
        <v>0</v>
      </c>
      <c r="AK21" s="18">
        <f t="shared" si="3"/>
        <v>62000</v>
      </c>
      <c r="AL21" s="36">
        <f t="shared" ref="AL21:AL108" si="8">+AK21*AJ21</f>
        <v>0</v>
      </c>
    </row>
    <row r="22" spans="1:38" ht="15.75" customHeight="1">
      <c r="A22" s="657"/>
      <c r="B22" s="37" t="s">
        <v>22</v>
      </c>
      <c r="C22" s="31">
        <v>4</v>
      </c>
      <c r="D22" s="31">
        <v>12</v>
      </c>
      <c r="E22" s="33">
        <v>5</v>
      </c>
      <c r="F22" s="38">
        <v>5</v>
      </c>
      <c r="G22" s="33">
        <v>11</v>
      </c>
      <c r="H22" s="33">
        <v>10</v>
      </c>
      <c r="I22" s="33">
        <v>10</v>
      </c>
      <c r="J22" s="33">
        <v>7</v>
      </c>
      <c r="K22" s="33"/>
      <c r="L22" s="33">
        <v>6</v>
      </c>
      <c r="M22" s="38">
        <v>5</v>
      </c>
      <c r="N22" s="33">
        <v>5</v>
      </c>
      <c r="O22" s="33"/>
      <c r="P22" s="33">
        <v>10</v>
      </c>
      <c r="Q22" s="31"/>
      <c r="R22" s="33"/>
      <c r="S22" s="31">
        <v>5</v>
      </c>
      <c r="T22" s="31">
        <v>5</v>
      </c>
      <c r="U22" s="31"/>
      <c r="V22" s="31"/>
      <c r="W22" s="31"/>
      <c r="X22" s="31"/>
      <c r="Y22" s="31"/>
      <c r="Z22" s="31"/>
      <c r="AA22" s="32"/>
      <c r="AB22" s="31"/>
      <c r="AC22" s="31"/>
      <c r="AD22" s="31"/>
      <c r="AE22" s="31"/>
      <c r="AF22" s="31"/>
      <c r="AG22" s="34">
        <f t="shared" si="6"/>
        <v>100</v>
      </c>
      <c r="AH22" s="17">
        <v>66000</v>
      </c>
      <c r="AI22" s="36">
        <f t="shared" si="7"/>
        <v>6600000</v>
      </c>
      <c r="AJ22" s="19">
        <f t="shared" si="2"/>
        <v>5</v>
      </c>
      <c r="AK22" s="18">
        <f t="shared" si="3"/>
        <v>66000</v>
      </c>
      <c r="AL22" s="36">
        <f t="shared" si="8"/>
        <v>330000</v>
      </c>
    </row>
    <row r="23" spans="1:38" ht="15.75" customHeight="1">
      <c r="A23" s="657"/>
      <c r="B23" s="37" t="s">
        <v>23</v>
      </c>
      <c r="C23" s="31"/>
      <c r="D23" s="31"/>
      <c r="E23" s="31"/>
      <c r="F23" s="32"/>
      <c r="G23" s="31"/>
      <c r="H23" s="33">
        <v>5</v>
      </c>
      <c r="I23" s="33"/>
      <c r="J23" s="33"/>
      <c r="K23" s="31"/>
      <c r="L23" s="31"/>
      <c r="M23" s="31">
        <v>6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  <c r="AB23" s="31"/>
      <c r="AC23" s="31"/>
      <c r="AD23" s="31"/>
      <c r="AE23" s="31"/>
      <c r="AF23" s="31"/>
      <c r="AG23" s="34">
        <f t="shared" si="6"/>
        <v>11</v>
      </c>
      <c r="AH23" s="17">
        <v>42000</v>
      </c>
      <c r="AI23" s="36">
        <f t="shared" si="7"/>
        <v>462000</v>
      </c>
      <c r="AJ23" s="19">
        <f t="shared" si="2"/>
        <v>0</v>
      </c>
      <c r="AK23" s="18">
        <f t="shared" si="3"/>
        <v>42000</v>
      </c>
      <c r="AL23" s="36">
        <f t="shared" si="8"/>
        <v>0</v>
      </c>
    </row>
    <row r="24" spans="1:38" ht="15.75" customHeight="1">
      <c r="A24" s="657"/>
      <c r="B24" s="37" t="s">
        <v>24</v>
      </c>
      <c r="C24" s="31"/>
      <c r="D24" s="31"/>
      <c r="E24" s="31"/>
      <c r="F24" s="32"/>
      <c r="G24" s="31"/>
      <c r="H24" s="33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  <c r="AB24" s="31"/>
      <c r="AC24" s="31"/>
      <c r="AD24" s="31"/>
      <c r="AE24" s="31"/>
      <c r="AF24" s="31"/>
      <c r="AG24" s="34">
        <f t="shared" si="6"/>
        <v>0</v>
      </c>
      <c r="AH24" s="17">
        <v>34000</v>
      </c>
      <c r="AI24" s="36">
        <f t="shared" si="7"/>
        <v>0</v>
      </c>
      <c r="AJ24" s="19">
        <f t="shared" si="2"/>
        <v>0</v>
      </c>
      <c r="AK24" s="18">
        <f t="shared" si="3"/>
        <v>34000</v>
      </c>
      <c r="AL24" s="36">
        <f t="shared" si="8"/>
        <v>0</v>
      </c>
    </row>
    <row r="25" spans="1:38" ht="15.75" customHeight="1">
      <c r="A25" s="657"/>
      <c r="B25" s="37" t="s">
        <v>25</v>
      </c>
      <c r="C25" s="31"/>
      <c r="D25" s="31"/>
      <c r="E25" s="31"/>
      <c r="F25" s="32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  <c r="AB25" s="31"/>
      <c r="AC25" s="31"/>
      <c r="AD25" s="31"/>
      <c r="AE25" s="31"/>
      <c r="AF25" s="31"/>
      <c r="AG25" s="34">
        <f t="shared" si="6"/>
        <v>0</v>
      </c>
      <c r="AH25" s="17">
        <v>57000</v>
      </c>
      <c r="AI25" s="36">
        <f t="shared" si="7"/>
        <v>0</v>
      </c>
      <c r="AJ25" s="19">
        <f t="shared" si="2"/>
        <v>0</v>
      </c>
      <c r="AK25" s="18">
        <f t="shared" si="3"/>
        <v>57000</v>
      </c>
      <c r="AL25" s="36">
        <f t="shared" si="8"/>
        <v>0</v>
      </c>
    </row>
    <row r="26" spans="1:38" ht="15.75" customHeight="1">
      <c r="A26" s="657"/>
      <c r="B26" s="37" t="s">
        <v>26</v>
      </c>
      <c r="C26" s="31"/>
      <c r="D26" s="31"/>
      <c r="E26" s="31"/>
      <c r="F26" s="32"/>
      <c r="G26" s="33"/>
      <c r="H26" s="31">
        <v>3</v>
      </c>
      <c r="I26" s="31"/>
      <c r="J26" s="33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  <c r="AB26" s="31"/>
      <c r="AC26" s="31"/>
      <c r="AD26" s="31"/>
      <c r="AE26" s="31"/>
      <c r="AF26" s="31"/>
      <c r="AG26" s="34">
        <f t="shared" si="6"/>
        <v>3</v>
      </c>
      <c r="AH26" s="17">
        <v>61500</v>
      </c>
      <c r="AI26" s="36">
        <f t="shared" si="7"/>
        <v>184500</v>
      </c>
      <c r="AJ26" s="19">
        <f t="shared" si="2"/>
        <v>0</v>
      </c>
      <c r="AK26" s="18">
        <f t="shared" si="3"/>
        <v>61500</v>
      </c>
      <c r="AL26" s="36">
        <f t="shared" si="8"/>
        <v>0</v>
      </c>
    </row>
    <row r="27" spans="1:38" ht="15.75" customHeight="1">
      <c r="A27" s="657"/>
      <c r="B27" s="37" t="s">
        <v>27</v>
      </c>
      <c r="C27" s="31"/>
      <c r="D27" s="31"/>
      <c r="E27" s="31"/>
      <c r="F27" s="32"/>
      <c r="G27" s="33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  <c r="AB27" s="31"/>
      <c r="AC27" s="31"/>
      <c r="AD27" s="31"/>
      <c r="AE27" s="31"/>
      <c r="AF27" s="31"/>
      <c r="AG27" s="34">
        <f t="shared" si="6"/>
        <v>0</v>
      </c>
      <c r="AH27" s="17">
        <v>65000</v>
      </c>
      <c r="AI27" s="36">
        <f t="shared" si="7"/>
        <v>0</v>
      </c>
      <c r="AJ27" s="19">
        <f t="shared" si="2"/>
        <v>0</v>
      </c>
      <c r="AK27" s="18">
        <f t="shared" si="3"/>
        <v>65000</v>
      </c>
      <c r="AL27" s="36">
        <f t="shared" si="8"/>
        <v>0</v>
      </c>
    </row>
    <row r="28" spans="1:38" ht="15.75" customHeight="1">
      <c r="A28" s="657"/>
      <c r="B28" s="37" t="s">
        <v>28</v>
      </c>
      <c r="C28" s="31"/>
      <c r="D28" s="33"/>
      <c r="E28" s="31"/>
      <c r="F28" s="32"/>
      <c r="G28" s="33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  <c r="AB28" s="31"/>
      <c r="AC28" s="31"/>
      <c r="AD28" s="31"/>
      <c r="AE28" s="31"/>
      <c r="AF28" s="31"/>
      <c r="AG28" s="34">
        <f t="shared" si="6"/>
        <v>0</v>
      </c>
      <c r="AH28" s="17">
        <v>66000</v>
      </c>
      <c r="AI28" s="36">
        <f t="shared" si="7"/>
        <v>0</v>
      </c>
      <c r="AJ28" s="19">
        <f t="shared" si="2"/>
        <v>0</v>
      </c>
      <c r="AK28" s="18">
        <f t="shared" si="3"/>
        <v>66000</v>
      </c>
      <c r="AL28" s="36">
        <f t="shared" si="8"/>
        <v>0</v>
      </c>
    </row>
    <row r="29" spans="1:38" ht="15.75" customHeight="1">
      <c r="A29" s="657"/>
      <c r="B29" s="37" t="s">
        <v>29</v>
      </c>
      <c r="C29" s="31"/>
      <c r="D29" s="31"/>
      <c r="E29" s="31"/>
      <c r="F29" s="32"/>
      <c r="G29" s="33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  <c r="AB29" s="31"/>
      <c r="AC29" s="31"/>
      <c r="AD29" s="31"/>
      <c r="AE29" s="31"/>
      <c r="AF29" s="31"/>
      <c r="AG29" s="34">
        <f t="shared" si="6"/>
        <v>0</v>
      </c>
      <c r="AH29" s="17">
        <v>52000</v>
      </c>
      <c r="AI29" s="36">
        <f t="shared" si="7"/>
        <v>0</v>
      </c>
      <c r="AJ29" s="19">
        <f t="shared" si="2"/>
        <v>0</v>
      </c>
      <c r="AK29" s="18">
        <f t="shared" si="3"/>
        <v>52000</v>
      </c>
      <c r="AL29" s="36">
        <f t="shared" si="8"/>
        <v>0</v>
      </c>
    </row>
    <row r="30" spans="1:38" ht="14.4">
      <c r="A30" s="657"/>
      <c r="B30" s="37" t="s">
        <v>30</v>
      </c>
      <c r="C30" s="31"/>
      <c r="D30" s="33">
        <v>1</v>
      </c>
      <c r="E30" s="31"/>
      <c r="F30" s="32"/>
      <c r="G30" s="31"/>
      <c r="H30" s="31"/>
      <c r="I30" s="31"/>
      <c r="J30" s="33"/>
      <c r="K30" s="31"/>
      <c r="L30" s="31"/>
      <c r="M30" s="33">
        <v>10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2"/>
      <c r="AB30" s="31"/>
      <c r="AC30" s="31"/>
      <c r="AD30" s="31"/>
      <c r="AE30" s="31"/>
      <c r="AF30" s="31"/>
      <c r="AG30" s="34">
        <f t="shared" si="6"/>
        <v>11</v>
      </c>
      <c r="AH30" s="17">
        <v>48000</v>
      </c>
      <c r="AI30" s="36">
        <f t="shared" si="7"/>
        <v>528000</v>
      </c>
      <c r="AJ30" s="19">
        <f t="shared" si="2"/>
        <v>0</v>
      </c>
      <c r="AK30" s="18">
        <f t="shared" si="3"/>
        <v>48000</v>
      </c>
      <c r="AL30" s="36">
        <f t="shared" si="8"/>
        <v>0</v>
      </c>
    </row>
    <row r="31" spans="1:38" ht="14.4">
      <c r="A31" s="657"/>
      <c r="B31" s="37" t="s">
        <v>31</v>
      </c>
      <c r="C31" s="31">
        <v>7</v>
      </c>
      <c r="D31" s="33"/>
      <c r="E31" s="31"/>
      <c r="F31" s="32"/>
      <c r="G31" s="33"/>
      <c r="H31" s="31"/>
      <c r="I31" s="31"/>
      <c r="J31" s="31"/>
      <c r="K31" s="31"/>
      <c r="L31" s="31"/>
      <c r="M31" s="31"/>
      <c r="N31" s="31"/>
      <c r="O31" s="31"/>
      <c r="P31" s="31">
        <v>3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  <c r="AB31" s="31"/>
      <c r="AC31" s="31"/>
      <c r="AD31" s="31"/>
      <c r="AE31" s="31"/>
      <c r="AF31" s="31"/>
      <c r="AG31" s="34">
        <f t="shared" si="6"/>
        <v>10</v>
      </c>
      <c r="AH31" s="17">
        <v>27000</v>
      </c>
      <c r="AI31" s="36">
        <f t="shared" si="7"/>
        <v>270000</v>
      </c>
      <c r="AJ31" s="19">
        <f t="shared" si="2"/>
        <v>0</v>
      </c>
      <c r="AK31" s="18">
        <f t="shared" si="3"/>
        <v>27000</v>
      </c>
      <c r="AL31" s="36">
        <f t="shared" si="8"/>
        <v>0</v>
      </c>
    </row>
    <row r="32" spans="1:38" ht="14.4">
      <c r="A32" s="657"/>
      <c r="B32" s="37" t="s">
        <v>32</v>
      </c>
      <c r="C32" s="31"/>
      <c r="D32" s="33"/>
      <c r="E32" s="31"/>
      <c r="F32" s="32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  <c r="AB32" s="31"/>
      <c r="AC32" s="31"/>
      <c r="AD32" s="31"/>
      <c r="AE32" s="31"/>
      <c r="AF32" s="31"/>
      <c r="AG32" s="34">
        <f t="shared" si="6"/>
        <v>0</v>
      </c>
      <c r="AH32" s="17">
        <v>46000</v>
      </c>
      <c r="AI32" s="36">
        <f t="shared" si="7"/>
        <v>0</v>
      </c>
      <c r="AJ32" s="19">
        <f t="shared" si="2"/>
        <v>0</v>
      </c>
      <c r="AK32" s="18">
        <f t="shared" si="3"/>
        <v>46000</v>
      </c>
      <c r="AL32" s="36">
        <f t="shared" si="8"/>
        <v>0</v>
      </c>
    </row>
    <row r="33" spans="1:38" ht="14.4">
      <c r="A33" s="658"/>
      <c r="B33" s="39" t="s">
        <v>33</v>
      </c>
      <c r="C33" s="40"/>
      <c r="D33" s="40"/>
      <c r="E33" s="40"/>
      <c r="F33" s="41"/>
      <c r="G33" s="40"/>
      <c r="H33" s="42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1"/>
      <c r="AB33" s="40"/>
      <c r="AC33" s="40"/>
      <c r="AD33" s="40"/>
      <c r="AE33" s="40"/>
      <c r="AF33" s="40"/>
      <c r="AG33" s="43">
        <f t="shared" si="6"/>
        <v>0</v>
      </c>
      <c r="AH33" s="17">
        <v>88000</v>
      </c>
      <c r="AI33" s="36">
        <f t="shared" si="7"/>
        <v>0</v>
      </c>
      <c r="AJ33" s="19">
        <f t="shared" si="2"/>
        <v>0</v>
      </c>
      <c r="AK33" s="18">
        <f t="shared" si="3"/>
        <v>88000</v>
      </c>
      <c r="AL33" s="36">
        <f t="shared" si="8"/>
        <v>0</v>
      </c>
    </row>
    <row r="34" spans="1:38" ht="14.4">
      <c r="A34" s="659"/>
      <c r="B34" s="44" t="s">
        <v>34</v>
      </c>
      <c r="C34" s="45">
        <v>1</v>
      </c>
      <c r="D34" s="46">
        <v>1</v>
      </c>
      <c r="E34" s="45">
        <v>2</v>
      </c>
      <c r="F34" s="47">
        <v>1</v>
      </c>
      <c r="G34" s="45"/>
      <c r="H34" s="46">
        <v>2</v>
      </c>
      <c r="I34" s="46">
        <v>2</v>
      </c>
      <c r="J34" s="46">
        <v>1</v>
      </c>
      <c r="K34" s="46"/>
      <c r="L34" s="46">
        <v>3</v>
      </c>
      <c r="M34" s="45">
        <v>12</v>
      </c>
      <c r="N34" s="45"/>
      <c r="O34" s="46">
        <v>1</v>
      </c>
      <c r="P34" s="46">
        <v>3</v>
      </c>
      <c r="Q34" s="46"/>
      <c r="R34" s="46">
        <v>1</v>
      </c>
      <c r="S34" s="46">
        <v>2</v>
      </c>
      <c r="T34" s="46">
        <v>1</v>
      </c>
      <c r="U34" s="46"/>
      <c r="V34" s="46"/>
      <c r="W34" s="46"/>
      <c r="X34" s="46"/>
      <c r="Y34" s="46"/>
      <c r="Z34" s="46"/>
      <c r="AA34" s="47"/>
      <c r="AB34" s="46"/>
      <c r="AC34" s="46"/>
      <c r="AD34" s="46"/>
      <c r="AE34" s="46"/>
      <c r="AF34" s="46"/>
      <c r="AG34" s="48">
        <f t="shared" si="6"/>
        <v>33</v>
      </c>
      <c r="AH34" s="17">
        <v>54000</v>
      </c>
      <c r="AI34" s="36">
        <f t="shared" si="7"/>
        <v>1782000</v>
      </c>
      <c r="AJ34" s="19">
        <f t="shared" si="2"/>
        <v>1</v>
      </c>
      <c r="AK34" s="18">
        <f t="shared" si="3"/>
        <v>54000</v>
      </c>
      <c r="AL34" s="36">
        <f t="shared" si="8"/>
        <v>54000</v>
      </c>
    </row>
    <row r="35" spans="1:38" ht="14.4">
      <c r="A35" s="660"/>
      <c r="B35" s="44" t="s">
        <v>35</v>
      </c>
      <c r="C35" s="45"/>
      <c r="D35" s="46"/>
      <c r="E35" s="46"/>
      <c r="F35" s="47"/>
      <c r="G35" s="46"/>
      <c r="H35" s="46"/>
      <c r="I35" s="46"/>
      <c r="J35" s="46"/>
      <c r="K35" s="46"/>
      <c r="L35" s="46"/>
      <c r="M35" s="45"/>
      <c r="N35" s="46"/>
      <c r="O35" s="46">
        <v>0.5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7"/>
      <c r="AB35" s="46"/>
      <c r="AC35" s="46"/>
      <c r="AD35" s="46"/>
      <c r="AE35" s="46"/>
      <c r="AF35" s="46"/>
      <c r="AG35" s="48">
        <f t="shared" si="6"/>
        <v>0.5</v>
      </c>
      <c r="AH35" s="17">
        <v>37000</v>
      </c>
      <c r="AI35" s="36">
        <f t="shared" si="7"/>
        <v>18500</v>
      </c>
      <c r="AJ35" s="19">
        <f t="shared" si="2"/>
        <v>0</v>
      </c>
      <c r="AK35" s="18">
        <f t="shared" si="3"/>
        <v>37000</v>
      </c>
      <c r="AL35" s="36">
        <f t="shared" si="8"/>
        <v>0</v>
      </c>
    </row>
    <row r="36" spans="1:38" ht="14.4">
      <c r="A36" s="660"/>
      <c r="B36" s="44" t="s">
        <v>36</v>
      </c>
      <c r="C36" s="46"/>
      <c r="D36" s="46"/>
      <c r="E36" s="46"/>
      <c r="F36" s="47"/>
      <c r="G36" s="46"/>
      <c r="H36" s="46"/>
      <c r="I36" s="46"/>
      <c r="J36" s="46"/>
      <c r="K36" s="46"/>
      <c r="L36" s="46"/>
      <c r="M36" s="46">
        <v>5</v>
      </c>
      <c r="N36" s="46"/>
      <c r="O36" s="46">
        <v>0.5</v>
      </c>
      <c r="P36" s="46"/>
      <c r="Q36" s="46"/>
      <c r="R36" s="46">
        <v>1</v>
      </c>
      <c r="S36" s="46"/>
      <c r="T36" s="46"/>
      <c r="U36" s="46"/>
      <c r="V36" s="46"/>
      <c r="W36" s="46"/>
      <c r="X36" s="46"/>
      <c r="Y36" s="46"/>
      <c r="Z36" s="46"/>
      <c r="AA36" s="47"/>
      <c r="AB36" s="46"/>
      <c r="AC36" s="46"/>
      <c r="AD36" s="46"/>
      <c r="AE36" s="46"/>
      <c r="AF36" s="46"/>
      <c r="AG36" s="48">
        <f t="shared" si="6"/>
        <v>6.5</v>
      </c>
      <c r="AH36" s="17">
        <v>48000</v>
      </c>
      <c r="AI36" s="36">
        <f t="shared" si="7"/>
        <v>312000</v>
      </c>
      <c r="AJ36" s="19">
        <f t="shared" si="2"/>
        <v>0</v>
      </c>
      <c r="AK36" s="18">
        <f t="shared" si="3"/>
        <v>48000</v>
      </c>
      <c r="AL36" s="36">
        <f t="shared" si="8"/>
        <v>0</v>
      </c>
    </row>
    <row r="37" spans="1:38" ht="14.4">
      <c r="A37" s="660"/>
      <c r="B37" s="44" t="s">
        <v>37</v>
      </c>
      <c r="C37" s="46"/>
      <c r="D37" s="46"/>
      <c r="E37" s="46"/>
      <c r="F37" s="47"/>
      <c r="G37" s="46"/>
      <c r="H37" s="46"/>
      <c r="I37" s="46"/>
      <c r="J37" s="46"/>
      <c r="K37" s="46"/>
      <c r="L37" s="46"/>
      <c r="M37" s="46">
        <v>4</v>
      </c>
      <c r="N37" s="46"/>
      <c r="O37" s="46">
        <v>1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7"/>
      <c r="AB37" s="46"/>
      <c r="AC37" s="46"/>
      <c r="AD37" s="46"/>
      <c r="AE37" s="46"/>
      <c r="AF37" s="46"/>
      <c r="AG37" s="48">
        <f t="shared" si="6"/>
        <v>5</v>
      </c>
      <c r="AH37" s="17">
        <v>46000</v>
      </c>
      <c r="AI37" s="36">
        <f t="shared" si="7"/>
        <v>230000</v>
      </c>
      <c r="AJ37" s="19">
        <f t="shared" si="2"/>
        <v>0</v>
      </c>
      <c r="AK37" s="18">
        <f t="shared" si="3"/>
        <v>46000</v>
      </c>
      <c r="AL37" s="36">
        <f t="shared" si="8"/>
        <v>0</v>
      </c>
    </row>
    <row r="38" spans="1:38" ht="14.4">
      <c r="A38" s="661"/>
      <c r="B38" s="49" t="s">
        <v>38</v>
      </c>
      <c r="C38" s="50"/>
      <c r="D38" s="50"/>
      <c r="E38" s="50"/>
      <c r="F38" s="51"/>
      <c r="G38" s="50"/>
      <c r="H38" s="50"/>
      <c r="I38" s="50"/>
      <c r="J38" s="50"/>
      <c r="K38" s="50"/>
      <c r="L38" s="50"/>
      <c r="M38" s="50">
        <v>4</v>
      </c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1"/>
      <c r="AB38" s="50"/>
      <c r="AC38" s="50"/>
      <c r="AD38" s="50"/>
      <c r="AE38" s="50"/>
      <c r="AF38" s="50"/>
      <c r="AG38" s="52">
        <f t="shared" si="6"/>
        <v>4</v>
      </c>
      <c r="AH38" s="17">
        <v>2900</v>
      </c>
      <c r="AI38" s="36">
        <f t="shared" si="7"/>
        <v>11600</v>
      </c>
      <c r="AJ38" s="19">
        <f t="shared" si="2"/>
        <v>0</v>
      </c>
      <c r="AK38" s="18">
        <f t="shared" si="3"/>
        <v>2900</v>
      </c>
      <c r="AL38" s="36">
        <f t="shared" si="8"/>
        <v>0</v>
      </c>
    </row>
    <row r="39" spans="1:38" ht="14.4">
      <c r="A39" s="662"/>
      <c r="B39" s="53" t="s">
        <v>39</v>
      </c>
      <c r="C39" s="54"/>
      <c r="D39" s="54"/>
      <c r="E39" s="54"/>
      <c r="F39" s="55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5"/>
      <c r="AB39" s="54"/>
      <c r="AC39" s="54"/>
      <c r="AD39" s="54"/>
      <c r="AE39" s="54"/>
      <c r="AF39" s="54"/>
      <c r="AG39" s="56">
        <f t="shared" si="6"/>
        <v>0</v>
      </c>
      <c r="AH39" s="17">
        <v>64000</v>
      </c>
      <c r="AI39" s="36">
        <f t="shared" si="7"/>
        <v>0</v>
      </c>
      <c r="AJ39" s="19">
        <f t="shared" si="2"/>
        <v>0</v>
      </c>
      <c r="AK39" s="18">
        <f t="shared" si="3"/>
        <v>64000</v>
      </c>
      <c r="AL39" s="36">
        <f t="shared" si="8"/>
        <v>0</v>
      </c>
    </row>
    <row r="40" spans="1:38" ht="14.4">
      <c r="A40" s="663"/>
      <c r="B40" s="57" t="s">
        <v>40</v>
      </c>
      <c r="C40" s="54"/>
      <c r="D40" s="58"/>
      <c r="E40" s="54"/>
      <c r="F40" s="55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>
        <v>10</v>
      </c>
      <c r="S40" s="54"/>
      <c r="T40" s="54"/>
      <c r="U40" s="54"/>
      <c r="V40" s="54"/>
      <c r="W40" s="54"/>
      <c r="X40" s="54"/>
      <c r="Y40" s="54"/>
      <c r="Z40" s="54"/>
      <c r="AA40" s="55"/>
      <c r="AB40" s="54"/>
      <c r="AC40" s="54"/>
      <c r="AD40" s="54"/>
      <c r="AE40" s="54"/>
      <c r="AF40" s="54"/>
      <c r="AG40" s="56">
        <f t="shared" si="6"/>
        <v>10</v>
      </c>
      <c r="AH40" s="17">
        <v>44000</v>
      </c>
      <c r="AI40" s="36">
        <f t="shared" si="7"/>
        <v>440000</v>
      </c>
      <c r="AJ40" s="19">
        <f t="shared" si="2"/>
        <v>0</v>
      </c>
      <c r="AK40" s="18">
        <f t="shared" si="3"/>
        <v>44000</v>
      </c>
      <c r="AL40" s="36">
        <f t="shared" si="8"/>
        <v>0</v>
      </c>
    </row>
    <row r="41" spans="1:38" ht="14.4">
      <c r="A41" s="663"/>
      <c r="B41" s="57" t="s">
        <v>41</v>
      </c>
      <c r="C41" s="54"/>
      <c r="D41" s="58"/>
      <c r="E41" s="54"/>
      <c r="F41" s="55">
        <v>1</v>
      </c>
      <c r="G41" s="54">
        <v>1</v>
      </c>
      <c r="H41" s="54"/>
      <c r="I41" s="58"/>
      <c r="J41" s="54"/>
      <c r="K41" s="54"/>
      <c r="L41" s="54">
        <v>1</v>
      </c>
      <c r="M41" s="54"/>
      <c r="N41" s="58"/>
      <c r="O41" s="54"/>
      <c r="P41" s="58">
        <v>1</v>
      </c>
      <c r="Q41" s="54"/>
      <c r="R41" s="54"/>
      <c r="S41" s="54">
        <v>16</v>
      </c>
      <c r="T41" s="54"/>
      <c r="U41" s="54"/>
      <c r="V41" s="54"/>
      <c r="W41" s="54"/>
      <c r="X41" s="54"/>
      <c r="Y41" s="54"/>
      <c r="Z41" s="54"/>
      <c r="AA41" s="55"/>
      <c r="AB41" s="54"/>
      <c r="AC41" s="54"/>
      <c r="AD41" s="54"/>
      <c r="AE41" s="54"/>
      <c r="AF41" s="54"/>
      <c r="AG41" s="56">
        <f t="shared" si="6"/>
        <v>20</v>
      </c>
      <c r="AH41" s="17">
        <v>46500</v>
      </c>
      <c r="AI41" s="36">
        <f t="shared" si="7"/>
        <v>930000</v>
      </c>
      <c r="AJ41" s="19">
        <f t="shared" si="2"/>
        <v>0</v>
      </c>
      <c r="AK41" s="18">
        <f t="shared" si="3"/>
        <v>46500</v>
      </c>
      <c r="AL41" s="36">
        <f t="shared" si="8"/>
        <v>0</v>
      </c>
    </row>
    <row r="42" spans="1:38" ht="14.4">
      <c r="A42" s="663"/>
      <c r="B42" s="57" t="s">
        <v>42</v>
      </c>
      <c r="C42" s="54"/>
      <c r="D42" s="54"/>
      <c r="E42" s="54"/>
      <c r="F42" s="55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>
        <v>10</v>
      </c>
      <c r="S42" s="54"/>
      <c r="T42" s="54"/>
      <c r="U42" s="54"/>
      <c r="V42" s="54"/>
      <c r="W42" s="54"/>
      <c r="X42" s="54"/>
      <c r="Y42" s="54"/>
      <c r="Z42" s="54"/>
      <c r="AA42" s="55"/>
      <c r="AB42" s="54"/>
      <c r="AC42" s="54"/>
      <c r="AD42" s="54"/>
      <c r="AE42" s="54"/>
      <c r="AF42" s="54"/>
      <c r="AG42" s="56">
        <f t="shared" si="6"/>
        <v>10</v>
      </c>
      <c r="AH42" s="17">
        <v>34500</v>
      </c>
      <c r="AI42" s="36">
        <f t="shared" si="7"/>
        <v>345000</v>
      </c>
      <c r="AJ42" s="19">
        <f t="shared" si="2"/>
        <v>0</v>
      </c>
      <c r="AK42" s="18">
        <f t="shared" si="3"/>
        <v>34500</v>
      </c>
      <c r="AL42" s="36">
        <f t="shared" si="8"/>
        <v>0</v>
      </c>
    </row>
    <row r="43" spans="1:38" ht="14.4">
      <c r="A43" s="663"/>
      <c r="B43" s="57" t="s">
        <v>43</v>
      </c>
      <c r="C43" s="54"/>
      <c r="D43" s="58"/>
      <c r="E43" s="54"/>
      <c r="F43" s="55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5"/>
      <c r="AB43" s="54"/>
      <c r="AC43" s="54"/>
      <c r="AD43" s="54"/>
      <c r="AE43" s="54"/>
      <c r="AF43" s="54"/>
      <c r="AG43" s="56">
        <f t="shared" si="6"/>
        <v>0</v>
      </c>
      <c r="AH43" s="17">
        <v>55000</v>
      </c>
      <c r="AI43" s="36">
        <f t="shared" si="7"/>
        <v>0</v>
      </c>
      <c r="AJ43" s="19">
        <f t="shared" si="2"/>
        <v>0</v>
      </c>
      <c r="AK43" s="18">
        <f t="shared" si="3"/>
        <v>55000</v>
      </c>
      <c r="AL43" s="36">
        <f t="shared" si="8"/>
        <v>0</v>
      </c>
    </row>
    <row r="44" spans="1:38" ht="14.4">
      <c r="A44" s="663"/>
      <c r="B44" s="57" t="s">
        <v>44</v>
      </c>
      <c r="C44" s="54">
        <v>2</v>
      </c>
      <c r="D44" s="58"/>
      <c r="E44" s="54">
        <v>1</v>
      </c>
      <c r="F44" s="59">
        <v>1</v>
      </c>
      <c r="G44" s="58">
        <v>3</v>
      </c>
      <c r="H44" s="54">
        <v>2</v>
      </c>
      <c r="I44" s="58"/>
      <c r="J44" s="58">
        <v>1</v>
      </c>
      <c r="K44" s="58"/>
      <c r="L44" s="54">
        <v>4</v>
      </c>
      <c r="M44" s="54">
        <v>2</v>
      </c>
      <c r="N44" s="58">
        <v>1</v>
      </c>
      <c r="O44" s="58">
        <v>4</v>
      </c>
      <c r="P44" s="54">
        <v>2</v>
      </c>
      <c r="Q44" s="58">
        <v>3</v>
      </c>
      <c r="R44" s="58">
        <v>15</v>
      </c>
      <c r="S44" s="54">
        <v>33</v>
      </c>
      <c r="T44" s="54">
        <v>1</v>
      </c>
      <c r="U44" s="54"/>
      <c r="V44" s="54"/>
      <c r="W44" s="54"/>
      <c r="X44" s="54"/>
      <c r="Y44" s="54"/>
      <c r="Z44" s="54"/>
      <c r="AA44" s="55"/>
      <c r="AB44" s="54"/>
      <c r="AC44" s="54"/>
      <c r="AD44" s="54"/>
      <c r="AE44" s="54"/>
      <c r="AF44" s="54"/>
      <c r="AG44" s="56">
        <f t="shared" si="6"/>
        <v>75</v>
      </c>
      <c r="AH44" s="60">
        <v>32500</v>
      </c>
      <c r="AI44" s="36">
        <f t="shared" si="7"/>
        <v>2437500</v>
      </c>
      <c r="AJ44" s="19">
        <f t="shared" si="2"/>
        <v>1</v>
      </c>
      <c r="AK44" s="18">
        <f t="shared" si="3"/>
        <v>32500</v>
      </c>
      <c r="AL44" s="36">
        <f t="shared" si="8"/>
        <v>32500</v>
      </c>
    </row>
    <row r="45" spans="1:38" ht="14.4">
      <c r="A45" s="663"/>
      <c r="B45" s="57" t="s">
        <v>45</v>
      </c>
      <c r="C45" s="54"/>
      <c r="D45" s="54"/>
      <c r="E45" s="54">
        <v>2</v>
      </c>
      <c r="F45" s="55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5"/>
      <c r="AB45" s="54"/>
      <c r="AC45" s="54"/>
      <c r="AD45" s="54"/>
      <c r="AE45" s="54"/>
      <c r="AF45" s="54"/>
      <c r="AG45" s="56">
        <f t="shared" si="6"/>
        <v>2</v>
      </c>
      <c r="AH45" s="17">
        <v>55000</v>
      </c>
      <c r="AI45" s="36">
        <f t="shared" si="7"/>
        <v>110000</v>
      </c>
      <c r="AJ45" s="19">
        <f t="shared" si="2"/>
        <v>0</v>
      </c>
      <c r="AK45" s="18">
        <f t="shared" si="3"/>
        <v>55000</v>
      </c>
      <c r="AL45" s="36">
        <f t="shared" si="8"/>
        <v>0</v>
      </c>
    </row>
    <row r="46" spans="1:38" ht="14.4">
      <c r="A46" s="663"/>
      <c r="B46" s="57" t="s">
        <v>46</v>
      </c>
      <c r="C46" s="54"/>
      <c r="D46" s="58"/>
      <c r="E46" s="54">
        <v>2</v>
      </c>
      <c r="F46" s="55">
        <v>2</v>
      </c>
      <c r="G46" s="54"/>
      <c r="H46" s="54"/>
      <c r="I46" s="58"/>
      <c r="J46" s="54">
        <v>1</v>
      </c>
      <c r="K46" s="54"/>
      <c r="L46" s="54">
        <v>1</v>
      </c>
      <c r="M46" s="54">
        <v>2</v>
      </c>
      <c r="N46" s="54"/>
      <c r="O46" s="54"/>
      <c r="P46" s="58"/>
      <c r="Q46" s="58">
        <v>1</v>
      </c>
      <c r="R46" s="54">
        <v>1</v>
      </c>
      <c r="S46" s="54">
        <v>52</v>
      </c>
      <c r="T46" s="54"/>
      <c r="U46" s="54"/>
      <c r="V46" s="54"/>
      <c r="W46" s="54"/>
      <c r="X46" s="54"/>
      <c r="Y46" s="54"/>
      <c r="Z46" s="54"/>
      <c r="AA46" s="55"/>
      <c r="AB46" s="54"/>
      <c r="AC46" s="54"/>
      <c r="AD46" s="54"/>
      <c r="AE46" s="54"/>
      <c r="AF46" s="54"/>
      <c r="AG46" s="56">
        <f t="shared" si="6"/>
        <v>62</v>
      </c>
      <c r="AH46" s="17">
        <v>40000</v>
      </c>
      <c r="AI46" s="36">
        <f t="shared" si="7"/>
        <v>2480000</v>
      </c>
      <c r="AJ46" s="19">
        <f t="shared" si="2"/>
        <v>0</v>
      </c>
      <c r="AK46" s="18">
        <f t="shared" si="3"/>
        <v>40000</v>
      </c>
      <c r="AL46" s="36">
        <f t="shared" si="8"/>
        <v>0</v>
      </c>
    </row>
    <row r="47" spans="1:38" ht="14.4">
      <c r="A47" s="663"/>
      <c r="B47" s="57" t="s">
        <v>47</v>
      </c>
      <c r="C47" s="54"/>
      <c r="D47" s="54"/>
      <c r="E47" s="54"/>
      <c r="F47" s="55"/>
      <c r="G47" s="54"/>
      <c r="H47" s="54"/>
      <c r="I47" s="54"/>
      <c r="J47" s="54"/>
      <c r="K47" s="54"/>
      <c r="L47" s="54"/>
      <c r="M47" s="54"/>
      <c r="N47" s="54">
        <v>1</v>
      </c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5"/>
      <c r="AB47" s="54"/>
      <c r="AC47" s="54"/>
      <c r="AD47" s="54"/>
      <c r="AE47" s="54"/>
      <c r="AF47" s="54"/>
      <c r="AG47" s="56">
        <f t="shared" si="6"/>
        <v>1</v>
      </c>
      <c r="AH47" s="17">
        <v>49000</v>
      </c>
      <c r="AI47" s="36">
        <f t="shared" si="7"/>
        <v>49000</v>
      </c>
      <c r="AJ47" s="19">
        <f t="shared" si="2"/>
        <v>0</v>
      </c>
      <c r="AK47" s="18">
        <f t="shared" si="3"/>
        <v>49000</v>
      </c>
      <c r="AL47" s="36">
        <f t="shared" si="8"/>
        <v>0</v>
      </c>
    </row>
    <row r="48" spans="1:38" ht="14.4">
      <c r="A48" s="663"/>
      <c r="B48" s="57" t="s">
        <v>48</v>
      </c>
      <c r="C48" s="54"/>
      <c r="D48" s="54">
        <v>1</v>
      </c>
      <c r="E48" s="54"/>
      <c r="F48" s="55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5"/>
      <c r="AB48" s="54"/>
      <c r="AC48" s="54"/>
      <c r="AD48" s="54"/>
      <c r="AE48" s="54"/>
      <c r="AF48" s="54"/>
      <c r="AG48" s="56">
        <f t="shared" si="6"/>
        <v>1</v>
      </c>
      <c r="AH48" s="17">
        <v>65000</v>
      </c>
      <c r="AI48" s="36">
        <f t="shared" si="7"/>
        <v>65000</v>
      </c>
      <c r="AJ48" s="19">
        <f t="shared" si="2"/>
        <v>0</v>
      </c>
      <c r="AK48" s="18">
        <f t="shared" si="3"/>
        <v>65000</v>
      </c>
      <c r="AL48" s="36">
        <f t="shared" si="8"/>
        <v>0</v>
      </c>
    </row>
    <row r="49" spans="1:38" ht="14.4">
      <c r="A49" s="664"/>
      <c r="B49" s="61" t="s">
        <v>49</v>
      </c>
      <c r="C49" s="62"/>
      <c r="D49" s="62"/>
      <c r="E49" s="62"/>
      <c r="F49" s="63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3"/>
      <c r="AB49" s="62"/>
      <c r="AC49" s="62"/>
      <c r="AD49" s="62"/>
      <c r="AE49" s="62"/>
      <c r="AF49" s="62"/>
      <c r="AG49" s="64">
        <f t="shared" si="6"/>
        <v>0</v>
      </c>
      <c r="AH49" s="17">
        <v>44000</v>
      </c>
      <c r="AI49" s="36">
        <f t="shared" si="7"/>
        <v>0</v>
      </c>
      <c r="AJ49" s="19">
        <f t="shared" si="2"/>
        <v>0</v>
      </c>
      <c r="AK49" s="18">
        <f t="shared" si="3"/>
        <v>44000</v>
      </c>
      <c r="AL49" s="36">
        <f t="shared" si="8"/>
        <v>0</v>
      </c>
    </row>
    <row r="50" spans="1:38" ht="14.4">
      <c r="A50" s="665"/>
      <c r="B50" s="65" t="s">
        <v>50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7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8">
        <f t="shared" si="6"/>
        <v>0</v>
      </c>
      <c r="AH50" s="17">
        <v>27000</v>
      </c>
      <c r="AI50" s="36">
        <f t="shared" si="7"/>
        <v>0</v>
      </c>
      <c r="AJ50" s="19">
        <f t="shared" si="2"/>
        <v>0</v>
      </c>
      <c r="AK50" s="18">
        <f t="shared" si="3"/>
        <v>27000</v>
      </c>
      <c r="AL50" s="36">
        <f t="shared" si="8"/>
        <v>0</v>
      </c>
    </row>
    <row r="51" spans="1:38" ht="14.4">
      <c r="A51" s="666"/>
      <c r="B51" s="69" t="s">
        <v>51</v>
      </c>
      <c r="C51" s="66"/>
      <c r="D51" s="67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8">
        <f t="shared" si="6"/>
        <v>0</v>
      </c>
      <c r="AH51" s="17">
        <v>51500</v>
      </c>
      <c r="AI51" s="36">
        <f t="shared" si="7"/>
        <v>0</v>
      </c>
      <c r="AJ51" s="19">
        <f t="shared" si="2"/>
        <v>0</v>
      </c>
      <c r="AK51" s="18">
        <f t="shared" si="3"/>
        <v>51500</v>
      </c>
      <c r="AL51" s="36">
        <f t="shared" si="8"/>
        <v>0</v>
      </c>
    </row>
    <row r="52" spans="1:38" ht="14.4">
      <c r="A52" s="666"/>
      <c r="B52" s="69" t="s">
        <v>52</v>
      </c>
      <c r="C52" s="66"/>
      <c r="D52" s="66">
        <v>2</v>
      </c>
      <c r="E52" s="66"/>
      <c r="F52" s="66"/>
      <c r="G52" s="66"/>
      <c r="H52" s="66"/>
      <c r="I52" s="66"/>
      <c r="J52" s="67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8">
        <f t="shared" si="6"/>
        <v>2</v>
      </c>
      <c r="AH52" s="17">
        <v>59000</v>
      </c>
      <c r="AI52" s="36">
        <f t="shared" si="7"/>
        <v>118000</v>
      </c>
      <c r="AJ52" s="19">
        <f t="shared" si="2"/>
        <v>0</v>
      </c>
      <c r="AK52" s="18">
        <f t="shared" si="3"/>
        <v>59000</v>
      </c>
      <c r="AL52" s="36">
        <f t="shared" si="8"/>
        <v>0</v>
      </c>
    </row>
    <row r="53" spans="1:38" ht="14.4">
      <c r="A53" s="666"/>
      <c r="B53" s="69" t="s">
        <v>53</v>
      </c>
      <c r="C53" s="66"/>
      <c r="D53" s="66"/>
      <c r="E53" s="66"/>
      <c r="F53" s="66"/>
      <c r="G53" s="67"/>
      <c r="H53" s="66"/>
      <c r="I53" s="67"/>
      <c r="J53" s="67"/>
      <c r="K53" s="66"/>
      <c r="L53" s="66"/>
      <c r="M53" s="66"/>
      <c r="N53" s="67"/>
      <c r="O53" s="66">
        <v>2</v>
      </c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8">
        <f t="shared" si="6"/>
        <v>2</v>
      </c>
      <c r="AH53" s="17">
        <v>47500</v>
      </c>
      <c r="AI53" s="36">
        <f t="shared" si="7"/>
        <v>95000</v>
      </c>
      <c r="AJ53" s="19">
        <f t="shared" si="2"/>
        <v>0</v>
      </c>
      <c r="AK53" s="18">
        <f t="shared" si="3"/>
        <v>47500</v>
      </c>
      <c r="AL53" s="36">
        <f t="shared" si="8"/>
        <v>0</v>
      </c>
    </row>
    <row r="54" spans="1:38" ht="14.4">
      <c r="A54" s="666"/>
      <c r="B54" s="69" t="s">
        <v>54</v>
      </c>
      <c r="C54" s="66"/>
      <c r="D54" s="67">
        <v>4</v>
      </c>
      <c r="E54" s="66"/>
      <c r="F54" s="66"/>
      <c r="G54" s="67"/>
      <c r="H54" s="66"/>
      <c r="I54" s="66"/>
      <c r="J54" s="67"/>
      <c r="K54" s="66">
        <v>2</v>
      </c>
      <c r="L54" s="66"/>
      <c r="M54" s="66"/>
      <c r="N54" s="67"/>
      <c r="O54" s="66">
        <v>7</v>
      </c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8">
        <f t="shared" si="6"/>
        <v>13</v>
      </c>
      <c r="AH54" s="17">
        <v>27400</v>
      </c>
      <c r="AI54" s="36">
        <f t="shared" si="7"/>
        <v>356200</v>
      </c>
      <c r="AJ54" s="19">
        <f t="shared" si="2"/>
        <v>0</v>
      </c>
      <c r="AK54" s="18">
        <f t="shared" si="3"/>
        <v>27400</v>
      </c>
      <c r="AL54" s="36">
        <f t="shared" si="8"/>
        <v>0</v>
      </c>
    </row>
    <row r="55" spans="1:38" ht="14.4">
      <c r="A55" s="666"/>
      <c r="B55" s="70" t="s">
        <v>55</v>
      </c>
      <c r="C55" s="66">
        <v>3</v>
      </c>
      <c r="D55" s="66"/>
      <c r="E55" s="66"/>
      <c r="F55" s="66"/>
      <c r="G55" s="66">
        <v>2</v>
      </c>
      <c r="H55" s="66"/>
      <c r="I55" s="66"/>
      <c r="J55" s="66"/>
      <c r="K55" s="66">
        <v>1</v>
      </c>
      <c r="L55" s="67">
        <v>1</v>
      </c>
      <c r="M55" s="66"/>
      <c r="N55" s="66"/>
      <c r="O55" s="66">
        <v>2</v>
      </c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8">
        <f t="shared" si="6"/>
        <v>9</v>
      </c>
      <c r="AH55" s="17">
        <v>26000</v>
      </c>
      <c r="AI55" s="36">
        <f t="shared" si="7"/>
        <v>234000</v>
      </c>
      <c r="AJ55" s="19">
        <f t="shared" si="2"/>
        <v>0</v>
      </c>
      <c r="AK55" s="18">
        <f t="shared" si="3"/>
        <v>26000</v>
      </c>
      <c r="AL55" s="36">
        <f t="shared" si="8"/>
        <v>0</v>
      </c>
    </row>
    <row r="56" spans="1:38" ht="14.4">
      <c r="A56" s="666"/>
      <c r="B56" s="70" t="s">
        <v>56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7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8">
        <f t="shared" si="6"/>
        <v>0</v>
      </c>
      <c r="AH56" s="17">
        <v>105000</v>
      </c>
      <c r="AI56" s="36">
        <f t="shared" si="7"/>
        <v>0</v>
      </c>
      <c r="AJ56" s="19">
        <f t="shared" si="2"/>
        <v>0</v>
      </c>
      <c r="AK56" s="18">
        <f t="shared" si="3"/>
        <v>105000</v>
      </c>
      <c r="AL56" s="36">
        <f t="shared" si="8"/>
        <v>0</v>
      </c>
    </row>
    <row r="57" spans="1:38" ht="14.4">
      <c r="A57" s="666"/>
      <c r="B57" s="70" t="s">
        <v>57</v>
      </c>
      <c r="C57" s="66"/>
      <c r="D57" s="66"/>
      <c r="E57" s="66"/>
      <c r="F57" s="66"/>
      <c r="G57" s="66"/>
      <c r="H57" s="71"/>
      <c r="I57" s="66"/>
      <c r="J57" s="66"/>
      <c r="K57" s="66"/>
      <c r="L57" s="66"/>
      <c r="M57" s="66"/>
      <c r="N57" s="67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8">
        <f t="shared" si="6"/>
        <v>0</v>
      </c>
      <c r="AH57" s="17">
        <v>12000</v>
      </c>
      <c r="AI57" s="36">
        <f t="shared" si="7"/>
        <v>0</v>
      </c>
      <c r="AJ57" s="19">
        <f t="shared" si="2"/>
        <v>0</v>
      </c>
      <c r="AK57" s="18">
        <f t="shared" si="3"/>
        <v>12000</v>
      </c>
      <c r="AL57" s="36">
        <f t="shared" si="8"/>
        <v>0</v>
      </c>
    </row>
    <row r="58" spans="1:38" ht="14.4">
      <c r="A58" s="666"/>
      <c r="B58" s="70" t="s">
        <v>58</v>
      </c>
      <c r="C58" s="67"/>
      <c r="D58" s="67"/>
      <c r="E58" s="66"/>
      <c r="F58" s="66"/>
      <c r="G58" s="66">
        <v>4</v>
      </c>
      <c r="H58" s="66">
        <v>2</v>
      </c>
      <c r="I58" s="67"/>
      <c r="J58" s="67"/>
      <c r="K58" s="66">
        <v>1</v>
      </c>
      <c r="L58" s="66">
        <v>2</v>
      </c>
      <c r="M58" s="66"/>
      <c r="N58" s="67"/>
      <c r="O58" s="66">
        <v>2</v>
      </c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8">
        <f t="shared" si="6"/>
        <v>11</v>
      </c>
      <c r="AH58" s="17">
        <v>49000</v>
      </c>
      <c r="AI58" s="36">
        <f t="shared" si="7"/>
        <v>539000</v>
      </c>
      <c r="AJ58" s="19">
        <f t="shared" si="2"/>
        <v>0</v>
      </c>
      <c r="AK58" s="18">
        <f t="shared" si="3"/>
        <v>49000</v>
      </c>
      <c r="AL58" s="36">
        <f t="shared" si="8"/>
        <v>0</v>
      </c>
    </row>
    <row r="59" spans="1:38" ht="14.4">
      <c r="A59" s="666"/>
      <c r="B59" s="70" t="s">
        <v>59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7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8">
        <f t="shared" si="6"/>
        <v>0</v>
      </c>
      <c r="AH59" s="17">
        <v>88000</v>
      </c>
      <c r="AI59" s="36">
        <f t="shared" si="7"/>
        <v>0</v>
      </c>
      <c r="AJ59" s="19">
        <f t="shared" si="2"/>
        <v>0</v>
      </c>
      <c r="AK59" s="18">
        <f t="shared" si="3"/>
        <v>88000</v>
      </c>
      <c r="AL59" s="36">
        <f t="shared" si="8"/>
        <v>0</v>
      </c>
    </row>
    <row r="60" spans="1:38" ht="14.4">
      <c r="A60" s="666"/>
      <c r="B60" s="72" t="s">
        <v>60</v>
      </c>
      <c r="C60" s="66"/>
      <c r="D60" s="66">
        <v>6</v>
      </c>
      <c r="E60" s="66"/>
      <c r="F60" s="66"/>
      <c r="G60" s="67">
        <v>6</v>
      </c>
      <c r="H60" s="66"/>
      <c r="I60" s="66"/>
      <c r="J60" s="66"/>
      <c r="K60" s="67"/>
      <c r="L60" s="66"/>
      <c r="M60" s="66"/>
      <c r="N60" s="67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8">
        <f t="shared" si="6"/>
        <v>12</v>
      </c>
      <c r="AH60" s="17">
        <v>49000</v>
      </c>
      <c r="AI60" s="36">
        <f t="shared" si="7"/>
        <v>588000</v>
      </c>
      <c r="AJ60" s="19">
        <f t="shared" si="2"/>
        <v>0</v>
      </c>
      <c r="AK60" s="18">
        <f t="shared" si="3"/>
        <v>49000</v>
      </c>
      <c r="AL60" s="36">
        <f t="shared" si="8"/>
        <v>0</v>
      </c>
    </row>
    <row r="61" spans="1:38" ht="14.4">
      <c r="A61" s="666"/>
      <c r="B61" s="73" t="s">
        <v>61</v>
      </c>
      <c r="C61" s="74"/>
      <c r="D61" s="74"/>
      <c r="E61" s="74"/>
      <c r="F61" s="66">
        <v>1</v>
      </c>
      <c r="G61" s="74"/>
      <c r="H61" s="74"/>
      <c r="I61" s="74"/>
      <c r="J61" s="74"/>
      <c r="K61" s="74"/>
      <c r="L61" s="74"/>
      <c r="M61" s="74"/>
      <c r="N61" s="75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66"/>
      <c r="AB61" s="74"/>
      <c r="AC61" s="74"/>
      <c r="AD61" s="74"/>
      <c r="AE61" s="74"/>
      <c r="AF61" s="74"/>
      <c r="AG61" s="76">
        <f t="shared" si="6"/>
        <v>1</v>
      </c>
      <c r="AH61" s="17">
        <v>44000</v>
      </c>
      <c r="AI61" s="36">
        <f t="shared" si="7"/>
        <v>44000</v>
      </c>
      <c r="AJ61" s="19">
        <f t="shared" si="2"/>
        <v>0</v>
      </c>
      <c r="AK61" s="18">
        <f t="shared" si="3"/>
        <v>44000</v>
      </c>
      <c r="AL61" s="36">
        <f t="shared" si="8"/>
        <v>0</v>
      </c>
    </row>
    <row r="62" spans="1:38" ht="14.4">
      <c r="A62" s="666"/>
      <c r="B62" s="73" t="s">
        <v>62</v>
      </c>
      <c r="C62" s="74"/>
      <c r="D62" s="74"/>
      <c r="E62" s="74"/>
      <c r="F62" s="66"/>
      <c r="G62" s="74"/>
      <c r="H62" s="74"/>
      <c r="I62" s="74"/>
      <c r="J62" s="75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66"/>
      <c r="AB62" s="74"/>
      <c r="AC62" s="74"/>
      <c r="AD62" s="74"/>
      <c r="AE62" s="74"/>
      <c r="AF62" s="74"/>
      <c r="AG62" s="76">
        <f t="shared" si="6"/>
        <v>0</v>
      </c>
      <c r="AH62" s="17">
        <v>46000</v>
      </c>
      <c r="AI62" s="36">
        <f t="shared" si="7"/>
        <v>0</v>
      </c>
      <c r="AJ62" s="19">
        <f t="shared" si="2"/>
        <v>0</v>
      </c>
      <c r="AK62" s="18">
        <f t="shared" si="3"/>
        <v>46000</v>
      </c>
      <c r="AL62" s="36">
        <f t="shared" si="8"/>
        <v>0</v>
      </c>
    </row>
    <row r="63" spans="1:38" ht="14.4">
      <c r="A63" s="667"/>
      <c r="B63" s="77" t="s">
        <v>63</v>
      </c>
      <c r="C63" s="78"/>
      <c r="D63" s="78"/>
      <c r="E63" s="78"/>
      <c r="F63" s="79"/>
      <c r="G63" s="78"/>
      <c r="H63" s="78"/>
      <c r="I63" s="78"/>
      <c r="J63" s="80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9"/>
      <c r="AB63" s="78"/>
      <c r="AC63" s="78"/>
      <c r="AD63" s="78"/>
      <c r="AE63" s="78"/>
      <c r="AF63" s="78"/>
      <c r="AG63" s="81">
        <f t="shared" si="6"/>
        <v>0</v>
      </c>
      <c r="AH63" s="17">
        <v>26000</v>
      </c>
      <c r="AI63" s="36">
        <f t="shared" si="7"/>
        <v>0</v>
      </c>
      <c r="AJ63" s="19">
        <f t="shared" si="2"/>
        <v>0</v>
      </c>
      <c r="AK63" s="18">
        <f t="shared" si="3"/>
        <v>26000</v>
      </c>
      <c r="AL63" s="36">
        <f t="shared" si="8"/>
        <v>0</v>
      </c>
    </row>
    <row r="64" spans="1:38" ht="14.4">
      <c r="A64" s="668"/>
      <c r="B64" s="82" t="s">
        <v>64</v>
      </c>
      <c r="C64" s="83">
        <v>2</v>
      </c>
      <c r="D64" s="84">
        <v>2.5</v>
      </c>
      <c r="E64" s="83"/>
      <c r="F64" s="85">
        <v>4</v>
      </c>
      <c r="G64" s="84"/>
      <c r="H64" s="83"/>
      <c r="I64" s="83"/>
      <c r="J64" s="83">
        <v>1</v>
      </c>
      <c r="K64" s="84">
        <v>4</v>
      </c>
      <c r="L64" s="84">
        <v>2</v>
      </c>
      <c r="M64" s="83">
        <v>4.5</v>
      </c>
      <c r="N64" s="83"/>
      <c r="O64" s="84">
        <v>9</v>
      </c>
      <c r="P64" s="83"/>
      <c r="Q64" s="83"/>
      <c r="R64" s="83">
        <v>2</v>
      </c>
      <c r="S64" s="83"/>
      <c r="T64" s="83"/>
      <c r="U64" s="83"/>
      <c r="V64" s="83"/>
      <c r="W64" s="83"/>
      <c r="X64" s="83"/>
      <c r="Y64" s="83"/>
      <c r="Z64" s="83"/>
      <c r="AA64" s="86"/>
      <c r="AB64" s="83"/>
      <c r="AC64" s="83"/>
      <c r="AD64" s="83"/>
      <c r="AE64" s="83"/>
      <c r="AF64" s="83"/>
      <c r="AG64" s="87">
        <f t="shared" si="6"/>
        <v>31</v>
      </c>
      <c r="AH64" s="17">
        <v>33000</v>
      </c>
      <c r="AI64" s="36">
        <f t="shared" si="7"/>
        <v>1023000</v>
      </c>
      <c r="AJ64" s="19">
        <f t="shared" si="2"/>
        <v>0</v>
      </c>
      <c r="AK64" s="18">
        <f t="shared" si="3"/>
        <v>33000</v>
      </c>
      <c r="AL64" s="36">
        <f t="shared" si="8"/>
        <v>0</v>
      </c>
    </row>
    <row r="65" spans="1:38" ht="14.4">
      <c r="A65" s="669"/>
      <c r="B65" s="88" t="s">
        <v>65</v>
      </c>
      <c r="C65" s="89">
        <v>1</v>
      </c>
      <c r="D65" s="90"/>
      <c r="E65" s="89"/>
      <c r="F65" s="91">
        <v>3</v>
      </c>
      <c r="G65" s="89"/>
      <c r="H65" s="89"/>
      <c r="I65" s="89"/>
      <c r="J65" s="89"/>
      <c r="K65" s="90"/>
      <c r="L65" s="90"/>
      <c r="M65" s="89">
        <v>1.5</v>
      </c>
      <c r="N65" s="89"/>
      <c r="O65" s="90">
        <v>6</v>
      </c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92"/>
      <c r="AB65" s="89"/>
      <c r="AC65" s="89"/>
      <c r="AD65" s="89"/>
      <c r="AE65" s="89"/>
      <c r="AF65" s="89"/>
      <c r="AG65" s="93">
        <f t="shared" si="6"/>
        <v>11.5</v>
      </c>
      <c r="AH65" s="17">
        <v>56000</v>
      </c>
      <c r="AI65" s="36">
        <f t="shared" si="7"/>
        <v>644000</v>
      </c>
      <c r="AJ65" s="19">
        <f t="shared" si="2"/>
        <v>0</v>
      </c>
      <c r="AK65" s="18">
        <f t="shared" si="3"/>
        <v>56000</v>
      </c>
      <c r="AL65" s="36">
        <f t="shared" si="8"/>
        <v>0</v>
      </c>
    </row>
    <row r="66" spans="1:38" ht="14.4">
      <c r="A66" s="669"/>
      <c r="B66" s="94" t="s">
        <v>66</v>
      </c>
      <c r="C66" s="95"/>
      <c r="D66" s="95">
        <v>1</v>
      </c>
      <c r="E66" s="95"/>
      <c r="F66" s="96"/>
      <c r="G66" s="95">
        <v>1</v>
      </c>
      <c r="H66" s="95">
        <v>3</v>
      </c>
      <c r="I66" s="95">
        <v>1</v>
      </c>
      <c r="J66" s="97"/>
      <c r="K66" s="95">
        <v>1</v>
      </c>
      <c r="L66" s="97">
        <v>1</v>
      </c>
      <c r="M66" s="97"/>
      <c r="N66" s="95"/>
      <c r="O66" s="95"/>
      <c r="P66" s="95"/>
      <c r="Q66" s="95"/>
      <c r="R66" s="95"/>
      <c r="S66" s="95">
        <v>2</v>
      </c>
      <c r="T66" s="95"/>
      <c r="U66" s="95"/>
      <c r="V66" s="95"/>
      <c r="W66" s="95"/>
      <c r="X66" s="95"/>
      <c r="Y66" s="95"/>
      <c r="Z66" s="95"/>
      <c r="AA66" s="96"/>
      <c r="AB66" s="95"/>
      <c r="AC66" s="95"/>
      <c r="AD66" s="95"/>
      <c r="AE66" s="95"/>
      <c r="AF66" s="95"/>
      <c r="AG66" s="98">
        <f t="shared" si="6"/>
        <v>10</v>
      </c>
      <c r="AH66" s="17">
        <v>27000</v>
      </c>
      <c r="AI66" s="36">
        <f t="shared" si="7"/>
        <v>270000</v>
      </c>
      <c r="AJ66" s="19">
        <f t="shared" si="2"/>
        <v>0</v>
      </c>
      <c r="AK66" s="18">
        <f t="shared" si="3"/>
        <v>27000</v>
      </c>
      <c r="AL66" s="36">
        <f t="shared" si="8"/>
        <v>0</v>
      </c>
    </row>
    <row r="67" spans="1:38" ht="14.4">
      <c r="A67" s="669"/>
      <c r="B67" s="94" t="s">
        <v>67</v>
      </c>
      <c r="C67" s="95"/>
      <c r="D67" s="97"/>
      <c r="E67" s="95"/>
      <c r="F67" s="96"/>
      <c r="G67" s="95"/>
      <c r="H67" s="95">
        <v>3</v>
      </c>
      <c r="I67" s="95"/>
      <c r="J67" s="95"/>
      <c r="K67" s="97"/>
      <c r="L67" s="95"/>
      <c r="M67" s="95">
        <v>10</v>
      </c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6"/>
      <c r="AB67" s="95"/>
      <c r="AC67" s="95"/>
      <c r="AD67" s="95"/>
      <c r="AE67" s="95"/>
      <c r="AF67" s="95"/>
      <c r="AG67" s="98">
        <f t="shared" si="6"/>
        <v>13</v>
      </c>
      <c r="AH67" s="17">
        <v>17500</v>
      </c>
      <c r="AI67" s="36">
        <f t="shared" si="7"/>
        <v>227500</v>
      </c>
      <c r="AJ67" s="19">
        <f t="shared" si="2"/>
        <v>0</v>
      </c>
      <c r="AK67" s="18">
        <f t="shared" si="3"/>
        <v>17500</v>
      </c>
      <c r="AL67" s="36">
        <f t="shared" si="8"/>
        <v>0</v>
      </c>
    </row>
    <row r="68" spans="1:38" ht="14.4">
      <c r="A68" s="669"/>
      <c r="B68" s="94" t="s">
        <v>68</v>
      </c>
      <c r="C68" s="95">
        <v>1</v>
      </c>
      <c r="D68" s="95"/>
      <c r="E68" s="95"/>
      <c r="F68" s="96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6"/>
      <c r="AB68" s="95"/>
      <c r="AC68" s="95"/>
      <c r="AD68" s="95"/>
      <c r="AE68" s="95"/>
      <c r="AF68" s="95"/>
      <c r="AG68" s="98">
        <f t="shared" si="6"/>
        <v>1</v>
      </c>
      <c r="AH68" s="17">
        <v>46000</v>
      </c>
      <c r="AI68" s="36">
        <f t="shared" si="7"/>
        <v>46000</v>
      </c>
      <c r="AJ68" s="19">
        <f t="shared" si="2"/>
        <v>0</v>
      </c>
      <c r="AK68" s="18">
        <f t="shared" si="3"/>
        <v>46000</v>
      </c>
      <c r="AL68" s="36">
        <f t="shared" si="8"/>
        <v>0</v>
      </c>
    </row>
    <row r="69" spans="1:38" ht="14.4">
      <c r="A69" s="669"/>
      <c r="B69" s="94" t="s">
        <v>69</v>
      </c>
      <c r="C69" s="95">
        <v>1.5</v>
      </c>
      <c r="D69" s="97"/>
      <c r="E69" s="95">
        <v>0.5</v>
      </c>
      <c r="F69" s="96"/>
      <c r="G69" s="95">
        <v>1</v>
      </c>
      <c r="H69" s="95"/>
      <c r="I69" s="95">
        <v>1</v>
      </c>
      <c r="J69" s="95"/>
      <c r="K69" s="95">
        <v>1.5</v>
      </c>
      <c r="L69" s="95"/>
      <c r="M69" s="95">
        <v>7</v>
      </c>
      <c r="N69" s="95"/>
      <c r="O69" s="97"/>
      <c r="P69" s="95"/>
      <c r="Q69" s="95"/>
      <c r="R69" s="95">
        <v>0.5</v>
      </c>
      <c r="S69" s="95"/>
      <c r="T69" s="95"/>
      <c r="U69" s="95"/>
      <c r="V69" s="95"/>
      <c r="W69" s="95"/>
      <c r="X69" s="95"/>
      <c r="Y69" s="95"/>
      <c r="Z69" s="95"/>
      <c r="AA69" s="96"/>
      <c r="AB69" s="95"/>
      <c r="AC69" s="95"/>
      <c r="AD69" s="95"/>
      <c r="AE69" s="95"/>
      <c r="AF69" s="95"/>
      <c r="AG69" s="98">
        <f t="shared" si="6"/>
        <v>13</v>
      </c>
      <c r="AH69" s="17">
        <v>58000</v>
      </c>
      <c r="AI69" s="36">
        <f t="shared" si="7"/>
        <v>754000</v>
      </c>
      <c r="AJ69" s="19">
        <f t="shared" si="2"/>
        <v>0</v>
      </c>
      <c r="AK69" s="18">
        <f t="shared" si="3"/>
        <v>58000</v>
      </c>
      <c r="AL69" s="36">
        <f t="shared" si="8"/>
        <v>0</v>
      </c>
    </row>
    <row r="70" spans="1:38" ht="14.4">
      <c r="A70" s="669"/>
      <c r="B70" s="99" t="s">
        <v>70</v>
      </c>
      <c r="C70" s="95">
        <v>2</v>
      </c>
      <c r="D70" s="95"/>
      <c r="E70" s="95"/>
      <c r="F70" s="96">
        <v>1</v>
      </c>
      <c r="G70" s="95"/>
      <c r="H70" s="97"/>
      <c r="I70" s="95"/>
      <c r="J70" s="95"/>
      <c r="K70" s="95"/>
      <c r="L70" s="95"/>
      <c r="M70" s="95"/>
      <c r="N70" s="97"/>
      <c r="O70" s="97"/>
      <c r="P70" s="95"/>
      <c r="Q70" s="97"/>
      <c r="R70" s="95"/>
      <c r="S70" s="95"/>
      <c r="T70" s="95"/>
      <c r="U70" s="95"/>
      <c r="V70" s="95"/>
      <c r="W70" s="95"/>
      <c r="X70" s="95"/>
      <c r="Y70" s="95"/>
      <c r="Z70" s="95"/>
      <c r="AA70" s="96"/>
      <c r="AB70" s="95"/>
      <c r="AC70" s="95"/>
      <c r="AD70" s="95"/>
      <c r="AE70" s="95"/>
      <c r="AF70" s="95"/>
      <c r="AG70" s="98">
        <f t="shared" si="6"/>
        <v>3</v>
      </c>
      <c r="AH70" s="17">
        <v>43000</v>
      </c>
      <c r="AI70" s="36">
        <f t="shared" si="7"/>
        <v>129000</v>
      </c>
      <c r="AJ70" s="19">
        <f t="shared" si="2"/>
        <v>0</v>
      </c>
      <c r="AK70" s="18">
        <f t="shared" si="3"/>
        <v>43000</v>
      </c>
      <c r="AL70" s="36">
        <f t="shared" si="8"/>
        <v>0</v>
      </c>
    </row>
    <row r="71" spans="1:38" ht="14.4">
      <c r="A71" s="669"/>
      <c r="B71" s="99" t="s">
        <v>71</v>
      </c>
      <c r="C71" s="95"/>
      <c r="D71" s="95"/>
      <c r="E71" s="95"/>
      <c r="F71" s="96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6"/>
      <c r="AB71" s="95"/>
      <c r="AC71" s="95"/>
      <c r="AD71" s="95"/>
      <c r="AE71" s="95"/>
      <c r="AF71" s="95"/>
      <c r="AG71" s="98">
        <f t="shared" si="6"/>
        <v>0</v>
      </c>
      <c r="AH71" s="17">
        <v>47000</v>
      </c>
      <c r="AI71" s="36">
        <f t="shared" si="7"/>
        <v>0</v>
      </c>
      <c r="AJ71" s="19">
        <f t="shared" si="2"/>
        <v>0</v>
      </c>
      <c r="AK71" s="18">
        <f t="shared" si="3"/>
        <v>47000</v>
      </c>
      <c r="AL71" s="36">
        <f t="shared" si="8"/>
        <v>0</v>
      </c>
    </row>
    <row r="72" spans="1:38" ht="14.4">
      <c r="A72" s="669"/>
      <c r="B72" s="99" t="s">
        <v>72</v>
      </c>
      <c r="C72" s="95">
        <v>1</v>
      </c>
      <c r="D72" s="95"/>
      <c r="E72" s="97"/>
      <c r="F72" s="96"/>
      <c r="G72" s="95"/>
      <c r="H72" s="95"/>
      <c r="I72" s="95"/>
      <c r="J72" s="97"/>
      <c r="K72" s="95"/>
      <c r="L72" s="95"/>
      <c r="M72" s="95"/>
      <c r="N72" s="97"/>
      <c r="O72" s="97">
        <v>1</v>
      </c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6"/>
      <c r="AB72" s="95"/>
      <c r="AC72" s="95"/>
      <c r="AD72" s="95"/>
      <c r="AE72" s="95"/>
      <c r="AF72" s="95"/>
      <c r="AG72" s="98">
        <f t="shared" si="6"/>
        <v>2</v>
      </c>
      <c r="AH72" s="17">
        <v>33000</v>
      </c>
      <c r="AI72" s="36">
        <f t="shared" si="7"/>
        <v>66000</v>
      </c>
      <c r="AJ72" s="19">
        <f t="shared" si="2"/>
        <v>0</v>
      </c>
      <c r="AK72" s="18">
        <f t="shared" si="3"/>
        <v>33000</v>
      </c>
      <c r="AL72" s="36">
        <f t="shared" si="8"/>
        <v>0</v>
      </c>
    </row>
    <row r="73" spans="1:38" ht="14.4">
      <c r="A73" s="669"/>
      <c r="B73" s="99" t="s">
        <v>73</v>
      </c>
      <c r="C73" s="95"/>
      <c r="D73" s="95"/>
      <c r="E73" s="95"/>
      <c r="F73" s="96"/>
      <c r="G73" s="95"/>
      <c r="H73" s="95"/>
      <c r="I73" s="95"/>
      <c r="J73" s="95"/>
      <c r="K73" s="95"/>
      <c r="L73" s="95"/>
      <c r="M73" s="95"/>
      <c r="N73" s="95"/>
      <c r="O73" s="97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6"/>
      <c r="AB73" s="95"/>
      <c r="AC73" s="95"/>
      <c r="AD73" s="95"/>
      <c r="AE73" s="95"/>
      <c r="AF73" s="95"/>
      <c r="AG73" s="98">
        <f t="shared" si="6"/>
        <v>0</v>
      </c>
      <c r="AH73" s="17">
        <v>41500</v>
      </c>
      <c r="AI73" s="36">
        <f t="shared" si="7"/>
        <v>0</v>
      </c>
      <c r="AJ73" s="19">
        <f t="shared" si="2"/>
        <v>0</v>
      </c>
      <c r="AK73" s="18">
        <f t="shared" si="3"/>
        <v>41500</v>
      </c>
      <c r="AL73" s="36">
        <f t="shared" si="8"/>
        <v>0</v>
      </c>
    </row>
    <row r="74" spans="1:38" ht="14.4">
      <c r="A74" s="669"/>
      <c r="B74" s="94" t="s">
        <v>74</v>
      </c>
      <c r="C74" s="95"/>
      <c r="D74" s="95"/>
      <c r="E74" s="95"/>
      <c r="F74" s="96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6"/>
      <c r="AB74" s="95"/>
      <c r="AC74" s="95"/>
      <c r="AD74" s="95"/>
      <c r="AE74" s="95"/>
      <c r="AF74" s="95"/>
      <c r="AG74" s="98">
        <f t="shared" si="6"/>
        <v>0</v>
      </c>
      <c r="AH74" s="17">
        <v>22000</v>
      </c>
      <c r="AI74" s="36">
        <f t="shared" si="7"/>
        <v>0</v>
      </c>
      <c r="AJ74" s="19">
        <f t="shared" si="2"/>
        <v>0</v>
      </c>
      <c r="AK74" s="18">
        <f t="shared" si="3"/>
        <v>22000</v>
      </c>
      <c r="AL74" s="36">
        <f t="shared" si="8"/>
        <v>0</v>
      </c>
    </row>
    <row r="75" spans="1:38" ht="14.4">
      <c r="A75" s="669"/>
      <c r="B75" s="94" t="s">
        <v>75</v>
      </c>
      <c r="C75" s="95"/>
      <c r="D75" s="95"/>
      <c r="E75" s="95"/>
      <c r="F75" s="96"/>
      <c r="G75" s="95"/>
      <c r="H75" s="95"/>
      <c r="I75" s="95"/>
      <c r="J75" s="95">
        <v>1</v>
      </c>
      <c r="K75" s="95"/>
      <c r="L75" s="95"/>
      <c r="M75" s="95">
        <v>0.5</v>
      </c>
      <c r="N75" s="95"/>
      <c r="O75" s="95"/>
      <c r="P75" s="95"/>
      <c r="Q75" s="95"/>
      <c r="R75" s="95">
        <v>0.5</v>
      </c>
      <c r="S75" s="95"/>
      <c r="T75" s="95"/>
      <c r="U75" s="95"/>
      <c r="V75" s="95"/>
      <c r="W75" s="95"/>
      <c r="X75" s="95"/>
      <c r="Y75" s="95"/>
      <c r="Z75" s="95"/>
      <c r="AA75" s="96"/>
      <c r="AB75" s="95"/>
      <c r="AC75" s="95"/>
      <c r="AD75" s="95"/>
      <c r="AE75" s="95"/>
      <c r="AF75" s="95"/>
      <c r="AG75" s="98">
        <f t="shared" si="6"/>
        <v>2</v>
      </c>
      <c r="AH75" s="17">
        <v>39300</v>
      </c>
      <c r="AI75" s="36">
        <f t="shared" si="7"/>
        <v>78600</v>
      </c>
      <c r="AJ75" s="19">
        <f t="shared" si="2"/>
        <v>0</v>
      </c>
      <c r="AK75" s="18">
        <f t="shared" si="3"/>
        <v>39300</v>
      </c>
      <c r="AL75" s="36">
        <f t="shared" si="8"/>
        <v>0</v>
      </c>
    </row>
    <row r="76" spans="1:38" ht="14.4">
      <c r="A76" s="669"/>
      <c r="B76" s="94" t="s">
        <v>76</v>
      </c>
      <c r="C76" s="95"/>
      <c r="D76" s="95">
        <v>1</v>
      </c>
      <c r="E76" s="95"/>
      <c r="F76" s="96"/>
      <c r="G76" s="95"/>
      <c r="H76" s="95"/>
      <c r="I76" s="95"/>
      <c r="J76" s="95"/>
      <c r="K76" s="95">
        <v>1</v>
      </c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6"/>
      <c r="AB76" s="95"/>
      <c r="AC76" s="95"/>
      <c r="AD76" s="95"/>
      <c r="AE76" s="95"/>
      <c r="AF76" s="95"/>
      <c r="AG76" s="98">
        <f t="shared" si="6"/>
        <v>2</v>
      </c>
      <c r="AH76" s="17">
        <v>25000</v>
      </c>
      <c r="AI76" s="36">
        <f t="shared" si="7"/>
        <v>50000</v>
      </c>
      <c r="AJ76" s="19">
        <f t="shared" si="2"/>
        <v>0</v>
      </c>
      <c r="AK76" s="18">
        <f t="shared" si="3"/>
        <v>25000</v>
      </c>
      <c r="AL76" s="36">
        <f t="shared" si="8"/>
        <v>0</v>
      </c>
    </row>
    <row r="77" spans="1:38" ht="14.4">
      <c r="A77" s="669"/>
      <c r="B77" s="94" t="s">
        <v>77</v>
      </c>
      <c r="C77" s="95"/>
      <c r="D77" s="95"/>
      <c r="E77" s="95"/>
      <c r="F77" s="96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6"/>
      <c r="AB77" s="95"/>
      <c r="AC77" s="95"/>
      <c r="AD77" s="95"/>
      <c r="AE77" s="95"/>
      <c r="AF77" s="95"/>
      <c r="AG77" s="98">
        <f t="shared" si="6"/>
        <v>0</v>
      </c>
      <c r="AH77" s="17">
        <v>15000</v>
      </c>
      <c r="AI77" s="36">
        <f t="shared" si="7"/>
        <v>0</v>
      </c>
      <c r="AJ77" s="19">
        <f t="shared" si="2"/>
        <v>0</v>
      </c>
      <c r="AK77" s="18">
        <f t="shared" si="3"/>
        <v>15000</v>
      </c>
      <c r="AL77" s="36">
        <f t="shared" si="8"/>
        <v>0</v>
      </c>
    </row>
    <row r="78" spans="1:38" ht="14.4">
      <c r="A78" s="669"/>
      <c r="B78" s="100" t="s">
        <v>78</v>
      </c>
      <c r="C78" s="101"/>
      <c r="D78" s="101"/>
      <c r="E78" s="101"/>
      <c r="F78" s="102"/>
      <c r="G78" s="101"/>
      <c r="H78" s="101"/>
      <c r="I78" s="101"/>
      <c r="J78" s="101"/>
      <c r="K78" s="101"/>
      <c r="L78" s="103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2"/>
      <c r="AB78" s="101"/>
      <c r="AC78" s="101"/>
      <c r="AD78" s="101"/>
      <c r="AE78" s="101"/>
      <c r="AF78" s="101"/>
      <c r="AG78" s="104">
        <f t="shared" si="6"/>
        <v>0</v>
      </c>
      <c r="AH78" s="17">
        <v>12000</v>
      </c>
      <c r="AI78" s="36">
        <f t="shared" si="7"/>
        <v>0</v>
      </c>
      <c r="AJ78" s="19">
        <f t="shared" si="2"/>
        <v>0</v>
      </c>
      <c r="AK78" s="18">
        <f t="shared" si="3"/>
        <v>12000</v>
      </c>
      <c r="AL78" s="36">
        <f t="shared" si="8"/>
        <v>0</v>
      </c>
    </row>
    <row r="79" spans="1:38" ht="14.4">
      <c r="A79" s="670"/>
      <c r="B79" s="105" t="s">
        <v>79</v>
      </c>
      <c r="C79" s="106"/>
      <c r="D79" s="106"/>
      <c r="E79" s="106"/>
      <c r="F79" s="107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7"/>
      <c r="AB79" s="106"/>
      <c r="AC79" s="106"/>
      <c r="AD79" s="106"/>
      <c r="AE79" s="106"/>
      <c r="AF79" s="106"/>
      <c r="AG79" s="108">
        <f t="shared" si="6"/>
        <v>0</v>
      </c>
      <c r="AH79" s="17">
        <v>28800</v>
      </c>
      <c r="AI79" s="36">
        <f t="shared" si="7"/>
        <v>0</v>
      </c>
      <c r="AJ79" s="19">
        <f t="shared" si="2"/>
        <v>0</v>
      </c>
      <c r="AK79" s="18">
        <f t="shared" si="3"/>
        <v>28800</v>
      </c>
      <c r="AL79" s="36">
        <f t="shared" si="8"/>
        <v>0</v>
      </c>
    </row>
    <row r="80" spans="1:38" ht="14.4">
      <c r="A80" s="645"/>
      <c r="B80" s="109" t="s">
        <v>80</v>
      </c>
      <c r="C80" s="110"/>
      <c r="D80" s="110">
        <v>1.5</v>
      </c>
      <c r="E80" s="111">
        <v>1</v>
      </c>
      <c r="F80" s="112">
        <v>2</v>
      </c>
      <c r="G80" s="110"/>
      <c r="H80" s="110"/>
      <c r="I80" s="111"/>
      <c r="J80" s="111">
        <v>1</v>
      </c>
      <c r="K80" s="110">
        <v>1</v>
      </c>
      <c r="L80" s="110">
        <v>1</v>
      </c>
      <c r="M80" s="110">
        <v>3.5</v>
      </c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2"/>
      <c r="AB80" s="110"/>
      <c r="AC80" s="110"/>
      <c r="AD80" s="110"/>
      <c r="AE80" s="110"/>
      <c r="AF80" s="110"/>
      <c r="AG80" s="113">
        <f t="shared" si="6"/>
        <v>11</v>
      </c>
      <c r="AH80" s="114">
        <v>27000</v>
      </c>
      <c r="AI80" s="36">
        <f t="shared" si="7"/>
        <v>297000</v>
      </c>
      <c r="AJ80" s="19">
        <f t="shared" si="2"/>
        <v>0</v>
      </c>
      <c r="AK80" s="18">
        <f t="shared" si="3"/>
        <v>27000</v>
      </c>
      <c r="AL80" s="36">
        <f t="shared" si="8"/>
        <v>0</v>
      </c>
    </row>
    <row r="81" spans="1:38" ht="14.4">
      <c r="A81" s="646"/>
      <c r="B81" s="115" t="s">
        <v>81</v>
      </c>
      <c r="C81" s="116"/>
      <c r="D81" s="116"/>
      <c r="E81" s="116"/>
      <c r="F81" s="117"/>
      <c r="G81" s="118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7"/>
      <c r="AB81" s="116"/>
      <c r="AC81" s="116"/>
      <c r="AD81" s="116"/>
      <c r="AE81" s="116"/>
      <c r="AF81" s="116"/>
      <c r="AG81" s="119">
        <f t="shared" si="6"/>
        <v>0</v>
      </c>
      <c r="AH81" s="17">
        <v>33000</v>
      </c>
      <c r="AI81" s="36">
        <f t="shared" si="7"/>
        <v>0</v>
      </c>
      <c r="AJ81" s="19">
        <f t="shared" si="2"/>
        <v>0</v>
      </c>
      <c r="AK81" s="18">
        <f t="shared" si="3"/>
        <v>33000</v>
      </c>
      <c r="AL81" s="36">
        <f t="shared" si="8"/>
        <v>0</v>
      </c>
    </row>
    <row r="82" spans="1:38" ht="14.4">
      <c r="A82" s="646"/>
      <c r="B82" s="115" t="s">
        <v>82</v>
      </c>
      <c r="C82" s="116"/>
      <c r="D82" s="116"/>
      <c r="E82" s="116"/>
      <c r="F82" s="117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8"/>
      <c r="R82" s="116"/>
      <c r="S82" s="116"/>
      <c r="T82" s="116"/>
      <c r="U82" s="116"/>
      <c r="V82" s="116"/>
      <c r="W82" s="116"/>
      <c r="X82" s="116"/>
      <c r="Y82" s="116"/>
      <c r="Z82" s="116"/>
      <c r="AA82" s="117"/>
      <c r="AB82" s="116"/>
      <c r="AC82" s="116"/>
      <c r="AD82" s="116"/>
      <c r="AE82" s="116"/>
      <c r="AF82" s="116"/>
      <c r="AG82" s="119">
        <f t="shared" si="6"/>
        <v>0</v>
      </c>
      <c r="AH82" s="17">
        <v>40000</v>
      </c>
      <c r="AI82" s="36">
        <f t="shared" si="7"/>
        <v>0</v>
      </c>
      <c r="AJ82" s="19">
        <f t="shared" si="2"/>
        <v>0</v>
      </c>
      <c r="AK82" s="18">
        <f t="shared" si="3"/>
        <v>40000</v>
      </c>
      <c r="AL82" s="36">
        <f t="shared" si="8"/>
        <v>0</v>
      </c>
    </row>
    <row r="83" spans="1:38" ht="14.4">
      <c r="A83" s="646"/>
      <c r="B83" s="115" t="s">
        <v>83</v>
      </c>
      <c r="C83" s="116"/>
      <c r="D83" s="116">
        <v>1</v>
      </c>
      <c r="E83" s="116"/>
      <c r="F83" s="117">
        <v>1</v>
      </c>
      <c r="G83" s="116"/>
      <c r="H83" s="116"/>
      <c r="I83" s="116"/>
      <c r="J83" s="116"/>
      <c r="K83" s="116"/>
      <c r="L83" s="116"/>
      <c r="M83" s="118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7"/>
      <c r="AB83" s="116"/>
      <c r="AC83" s="116"/>
      <c r="AD83" s="116"/>
      <c r="AE83" s="116"/>
      <c r="AF83" s="116"/>
      <c r="AG83" s="119">
        <f t="shared" si="6"/>
        <v>2</v>
      </c>
      <c r="AH83" s="17">
        <v>48000</v>
      </c>
      <c r="AI83" s="36">
        <f t="shared" si="7"/>
        <v>96000</v>
      </c>
      <c r="AJ83" s="19">
        <f t="shared" si="2"/>
        <v>0</v>
      </c>
      <c r="AK83" s="18">
        <f t="shared" si="3"/>
        <v>48000</v>
      </c>
      <c r="AL83" s="36">
        <f t="shared" si="8"/>
        <v>0</v>
      </c>
    </row>
    <row r="84" spans="1:38" ht="14.4">
      <c r="A84" s="646"/>
      <c r="B84" s="115" t="s">
        <v>84</v>
      </c>
      <c r="C84" s="116"/>
      <c r="D84" s="116"/>
      <c r="E84" s="116"/>
      <c r="F84" s="117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7"/>
      <c r="AB84" s="116"/>
      <c r="AC84" s="116"/>
      <c r="AD84" s="116"/>
      <c r="AE84" s="116"/>
      <c r="AF84" s="116"/>
      <c r="AG84" s="119">
        <f t="shared" si="6"/>
        <v>0</v>
      </c>
      <c r="AH84" s="17">
        <v>34000</v>
      </c>
      <c r="AI84" s="36">
        <f t="shared" si="7"/>
        <v>0</v>
      </c>
      <c r="AJ84" s="19">
        <f t="shared" si="2"/>
        <v>0</v>
      </c>
      <c r="AK84" s="18">
        <f t="shared" si="3"/>
        <v>34000</v>
      </c>
      <c r="AL84" s="36">
        <f t="shared" si="8"/>
        <v>0</v>
      </c>
    </row>
    <row r="85" spans="1:38" ht="14.4">
      <c r="A85" s="646"/>
      <c r="B85" s="115" t="s">
        <v>85</v>
      </c>
      <c r="C85" s="116"/>
      <c r="D85" s="116"/>
      <c r="E85" s="116"/>
      <c r="F85" s="117">
        <v>1</v>
      </c>
      <c r="G85" s="116"/>
      <c r="H85" s="116"/>
      <c r="I85" s="116">
        <v>1</v>
      </c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7"/>
      <c r="AB85" s="116"/>
      <c r="AC85" s="116"/>
      <c r="AD85" s="116"/>
      <c r="AE85" s="116"/>
      <c r="AF85" s="116"/>
      <c r="AG85" s="119">
        <f t="shared" si="6"/>
        <v>2</v>
      </c>
      <c r="AH85" s="17">
        <v>29000</v>
      </c>
      <c r="AI85" s="36">
        <f t="shared" si="7"/>
        <v>58000</v>
      </c>
      <c r="AJ85" s="19">
        <f t="shared" si="2"/>
        <v>0</v>
      </c>
      <c r="AK85" s="18">
        <f t="shared" si="3"/>
        <v>29000</v>
      </c>
      <c r="AL85" s="36">
        <f t="shared" si="8"/>
        <v>0</v>
      </c>
    </row>
    <row r="86" spans="1:38" ht="14.4">
      <c r="A86" s="646"/>
      <c r="B86" s="115" t="s">
        <v>86</v>
      </c>
      <c r="C86" s="116"/>
      <c r="D86" s="116">
        <v>0.5</v>
      </c>
      <c r="E86" s="116"/>
      <c r="F86" s="117">
        <v>1</v>
      </c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7"/>
      <c r="AB86" s="116"/>
      <c r="AC86" s="116"/>
      <c r="AD86" s="116"/>
      <c r="AE86" s="116"/>
      <c r="AF86" s="116"/>
      <c r="AG86" s="119">
        <f t="shared" si="6"/>
        <v>1.5</v>
      </c>
      <c r="AH86" s="17">
        <v>53000</v>
      </c>
      <c r="AI86" s="36">
        <f t="shared" si="7"/>
        <v>79500</v>
      </c>
      <c r="AJ86" s="19">
        <f t="shared" si="2"/>
        <v>0</v>
      </c>
      <c r="AK86" s="18">
        <f t="shared" si="3"/>
        <v>53000</v>
      </c>
      <c r="AL86" s="36">
        <f t="shared" si="8"/>
        <v>0</v>
      </c>
    </row>
    <row r="87" spans="1:38" ht="14.4">
      <c r="A87" s="646"/>
      <c r="B87" s="115" t="s">
        <v>87</v>
      </c>
      <c r="C87" s="116"/>
      <c r="D87" s="116">
        <v>1</v>
      </c>
      <c r="E87" s="118"/>
      <c r="F87" s="117">
        <v>1</v>
      </c>
      <c r="G87" s="116"/>
      <c r="H87" s="116"/>
      <c r="I87" s="116"/>
      <c r="J87" s="118"/>
      <c r="K87" s="116">
        <v>1</v>
      </c>
      <c r="L87" s="116">
        <v>2</v>
      </c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7"/>
      <c r="AB87" s="116"/>
      <c r="AC87" s="116"/>
      <c r="AD87" s="116"/>
      <c r="AE87" s="116"/>
      <c r="AF87" s="116"/>
      <c r="AG87" s="119">
        <f t="shared" si="6"/>
        <v>5</v>
      </c>
      <c r="AH87" s="17">
        <v>25000</v>
      </c>
      <c r="AI87" s="36">
        <f t="shared" si="7"/>
        <v>125000</v>
      </c>
      <c r="AJ87" s="19">
        <f t="shared" si="2"/>
        <v>0</v>
      </c>
      <c r="AK87" s="18">
        <f t="shared" si="3"/>
        <v>25000</v>
      </c>
      <c r="AL87" s="36">
        <f t="shared" si="8"/>
        <v>0</v>
      </c>
    </row>
    <row r="88" spans="1:38" ht="14.4">
      <c r="A88" s="646"/>
      <c r="B88" s="115" t="s">
        <v>88</v>
      </c>
      <c r="C88" s="116"/>
      <c r="D88" s="116"/>
      <c r="E88" s="116"/>
      <c r="F88" s="117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7"/>
      <c r="AB88" s="116"/>
      <c r="AC88" s="116"/>
      <c r="AD88" s="116"/>
      <c r="AE88" s="116"/>
      <c r="AF88" s="116"/>
      <c r="AG88" s="119">
        <f t="shared" si="6"/>
        <v>0</v>
      </c>
      <c r="AH88" s="17">
        <v>18000</v>
      </c>
      <c r="AI88" s="36">
        <f t="shared" si="7"/>
        <v>0</v>
      </c>
      <c r="AJ88" s="19">
        <f t="shared" si="2"/>
        <v>0</v>
      </c>
      <c r="AK88" s="18">
        <f t="shared" si="3"/>
        <v>18000</v>
      </c>
      <c r="AL88" s="36">
        <f t="shared" si="8"/>
        <v>0</v>
      </c>
    </row>
    <row r="89" spans="1:38" ht="14.4">
      <c r="A89" s="646"/>
      <c r="B89" s="115" t="s">
        <v>89</v>
      </c>
      <c r="C89" s="116">
        <v>1</v>
      </c>
      <c r="D89" s="116"/>
      <c r="E89" s="116"/>
      <c r="F89" s="117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7"/>
      <c r="AB89" s="116"/>
      <c r="AC89" s="116"/>
      <c r="AD89" s="116"/>
      <c r="AE89" s="116"/>
      <c r="AF89" s="116"/>
      <c r="AG89" s="119">
        <f t="shared" si="6"/>
        <v>1</v>
      </c>
      <c r="AH89" s="17">
        <v>22000</v>
      </c>
      <c r="AI89" s="36">
        <f t="shared" si="7"/>
        <v>22000</v>
      </c>
      <c r="AJ89" s="19">
        <f t="shared" si="2"/>
        <v>0</v>
      </c>
      <c r="AK89" s="18">
        <f t="shared" si="3"/>
        <v>22000</v>
      </c>
      <c r="AL89" s="36">
        <f t="shared" si="8"/>
        <v>0</v>
      </c>
    </row>
    <row r="90" spans="1:38" ht="14.4">
      <c r="A90" s="646"/>
      <c r="B90" s="115" t="s">
        <v>90</v>
      </c>
      <c r="C90" s="116"/>
      <c r="D90" s="116"/>
      <c r="E90" s="116"/>
      <c r="F90" s="117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7"/>
      <c r="AB90" s="116"/>
      <c r="AC90" s="116"/>
      <c r="AD90" s="116"/>
      <c r="AE90" s="116"/>
      <c r="AF90" s="116"/>
      <c r="AG90" s="119">
        <f t="shared" si="6"/>
        <v>0</v>
      </c>
      <c r="AH90" s="17">
        <v>23000</v>
      </c>
      <c r="AI90" s="36">
        <f t="shared" si="7"/>
        <v>0</v>
      </c>
      <c r="AJ90" s="19">
        <f t="shared" si="2"/>
        <v>0</v>
      </c>
      <c r="AK90" s="18">
        <f t="shared" si="3"/>
        <v>23000</v>
      </c>
      <c r="AL90" s="36">
        <f t="shared" si="8"/>
        <v>0</v>
      </c>
    </row>
    <row r="91" spans="1:38" ht="14.4">
      <c r="A91" s="646"/>
      <c r="B91" s="115" t="s">
        <v>91</v>
      </c>
      <c r="C91" s="116"/>
      <c r="D91" s="118">
        <v>0.5</v>
      </c>
      <c r="E91" s="116"/>
      <c r="F91" s="117">
        <v>1</v>
      </c>
      <c r="G91" s="116"/>
      <c r="H91" s="116"/>
      <c r="I91" s="116"/>
      <c r="J91" s="116"/>
      <c r="K91" s="116"/>
      <c r="L91" s="116"/>
      <c r="M91" s="116">
        <v>0.5</v>
      </c>
      <c r="N91" s="116"/>
      <c r="O91" s="116"/>
      <c r="P91" s="116"/>
      <c r="Q91" s="116"/>
      <c r="R91" s="116">
        <v>1</v>
      </c>
      <c r="S91" s="116"/>
      <c r="T91" s="116"/>
      <c r="U91" s="116"/>
      <c r="V91" s="116"/>
      <c r="W91" s="116"/>
      <c r="X91" s="116"/>
      <c r="Y91" s="116"/>
      <c r="Z91" s="116"/>
      <c r="AA91" s="117"/>
      <c r="AB91" s="116"/>
      <c r="AC91" s="116"/>
      <c r="AD91" s="116"/>
      <c r="AE91" s="116"/>
      <c r="AF91" s="116"/>
      <c r="AG91" s="119">
        <f t="shared" si="6"/>
        <v>3</v>
      </c>
      <c r="AH91" s="17">
        <v>34000</v>
      </c>
      <c r="AI91" s="36">
        <f t="shared" si="7"/>
        <v>102000</v>
      </c>
      <c r="AJ91" s="19">
        <f t="shared" si="2"/>
        <v>0</v>
      </c>
      <c r="AK91" s="18">
        <f t="shared" si="3"/>
        <v>34000</v>
      </c>
      <c r="AL91" s="36">
        <f t="shared" si="8"/>
        <v>0</v>
      </c>
    </row>
    <row r="92" spans="1:38" ht="14.4">
      <c r="A92" s="646"/>
      <c r="B92" s="115" t="s">
        <v>92</v>
      </c>
      <c r="C92" s="116"/>
      <c r="D92" s="118"/>
      <c r="E92" s="116"/>
      <c r="F92" s="117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7"/>
      <c r="AB92" s="116"/>
      <c r="AC92" s="116"/>
      <c r="AD92" s="116"/>
      <c r="AE92" s="116"/>
      <c r="AF92" s="116"/>
      <c r="AG92" s="119">
        <f t="shared" si="6"/>
        <v>0</v>
      </c>
      <c r="AH92" s="17">
        <v>28000</v>
      </c>
      <c r="AI92" s="36">
        <f t="shared" si="7"/>
        <v>0</v>
      </c>
      <c r="AJ92" s="19">
        <f t="shared" si="2"/>
        <v>0</v>
      </c>
      <c r="AK92" s="18">
        <f t="shared" si="3"/>
        <v>28000</v>
      </c>
      <c r="AL92" s="36">
        <f t="shared" si="8"/>
        <v>0</v>
      </c>
    </row>
    <row r="93" spans="1:38" ht="14.4">
      <c r="A93" s="646"/>
      <c r="B93" s="115" t="s">
        <v>93</v>
      </c>
      <c r="C93" s="116">
        <v>0.5</v>
      </c>
      <c r="D93" s="116">
        <v>2</v>
      </c>
      <c r="E93" s="116"/>
      <c r="F93" s="117">
        <v>1</v>
      </c>
      <c r="G93" s="116">
        <v>1</v>
      </c>
      <c r="H93" s="116"/>
      <c r="I93" s="116">
        <v>1</v>
      </c>
      <c r="J93" s="118"/>
      <c r="K93" s="116">
        <v>1</v>
      </c>
      <c r="L93" s="116">
        <v>1</v>
      </c>
      <c r="M93" s="116"/>
      <c r="N93" s="118"/>
      <c r="O93" s="116">
        <v>1</v>
      </c>
      <c r="P93" s="116"/>
      <c r="Q93" s="116"/>
      <c r="R93" s="116">
        <v>1</v>
      </c>
      <c r="S93" s="116">
        <v>1</v>
      </c>
      <c r="T93" s="116"/>
      <c r="U93" s="116"/>
      <c r="V93" s="116"/>
      <c r="W93" s="116"/>
      <c r="X93" s="116"/>
      <c r="Y93" s="116"/>
      <c r="Z93" s="116"/>
      <c r="AA93" s="117"/>
      <c r="AB93" s="116"/>
      <c r="AC93" s="116"/>
      <c r="AD93" s="116"/>
      <c r="AE93" s="116"/>
      <c r="AF93" s="116"/>
      <c r="AG93" s="119">
        <f t="shared" si="6"/>
        <v>10.5</v>
      </c>
      <c r="AH93" s="17">
        <v>25000</v>
      </c>
      <c r="AI93" s="36">
        <f t="shared" si="7"/>
        <v>262500</v>
      </c>
      <c r="AJ93" s="19">
        <f t="shared" si="2"/>
        <v>0</v>
      </c>
      <c r="AK93" s="18">
        <f t="shared" si="3"/>
        <v>25000</v>
      </c>
      <c r="AL93" s="36">
        <f t="shared" si="8"/>
        <v>0</v>
      </c>
    </row>
    <row r="94" spans="1:38" ht="14.4">
      <c r="A94" s="646"/>
      <c r="B94" s="115" t="s">
        <v>94</v>
      </c>
      <c r="C94" s="116">
        <v>1</v>
      </c>
      <c r="D94" s="118">
        <v>1</v>
      </c>
      <c r="E94" s="116"/>
      <c r="F94" s="117">
        <v>1</v>
      </c>
      <c r="G94" s="116"/>
      <c r="H94" s="116"/>
      <c r="I94" s="116"/>
      <c r="J94" s="116"/>
      <c r="K94" s="116">
        <v>1</v>
      </c>
      <c r="L94" s="116"/>
      <c r="M94" s="116"/>
      <c r="N94" s="116"/>
      <c r="O94" s="118">
        <v>1</v>
      </c>
      <c r="P94" s="116"/>
      <c r="Q94" s="116">
        <v>1</v>
      </c>
      <c r="R94" s="116"/>
      <c r="S94" s="116"/>
      <c r="T94" s="116"/>
      <c r="U94" s="116"/>
      <c r="V94" s="116"/>
      <c r="W94" s="116"/>
      <c r="X94" s="116"/>
      <c r="Y94" s="116"/>
      <c r="Z94" s="116"/>
      <c r="AA94" s="117"/>
      <c r="AB94" s="116"/>
      <c r="AC94" s="116"/>
      <c r="AD94" s="116"/>
      <c r="AE94" s="116"/>
      <c r="AF94" s="116"/>
      <c r="AG94" s="119">
        <f t="shared" si="6"/>
        <v>6</v>
      </c>
      <c r="AH94" s="17">
        <v>13000</v>
      </c>
      <c r="AI94" s="36">
        <f t="shared" si="7"/>
        <v>78000</v>
      </c>
      <c r="AJ94" s="19">
        <f t="shared" si="2"/>
        <v>0</v>
      </c>
      <c r="AK94" s="18">
        <f t="shared" si="3"/>
        <v>13000</v>
      </c>
      <c r="AL94" s="36">
        <f t="shared" si="8"/>
        <v>0</v>
      </c>
    </row>
    <row r="95" spans="1:38" ht="14.4">
      <c r="A95" s="646"/>
      <c r="B95" s="115" t="s">
        <v>95</v>
      </c>
      <c r="C95" s="116"/>
      <c r="D95" s="118"/>
      <c r="E95" s="116"/>
      <c r="F95" s="117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7"/>
      <c r="AB95" s="116"/>
      <c r="AC95" s="116"/>
      <c r="AD95" s="116"/>
      <c r="AE95" s="116"/>
      <c r="AF95" s="116"/>
      <c r="AG95" s="119">
        <f t="shared" si="6"/>
        <v>0</v>
      </c>
      <c r="AH95" s="17">
        <v>7000</v>
      </c>
      <c r="AI95" s="36">
        <f t="shared" si="7"/>
        <v>0</v>
      </c>
      <c r="AJ95" s="19">
        <f t="shared" si="2"/>
        <v>0</v>
      </c>
      <c r="AK95" s="18">
        <f t="shared" si="3"/>
        <v>7000</v>
      </c>
      <c r="AL95" s="36">
        <f t="shared" si="8"/>
        <v>0</v>
      </c>
    </row>
    <row r="96" spans="1:38" ht="14.4">
      <c r="A96" s="646"/>
      <c r="B96" s="115" t="s">
        <v>96</v>
      </c>
      <c r="C96" s="116"/>
      <c r="D96" s="116"/>
      <c r="E96" s="116"/>
      <c r="F96" s="117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7"/>
      <c r="AB96" s="116"/>
      <c r="AC96" s="116"/>
      <c r="AD96" s="116"/>
      <c r="AE96" s="116"/>
      <c r="AF96" s="116"/>
      <c r="AG96" s="119">
        <f t="shared" si="6"/>
        <v>0</v>
      </c>
      <c r="AH96" s="17">
        <v>12300</v>
      </c>
      <c r="AI96" s="36">
        <f t="shared" si="7"/>
        <v>0</v>
      </c>
      <c r="AJ96" s="19">
        <f t="shared" si="2"/>
        <v>0</v>
      </c>
      <c r="AK96" s="18">
        <f t="shared" si="3"/>
        <v>12300</v>
      </c>
      <c r="AL96" s="36">
        <f t="shared" si="8"/>
        <v>0</v>
      </c>
    </row>
    <row r="97" spans="1:38" ht="14.4">
      <c r="A97" s="646"/>
      <c r="B97" s="115" t="s">
        <v>97</v>
      </c>
      <c r="C97" s="116"/>
      <c r="D97" s="116">
        <v>1</v>
      </c>
      <c r="E97" s="116"/>
      <c r="F97" s="117"/>
      <c r="G97" s="116"/>
      <c r="H97" s="116"/>
      <c r="I97" s="116"/>
      <c r="J97" s="118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7"/>
      <c r="AB97" s="116"/>
      <c r="AC97" s="116"/>
      <c r="AD97" s="116"/>
      <c r="AE97" s="116"/>
      <c r="AF97" s="116"/>
      <c r="AG97" s="119">
        <f t="shared" si="6"/>
        <v>1</v>
      </c>
      <c r="AH97" s="17">
        <v>18000</v>
      </c>
      <c r="AI97" s="36">
        <f t="shared" si="7"/>
        <v>18000</v>
      </c>
      <c r="AJ97" s="19">
        <f t="shared" si="2"/>
        <v>0</v>
      </c>
      <c r="AK97" s="18">
        <f t="shared" si="3"/>
        <v>18000</v>
      </c>
      <c r="AL97" s="36">
        <f t="shared" si="8"/>
        <v>0</v>
      </c>
    </row>
    <row r="98" spans="1:38" ht="14.4">
      <c r="A98" s="646"/>
      <c r="B98" s="120" t="s">
        <v>98</v>
      </c>
      <c r="C98" s="116"/>
      <c r="D98" s="116"/>
      <c r="E98" s="116"/>
      <c r="F98" s="117"/>
      <c r="G98" s="116"/>
      <c r="H98" s="116"/>
      <c r="I98" s="116"/>
      <c r="J98" s="116"/>
      <c r="K98" s="116"/>
      <c r="L98" s="116"/>
      <c r="M98" s="118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7"/>
      <c r="AB98" s="116"/>
      <c r="AC98" s="116"/>
      <c r="AD98" s="116"/>
      <c r="AE98" s="116"/>
      <c r="AF98" s="116"/>
      <c r="AG98" s="119">
        <f t="shared" si="6"/>
        <v>0</v>
      </c>
      <c r="AH98" s="17">
        <v>13500</v>
      </c>
      <c r="AI98" s="36">
        <f t="shared" si="7"/>
        <v>0</v>
      </c>
      <c r="AJ98" s="19">
        <f t="shared" si="2"/>
        <v>0</v>
      </c>
      <c r="AK98" s="18">
        <f t="shared" si="3"/>
        <v>13500</v>
      </c>
      <c r="AL98" s="36">
        <f t="shared" si="8"/>
        <v>0</v>
      </c>
    </row>
    <row r="99" spans="1:38" ht="14.4">
      <c r="A99" s="646"/>
      <c r="B99" s="120" t="s">
        <v>99</v>
      </c>
      <c r="C99" s="116"/>
      <c r="D99" s="116"/>
      <c r="E99" s="116"/>
      <c r="F99" s="117"/>
      <c r="G99" s="116"/>
      <c r="H99" s="116"/>
      <c r="I99" s="116"/>
      <c r="J99" s="116"/>
      <c r="K99" s="116"/>
      <c r="L99" s="116"/>
      <c r="M99" s="116"/>
      <c r="N99" s="118"/>
      <c r="O99" s="116"/>
      <c r="P99" s="116">
        <v>1</v>
      </c>
      <c r="Q99" s="116"/>
      <c r="R99" s="116">
        <v>1</v>
      </c>
      <c r="S99" s="116"/>
      <c r="T99" s="116"/>
      <c r="U99" s="116"/>
      <c r="V99" s="116"/>
      <c r="W99" s="116"/>
      <c r="X99" s="116"/>
      <c r="Y99" s="116"/>
      <c r="Z99" s="116"/>
      <c r="AA99" s="117"/>
      <c r="AB99" s="116"/>
      <c r="AC99" s="116"/>
      <c r="AD99" s="116"/>
      <c r="AE99" s="116"/>
      <c r="AF99" s="116"/>
      <c r="AG99" s="119">
        <f t="shared" si="6"/>
        <v>2</v>
      </c>
      <c r="AH99" s="17">
        <v>46000</v>
      </c>
      <c r="AI99" s="36">
        <f t="shared" si="7"/>
        <v>92000</v>
      </c>
      <c r="AJ99" s="19">
        <f t="shared" si="2"/>
        <v>0</v>
      </c>
      <c r="AK99" s="18">
        <f t="shared" si="3"/>
        <v>46000</v>
      </c>
      <c r="AL99" s="36">
        <f t="shared" si="8"/>
        <v>0</v>
      </c>
    </row>
    <row r="100" spans="1:38" ht="14.4">
      <c r="A100" s="646"/>
      <c r="B100" s="115" t="s">
        <v>100</v>
      </c>
      <c r="C100" s="116"/>
      <c r="D100" s="116"/>
      <c r="E100" s="116"/>
      <c r="F100" s="117"/>
      <c r="G100" s="116"/>
      <c r="H100" s="118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7"/>
      <c r="AB100" s="116"/>
      <c r="AC100" s="116"/>
      <c r="AD100" s="116"/>
      <c r="AE100" s="116"/>
      <c r="AF100" s="116"/>
      <c r="AG100" s="119">
        <f t="shared" si="6"/>
        <v>0</v>
      </c>
      <c r="AH100" s="17">
        <v>32000</v>
      </c>
      <c r="AI100" s="36">
        <f t="shared" si="7"/>
        <v>0</v>
      </c>
      <c r="AJ100" s="19">
        <f t="shared" si="2"/>
        <v>0</v>
      </c>
      <c r="AK100" s="18">
        <f t="shared" si="3"/>
        <v>32000</v>
      </c>
      <c r="AL100" s="36">
        <f t="shared" si="8"/>
        <v>0</v>
      </c>
    </row>
    <row r="101" spans="1:38" ht="14.4">
      <c r="A101" s="646"/>
      <c r="B101" s="115" t="s">
        <v>101</v>
      </c>
      <c r="C101" s="116"/>
      <c r="D101" s="116">
        <v>1</v>
      </c>
      <c r="E101" s="116"/>
      <c r="F101" s="117"/>
      <c r="G101" s="116">
        <v>1</v>
      </c>
      <c r="H101" s="116"/>
      <c r="I101" s="116"/>
      <c r="J101" s="118"/>
      <c r="K101" s="116">
        <v>1</v>
      </c>
      <c r="L101" s="116">
        <v>1</v>
      </c>
      <c r="M101" s="116"/>
      <c r="N101" s="118"/>
      <c r="O101" s="116"/>
      <c r="P101" s="116"/>
      <c r="Q101" s="116"/>
      <c r="R101" s="116"/>
      <c r="S101" s="116">
        <v>1</v>
      </c>
      <c r="T101" s="116"/>
      <c r="U101" s="116"/>
      <c r="V101" s="116"/>
      <c r="W101" s="116"/>
      <c r="X101" s="116"/>
      <c r="Y101" s="116"/>
      <c r="Z101" s="116"/>
      <c r="AA101" s="117"/>
      <c r="AB101" s="116"/>
      <c r="AC101" s="116"/>
      <c r="AD101" s="116"/>
      <c r="AE101" s="116"/>
      <c r="AF101" s="116"/>
      <c r="AG101" s="119">
        <f t="shared" si="6"/>
        <v>5</v>
      </c>
      <c r="AH101" s="17">
        <v>34000</v>
      </c>
      <c r="AI101" s="36">
        <f t="shared" si="7"/>
        <v>170000</v>
      </c>
      <c r="AJ101" s="19">
        <f t="shared" si="2"/>
        <v>0</v>
      </c>
      <c r="AK101" s="18">
        <f t="shared" si="3"/>
        <v>34000</v>
      </c>
      <c r="AL101" s="36">
        <f t="shared" si="8"/>
        <v>0</v>
      </c>
    </row>
    <row r="102" spans="1:38" ht="14.4">
      <c r="A102" s="646"/>
      <c r="B102" s="115" t="s">
        <v>102</v>
      </c>
      <c r="C102" s="116"/>
      <c r="D102" s="118"/>
      <c r="E102" s="116">
        <v>1</v>
      </c>
      <c r="F102" s="117"/>
      <c r="G102" s="118"/>
      <c r="H102" s="116"/>
      <c r="I102" s="116"/>
      <c r="J102" s="116"/>
      <c r="K102" s="116"/>
      <c r="L102" s="116"/>
      <c r="M102" s="116">
        <v>1</v>
      </c>
      <c r="N102" s="116"/>
      <c r="O102" s="118"/>
      <c r="P102" s="116"/>
      <c r="Q102" s="118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7"/>
      <c r="AB102" s="116"/>
      <c r="AC102" s="116"/>
      <c r="AD102" s="116"/>
      <c r="AE102" s="116"/>
      <c r="AF102" s="116"/>
      <c r="AG102" s="119">
        <f t="shared" si="6"/>
        <v>2</v>
      </c>
      <c r="AH102" s="17">
        <v>33000</v>
      </c>
      <c r="AI102" s="36">
        <f t="shared" si="7"/>
        <v>66000</v>
      </c>
      <c r="AJ102" s="19">
        <f t="shared" si="2"/>
        <v>0</v>
      </c>
      <c r="AK102" s="18">
        <f t="shared" si="3"/>
        <v>33000</v>
      </c>
      <c r="AL102" s="36">
        <f t="shared" si="8"/>
        <v>0</v>
      </c>
    </row>
    <row r="103" spans="1:38" ht="14.4">
      <c r="A103" s="646"/>
      <c r="B103" s="121" t="s">
        <v>103</v>
      </c>
      <c r="C103" s="116"/>
      <c r="D103" s="116">
        <v>1</v>
      </c>
      <c r="E103" s="116"/>
      <c r="F103" s="117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7"/>
      <c r="AB103" s="116"/>
      <c r="AC103" s="116"/>
      <c r="AD103" s="116"/>
      <c r="AE103" s="116"/>
      <c r="AF103" s="116"/>
      <c r="AG103" s="119">
        <f t="shared" si="6"/>
        <v>1</v>
      </c>
      <c r="AH103" s="17">
        <v>10000</v>
      </c>
      <c r="AI103" s="36">
        <f t="shared" si="7"/>
        <v>10000</v>
      </c>
      <c r="AJ103" s="19">
        <f t="shared" si="2"/>
        <v>0</v>
      </c>
      <c r="AK103" s="18">
        <f t="shared" si="3"/>
        <v>10000</v>
      </c>
      <c r="AL103" s="36">
        <f t="shared" si="8"/>
        <v>0</v>
      </c>
    </row>
    <row r="104" spans="1:38" ht="14.4">
      <c r="A104" s="647"/>
      <c r="B104" s="122" t="s">
        <v>104</v>
      </c>
      <c r="C104" s="123"/>
      <c r="D104" s="123"/>
      <c r="E104" s="123"/>
      <c r="F104" s="124"/>
      <c r="G104" s="123"/>
      <c r="H104" s="123"/>
      <c r="I104" s="123"/>
      <c r="J104" s="123"/>
      <c r="K104" s="123"/>
      <c r="L104" s="123"/>
      <c r="M104" s="125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4"/>
      <c r="AB104" s="123"/>
      <c r="AC104" s="123"/>
      <c r="AD104" s="123"/>
      <c r="AE104" s="123"/>
      <c r="AF104" s="123"/>
      <c r="AG104" s="126">
        <f t="shared" si="6"/>
        <v>0</v>
      </c>
      <c r="AH104" s="17">
        <v>25000</v>
      </c>
      <c r="AI104" s="36">
        <f t="shared" si="7"/>
        <v>0</v>
      </c>
      <c r="AJ104" s="19">
        <f t="shared" si="2"/>
        <v>0</v>
      </c>
      <c r="AK104" s="18">
        <f t="shared" si="3"/>
        <v>25000</v>
      </c>
      <c r="AL104" s="36">
        <f t="shared" si="8"/>
        <v>0</v>
      </c>
    </row>
    <row r="105" spans="1:38" ht="14.4">
      <c r="A105" s="648"/>
      <c r="B105" s="127" t="s">
        <v>105</v>
      </c>
      <c r="C105" s="128"/>
      <c r="D105" s="128">
        <v>30</v>
      </c>
      <c r="E105" s="128">
        <v>20</v>
      </c>
      <c r="F105" s="129"/>
      <c r="G105" s="130">
        <v>20</v>
      </c>
      <c r="H105" s="128"/>
      <c r="I105" s="130"/>
      <c r="J105" s="130"/>
      <c r="K105" s="128"/>
      <c r="L105" s="130">
        <v>10</v>
      </c>
      <c r="M105" s="128"/>
      <c r="N105" s="128"/>
      <c r="O105" s="128">
        <v>30</v>
      </c>
      <c r="P105" s="128">
        <v>20</v>
      </c>
      <c r="Q105" s="128"/>
      <c r="R105" s="130"/>
      <c r="S105" s="128">
        <v>40</v>
      </c>
      <c r="T105" s="128"/>
      <c r="U105" s="128"/>
      <c r="V105" s="128"/>
      <c r="W105" s="128"/>
      <c r="X105" s="128"/>
      <c r="Y105" s="128"/>
      <c r="Z105" s="128"/>
      <c r="AA105" s="129"/>
      <c r="AB105" s="128"/>
      <c r="AC105" s="128"/>
      <c r="AD105" s="128"/>
      <c r="AE105" s="128"/>
      <c r="AF105" s="128"/>
      <c r="AG105" s="131">
        <f t="shared" si="6"/>
        <v>170</v>
      </c>
      <c r="AH105" s="17">
        <v>5750</v>
      </c>
      <c r="AI105" s="36">
        <f t="shared" si="7"/>
        <v>977500</v>
      </c>
      <c r="AJ105" s="19">
        <f t="shared" si="2"/>
        <v>0</v>
      </c>
      <c r="AK105" s="18">
        <f t="shared" si="3"/>
        <v>5750</v>
      </c>
      <c r="AL105" s="36">
        <f t="shared" si="8"/>
        <v>0</v>
      </c>
    </row>
    <row r="106" spans="1:38" ht="14.4">
      <c r="A106" s="649"/>
      <c r="B106" s="127" t="s">
        <v>106</v>
      </c>
      <c r="C106" s="130">
        <v>3</v>
      </c>
      <c r="D106" s="128"/>
      <c r="E106" s="128"/>
      <c r="F106" s="129"/>
      <c r="G106" s="128"/>
      <c r="H106" s="128"/>
      <c r="I106" s="128"/>
      <c r="J106" s="128"/>
      <c r="K106" s="130">
        <v>3</v>
      </c>
      <c r="L106" s="130"/>
      <c r="M106" s="128">
        <v>3</v>
      </c>
      <c r="N106" s="128"/>
      <c r="O106" s="130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9"/>
      <c r="AB106" s="128"/>
      <c r="AC106" s="128"/>
      <c r="AD106" s="128"/>
      <c r="AE106" s="128"/>
      <c r="AF106" s="128"/>
      <c r="AG106" s="131">
        <f t="shared" si="6"/>
        <v>9</v>
      </c>
      <c r="AH106" s="17">
        <v>11500</v>
      </c>
      <c r="AI106" s="36">
        <f t="shared" si="7"/>
        <v>103500</v>
      </c>
      <c r="AJ106" s="19">
        <f t="shared" si="2"/>
        <v>0</v>
      </c>
      <c r="AK106" s="18">
        <f t="shared" si="3"/>
        <v>11500</v>
      </c>
      <c r="AL106" s="36">
        <f t="shared" si="8"/>
        <v>0</v>
      </c>
    </row>
    <row r="107" spans="1:38" ht="14.4">
      <c r="A107" s="649"/>
      <c r="B107" s="127" t="s">
        <v>107</v>
      </c>
      <c r="C107" s="128"/>
      <c r="D107" s="128">
        <v>25</v>
      </c>
      <c r="E107" s="128">
        <v>20</v>
      </c>
      <c r="F107" s="129"/>
      <c r="G107" s="130">
        <v>20</v>
      </c>
      <c r="H107" s="128"/>
      <c r="I107" s="130"/>
      <c r="J107" s="130"/>
      <c r="K107" s="128">
        <v>28</v>
      </c>
      <c r="L107" s="130"/>
      <c r="M107" s="128"/>
      <c r="N107" s="128"/>
      <c r="O107" s="130">
        <v>30</v>
      </c>
      <c r="P107" s="128">
        <v>20</v>
      </c>
      <c r="Q107" s="128"/>
      <c r="R107" s="130">
        <v>10</v>
      </c>
      <c r="S107" s="128">
        <v>40</v>
      </c>
      <c r="T107" s="128"/>
      <c r="U107" s="128"/>
      <c r="V107" s="128"/>
      <c r="W107" s="128"/>
      <c r="X107" s="128"/>
      <c r="Y107" s="128"/>
      <c r="Z107" s="128"/>
      <c r="AA107" s="129"/>
      <c r="AB107" s="128"/>
      <c r="AC107" s="128"/>
      <c r="AD107" s="128"/>
      <c r="AE107" s="128"/>
      <c r="AF107" s="128"/>
      <c r="AG107" s="131">
        <f t="shared" si="6"/>
        <v>193</v>
      </c>
      <c r="AH107" s="17">
        <v>6800</v>
      </c>
      <c r="AI107" s="36">
        <f t="shared" si="7"/>
        <v>1312400</v>
      </c>
      <c r="AJ107" s="19">
        <f t="shared" si="2"/>
        <v>0</v>
      </c>
      <c r="AK107" s="18">
        <f t="shared" si="3"/>
        <v>6800</v>
      </c>
      <c r="AL107" s="36">
        <f t="shared" si="8"/>
        <v>0</v>
      </c>
    </row>
    <row r="108" spans="1:38" ht="14.4">
      <c r="A108" s="650"/>
      <c r="B108" s="127" t="s">
        <v>108</v>
      </c>
      <c r="C108" s="128"/>
      <c r="D108" s="128"/>
      <c r="E108" s="128"/>
      <c r="F108" s="129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9"/>
      <c r="AB108" s="128"/>
      <c r="AC108" s="128"/>
      <c r="AD108" s="128"/>
      <c r="AE108" s="128"/>
      <c r="AF108" s="128"/>
      <c r="AG108" s="131">
        <f t="shared" si="6"/>
        <v>0</v>
      </c>
      <c r="AH108" s="17">
        <v>5700</v>
      </c>
      <c r="AI108" s="36">
        <f t="shared" si="7"/>
        <v>0</v>
      </c>
      <c r="AJ108" s="19">
        <f t="shared" si="2"/>
        <v>0</v>
      </c>
      <c r="AK108" s="18">
        <f t="shared" si="3"/>
        <v>5700</v>
      </c>
      <c r="AL108" s="36">
        <f t="shared" si="8"/>
        <v>0</v>
      </c>
    </row>
    <row r="109" spans="1:38" ht="14.4">
      <c r="A109" s="6"/>
      <c r="B109" s="132" t="s">
        <v>109</v>
      </c>
      <c r="C109" s="133"/>
      <c r="D109" s="133"/>
      <c r="E109" s="133"/>
      <c r="F109" s="134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4"/>
      <c r="AB109" s="133"/>
      <c r="AC109" s="133"/>
      <c r="AD109" s="133"/>
      <c r="AE109" s="133"/>
      <c r="AF109" s="133"/>
      <c r="AG109" s="135">
        <f>AI20</f>
        <v>90424500</v>
      </c>
      <c r="AH109" s="6"/>
      <c r="AI109" s="136">
        <f>SUM(AI21:AI108)</f>
        <v>28184800</v>
      </c>
      <c r="AJ109" s="137"/>
      <c r="AK109" s="6"/>
      <c r="AL109" s="138">
        <f>SUM(AL3:AL108)</f>
        <v>4626800</v>
      </c>
    </row>
    <row r="110" spans="1:38" ht="14.4">
      <c r="A110" s="6"/>
      <c r="B110" s="139" t="s">
        <v>110</v>
      </c>
      <c r="C110" s="140"/>
      <c r="D110" s="140"/>
      <c r="E110" s="140"/>
      <c r="F110" s="141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1"/>
      <c r="AB110" s="140"/>
      <c r="AC110" s="140"/>
      <c r="AD110" s="140"/>
      <c r="AE110" s="140"/>
      <c r="AF110" s="140"/>
      <c r="AG110" s="135">
        <f>AI109</f>
        <v>28184800</v>
      </c>
      <c r="AH110" s="6"/>
      <c r="AI110" s="6"/>
      <c r="AJ110" s="137"/>
      <c r="AK110" s="6"/>
      <c r="AL110" s="6"/>
    </row>
    <row r="111" spans="1:38" ht="14.4">
      <c r="A111" s="6"/>
      <c r="B111" s="142" t="s">
        <v>111</v>
      </c>
      <c r="C111" s="140"/>
      <c r="D111" s="140">
        <v>600000</v>
      </c>
      <c r="E111" s="140">
        <f>1700000+1170000+1300000</f>
        <v>4170000</v>
      </c>
      <c r="F111" s="141">
        <v>230000</v>
      </c>
      <c r="G111" s="140">
        <v>1000000</v>
      </c>
      <c r="H111" s="140">
        <v>700000</v>
      </c>
      <c r="I111" s="140"/>
      <c r="J111" s="140"/>
      <c r="K111" s="140"/>
      <c r="L111" s="140"/>
      <c r="M111" s="140">
        <v>734111</v>
      </c>
      <c r="N111" s="140"/>
      <c r="O111" s="140"/>
      <c r="P111" s="140"/>
      <c r="Q111" s="140"/>
      <c r="R111" s="140"/>
      <c r="S111" s="140">
        <v>13100000</v>
      </c>
      <c r="T111" s="140"/>
      <c r="U111" s="140"/>
      <c r="V111" s="140"/>
      <c r="W111" s="143"/>
      <c r="X111" s="143"/>
      <c r="Y111" s="140"/>
      <c r="Z111" s="140"/>
      <c r="AA111" s="141"/>
      <c r="AB111" s="140"/>
      <c r="AC111" s="140"/>
      <c r="AD111" s="140"/>
      <c r="AE111" s="140"/>
      <c r="AF111" s="140"/>
      <c r="AG111" s="135">
        <f t="shared" ref="AG111:AG112" si="9">SUM(C111:AF111)</f>
        <v>20534111</v>
      </c>
      <c r="AH111" s="6"/>
      <c r="AI111" s="6"/>
      <c r="AJ111" s="137"/>
      <c r="AK111" s="6"/>
      <c r="AL111" s="6"/>
    </row>
    <row r="112" spans="1:38" ht="14.4">
      <c r="A112" s="6"/>
      <c r="B112" s="144" t="s">
        <v>112</v>
      </c>
      <c r="C112" s="145">
        <v>3710000</v>
      </c>
      <c r="D112" s="146"/>
      <c r="E112" s="146">
        <v>25000000</v>
      </c>
      <c r="F112" s="145"/>
      <c r="G112" s="145"/>
      <c r="H112" s="145">
        <v>18000000</v>
      </c>
      <c r="I112" s="145"/>
      <c r="J112" s="146"/>
      <c r="K112" s="145">
        <v>11000000</v>
      </c>
      <c r="L112" s="146"/>
      <c r="M112" s="146">
        <v>2100000</v>
      </c>
      <c r="N112" s="146">
        <v>8000000</v>
      </c>
      <c r="O112" s="145"/>
      <c r="P112" s="147"/>
      <c r="Q112" s="147"/>
      <c r="R112" s="148">
        <f>160*35000</f>
        <v>5600000</v>
      </c>
      <c r="S112" s="148">
        <v>5000000</v>
      </c>
      <c r="T112" s="147">
        <v>5000000</v>
      </c>
      <c r="U112" s="147"/>
      <c r="V112" s="148"/>
      <c r="W112" s="148"/>
      <c r="X112" s="148"/>
      <c r="Y112" s="147"/>
      <c r="Z112" s="147"/>
      <c r="AA112" s="147"/>
      <c r="AB112" s="147"/>
      <c r="AC112" s="147"/>
      <c r="AD112" s="147"/>
      <c r="AE112" s="147"/>
      <c r="AF112" s="147"/>
      <c r="AG112" s="149">
        <f t="shared" si="9"/>
        <v>83410000</v>
      </c>
      <c r="AH112" s="6"/>
      <c r="AI112" s="6"/>
      <c r="AJ112" s="137"/>
      <c r="AK112" s="6"/>
      <c r="AL112" s="6"/>
    </row>
    <row r="113" spans="1:38" ht="13.2">
      <c r="A113" s="6"/>
      <c r="B113" s="150" t="s">
        <v>113</v>
      </c>
      <c r="C113" s="151">
        <v>5486710</v>
      </c>
      <c r="D113" s="151">
        <v>11495050</v>
      </c>
      <c r="E113" s="152">
        <v>5486250</v>
      </c>
      <c r="F113" s="152">
        <v>9875050</v>
      </c>
      <c r="G113" s="152">
        <v>4137800</v>
      </c>
      <c r="H113" s="152">
        <v>5994900</v>
      </c>
      <c r="I113" s="152">
        <v>7883200</v>
      </c>
      <c r="J113" s="152">
        <v>4233700</v>
      </c>
      <c r="K113" s="152">
        <v>3921700</v>
      </c>
      <c r="L113" s="152">
        <v>5748700</v>
      </c>
      <c r="M113" s="152">
        <v>8192810</v>
      </c>
      <c r="N113" s="152">
        <v>3478341</v>
      </c>
      <c r="O113" s="152">
        <v>9479900</v>
      </c>
      <c r="P113" s="152">
        <v>8119700</v>
      </c>
      <c r="Q113" s="152">
        <v>3959700</v>
      </c>
      <c r="R113" s="152">
        <v>8058150</v>
      </c>
      <c r="S113" s="152">
        <v>8607100</v>
      </c>
      <c r="T113" s="152">
        <v>4626500</v>
      </c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4">
        <f>AG112+AG111</f>
        <v>103944111</v>
      </c>
      <c r="AH113" s="6"/>
      <c r="AI113" s="6"/>
      <c r="AJ113" s="6"/>
      <c r="AK113" s="6"/>
      <c r="AL113" s="6"/>
    </row>
    <row r="114" spans="1:38" ht="13.2">
      <c r="A114" s="6"/>
      <c r="B114" s="155" t="s">
        <v>114</v>
      </c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6">
        <f>M111+M112-M113+M116-M115</f>
        <v>-4121413</v>
      </c>
      <c r="N114" s="157">
        <f>N112-N113</f>
        <v>4521659</v>
      </c>
      <c r="O114" s="157">
        <f>O112+O111-O113</f>
        <v>-9479900</v>
      </c>
      <c r="P114" s="157">
        <f t="shared" ref="P114:S114" si="10">P111+P112-P113</f>
        <v>-8119700</v>
      </c>
      <c r="Q114" s="157">
        <f t="shared" si="10"/>
        <v>-3959700</v>
      </c>
      <c r="R114" s="158">
        <f t="shared" si="10"/>
        <v>-2458150</v>
      </c>
      <c r="S114" s="158">
        <f t="shared" si="10"/>
        <v>9492900</v>
      </c>
      <c r="T114" s="158">
        <f>T111+T112-T113-T116</f>
        <v>-22108702</v>
      </c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9">
        <f>AG109+AG110</f>
        <v>118609300</v>
      </c>
      <c r="AH114" s="6"/>
      <c r="AI114" s="6"/>
      <c r="AJ114" s="6"/>
      <c r="AK114" s="6"/>
      <c r="AL114" s="6"/>
    </row>
    <row r="115" spans="1:38" ht="15.6">
      <c r="A115" s="6"/>
      <c r="B115" s="6"/>
      <c r="C115" s="6"/>
      <c r="D115" s="6"/>
      <c r="E115" s="6"/>
      <c r="F115" s="7"/>
      <c r="G115" s="6"/>
      <c r="H115" s="6"/>
      <c r="I115" s="6"/>
      <c r="J115" s="6"/>
      <c r="K115" s="6"/>
      <c r="L115" s="6" t="s">
        <v>115</v>
      </c>
      <c r="M115" s="160">
        <v>23762714</v>
      </c>
      <c r="N115" s="6"/>
      <c r="O115" s="6"/>
      <c r="P115" s="6"/>
      <c r="Q115" s="6"/>
      <c r="R115" s="161" t="s">
        <v>116</v>
      </c>
      <c r="S115" s="6"/>
      <c r="T115" s="162" t="s">
        <v>115</v>
      </c>
      <c r="U115" s="6"/>
      <c r="V115" s="6"/>
      <c r="W115" s="6"/>
      <c r="X115" s="6"/>
      <c r="Y115" s="6"/>
      <c r="Z115" s="6"/>
      <c r="AA115" s="7"/>
      <c r="AB115" s="6"/>
      <c r="AC115" s="6"/>
      <c r="AD115" s="6"/>
      <c r="AE115" s="6"/>
      <c r="AF115" s="6"/>
      <c r="AG115" s="163">
        <f>AG113-AG114</f>
        <v>-14665189</v>
      </c>
      <c r="AH115" s="6"/>
      <c r="AI115" s="6"/>
      <c r="AJ115" s="6"/>
      <c r="AK115" s="6"/>
      <c r="AL115" s="6"/>
    </row>
    <row r="116" spans="1:38" ht="13.2">
      <c r="A116" s="6"/>
      <c r="B116" s="6"/>
      <c r="C116" s="6"/>
      <c r="D116" s="6"/>
      <c r="E116" s="6"/>
      <c r="F116" s="7"/>
      <c r="G116" s="6"/>
      <c r="H116" s="6"/>
      <c r="I116" s="6"/>
      <c r="J116" s="6"/>
      <c r="K116" s="6"/>
      <c r="L116" s="6" t="s">
        <v>112</v>
      </c>
      <c r="M116" s="160">
        <v>25000000</v>
      </c>
      <c r="N116" s="6"/>
      <c r="O116" s="6"/>
      <c r="P116" s="6"/>
      <c r="Q116" s="6"/>
      <c r="R116" s="164">
        <v>27000000</v>
      </c>
      <c r="S116" s="6"/>
      <c r="T116" s="165">
        <v>22482202</v>
      </c>
      <c r="U116" s="6"/>
      <c r="V116" s="6"/>
      <c r="W116" s="6"/>
      <c r="X116" s="6"/>
      <c r="Y116" s="6"/>
      <c r="Z116" s="6"/>
      <c r="AA116" s="7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spans="1:38" ht="13.2">
      <c r="A117" s="6"/>
      <c r="B117" s="6"/>
      <c r="C117" s="6"/>
      <c r="D117" s="6"/>
      <c r="E117" s="6"/>
      <c r="F117" s="7"/>
      <c r="G117" s="6"/>
      <c r="H117" s="6"/>
      <c r="I117" s="6"/>
      <c r="J117" s="6"/>
      <c r="K117" s="166" t="s">
        <v>117</v>
      </c>
      <c r="L117" s="6"/>
      <c r="M117" s="6"/>
      <c r="N117" s="6"/>
      <c r="O117" s="6"/>
      <c r="P117" s="6"/>
      <c r="Q117" s="6"/>
      <c r="R117" s="167">
        <f>M114+N114+O114+P114+Q114+R114</f>
        <v>-23617204</v>
      </c>
      <c r="S117" s="6"/>
      <c r="T117" s="6"/>
      <c r="U117" s="6"/>
      <c r="V117" s="6"/>
      <c r="W117" s="6"/>
      <c r="X117" s="6"/>
      <c r="Y117" s="6"/>
      <c r="Z117" s="6"/>
      <c r="AA117" s="7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spans="1:38" ht="13.2">
      <c r="A118" s="6"/>
      <c r="B118" s="6"/>
      <c r="C118" s="6"/>
      <c r="D118" s="6"/>
      <c r="E118" s="6"/>
      <c r="F118" s="7"/>
      <c r="G118" s="6"/>
      <c r="H118" s="6"/>
      <c r="I118" s="6"/>
      <c r="J118" s="168" t="s">
        <v>118</v>
      </c>
      <c r="K118" s="169">
        <f>SUM(C113:L113)</f>
        <v>64263060</v>
      </c>
      <c r="L118" s="6"/>
      <c r="M118" s="6"/>
      <c r="N118" s="6"/>
      <c r="O118" s="6"/>
      <c r="P118" s="6"/>
      <c r="Q118" s="170" t="s">
        <v>119</v>
      </c>
      <c r="R118" s="171">
        <f>SUM(R116:R117)</f>
        <v>3382796</v>
      </c>
      <c r="S118" s="6"/>
      <c r="T118" s="172">
        <f>S113+T113+T116</f>
        <v>35715802</v>
      </c>
      <c r="U118" s="6"/>
      <c r="V118" s="6"/>
      <c r="W118" s="6"/>
      <c r="X118" s="6"/>
      <c r="Y118" s="6"/>
      <c r="Z118" s="6"/>
      <c r="AA118" s="7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spans="1:38" ht="13.2">
      <c r="A119" s="6"/>
      <c r="B119" s="6"/>
      <c r="C119" s="6"/>
      <c r="D119" s="6"/>
      <c r="E119" s="6"/>
      <c r="F119" s="7"/>
      <c r="G119" s="6"/>
      <c r="H119" s="6"/>
      <c r="I119" s="6"/>
      <c r="J119" s="168" t="s">
        <v>112</v>
      </c>
      <c r="K119" s="173">
        <f>C112+E112+H112+K112</f>
        <v>57710000</v>
      </c>
      <c r="L119" s="6"/>
      <c r="M119" s="6"/>
      <c r="N119" s="6"/>
      <c r="O119" s="6"/>
      <c r="P119" s="6"/>
      <c r="Q119" s="174" t="s">
        <v>120</v>
      </c>
      <c r="R119" s="175">
        <v>5000000</v>
      </c>
      <c r="S119" s="6"/>
      <c r="T119" s="176">
        <f>S111+S112+T112+R124</f>
        <v>27459236</v>
      </c>
      <c r="U119" s="6"/>
      <c r="V119" s="6"/>
      <c r="W119" s="6"/>
      <c r="X119" s="6"/>
      <c r="Y119" s="6"/>
      <c r="Z119" s="6"/>
      <c r="AA119" s="7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spans="1:38" ht="13.2">
      <c r="A120" s="6"/>
      <c r="B120" s="6"/>
      <c r="C120" s="6"/>
      <c r="D120" s="6"/>
      <c r="E120" s="6"/>
      <c r="F120" s="7"/>
      <c r="G120" s="6"/>
      <c r="H120" s="6"/>
      <c r="I120" s="6"/>
      <c r="J120" s="168" t="s">
        <v>111</v>
      </c>
      <c r="K120" s="177">
        <f>D111++E111+F111+G111+H111</f>
        <v>6700000</v>
      </c>
      <c r="L120" s="6"/>
      <c r="M120" s="6"/>
      <c r="N120" s="6"/>
      <c r="O120" s="6"/>
      <c r="P120" s="6"/>
      <c r="Q120" s="178" t="s">
        <v>121</v>
      </c>
      <c r="R120" s="179">
        <v>3247000</v>
      </c>
      <c r="S120" s="6"/>
      <c r="T120" s="6"/>
      <c r="U120" s="6"/>
      <c r="V120" s="6"/>
      <c r="W120" s="6"/>
      <c r="X120" s="6"/>
      <c r="Y120" s="6"/>
      <c r="Z120" s="6"/>
      <c r="AA120" s="7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spans="1:38" ht="13.2">
      <c r="A121" s="6"/>
      <c r="B121" s="6"/>
      <c r="C121" s="6"/>
      <c r="D121" s="6"/>
      <c r="E121" s="6"/>
      <c r="F121" s="7"/>
      <c r="G121" s="6"/>
      <c r="H121" s="6"/>
      <c r="I121" s="6"/>
      <c r="J121" s="180" t="s">
        <v>119</v>
      </c>
      <c r="K121" s="181">
        <f>K120+K119-K118</f>
        <v>146940</v>
      </c>
      <c r="L121" s="6"/>
      <c r="M121" s="6"/>
      <c r="N121" s="6"/>
      <c r="O121" s="6"/>
      <c r="P121" s="6"/>
      <c r="Q121" s="182" t="s">
        <v>122</v>
      </c>
      <c r="R121" s="183">
        <f>496600+151800+198500+76600</f>
        <v>923500</v>
      </c>
      <c r="S121" s="6"/>
      <c r="T121" s="172">
        <f>T118-T119</f>
        <v>8256566</v>
      </c>
      <c r="U121" s="6"/>
      <c r="V121" s="6"/>
      <c r="W121" s="6"/>
      <c r="X121" s="6"/>
      <c r="Y121" s="6"/>
      <c r="Z121" s="6"/>
      <c r="AA121" s="7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spans="1:38" ht="13.2">
      <c r="A122" s="6"/>
      <c r="B122" s="6"/>
      <c r="C122" s="6"/>
      <c r="D122" s="6"/>
      <c r="E122" s="6"/>
      <c r="F122" s="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184" t="s">
        <v>123</v>
      </c>
      <c r="R122" s="171">
        <f>R119-R120-R121</f>
        <v>829500</v>
      </c>
      <c r="S122" s="6"/>
      <c r="T122" s="6"/>
      <c r="U122" s="6"/>
      <c r="V122" s="6"/>
      <c r="W122" s="6"/>
      <c r="X122" s="6"/>
      <c r="Y122" s="6"/>
      <c r="Z122" s="6"/>
      <c r="AA122" s="7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spans="1:38" ht="13.2">
      <c r="A123" s="6"/>
      <c r="B123" s="6"/>
      <c r="C123" s="6"/>
      <c r="D123" s="6"/>
      <c r="E123" s="6"/>
      <c r="F123" s="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7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</row>
    <row r="124" spans="1:38" ht="13.2">
      <c r="A124" s="6"/>
      <c r="B124" s="6"/>
      <c r="C124" s="6"/>
      <c r="D124" s="6"/>
      <c r="E124" s="6"/>
      <c r="F124" s="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185">
        <f>R122+R118+K121</f>
        <v>4359236</v>
      </c>
      <c r="S124" s="6"/>
      <c r="T124" s="6"/>
      <c r="U124" s="6"/>
      <c r="V124" s="6"/>
      <c r="W124" s="6"/>
      <c r="X124" s="6"/>
      <c r="Y124" s="6"/>
      <c r="Z124" s="6"/>
      <c r="AA124" s="7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</row>
    <row r="125" spans="1:38" ht="13.2">
      <c r="A125" s="6"/>
      <c r="B125" s="6"/>
      <c r="C125" s="6"/>
      <c r="D125" s="6"/>
      <c r="E125" s="6"/>
      <c r="F125" s="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7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</row>
    <row r="126" spans="1:38" ht="13.2">
      <c r="A126" s="6"/>
      <c r="B126" s="6"/>
      <c r="C126" s="6"/>
      <c r="D126" s="6"/>
      <c r="E126" s="6"/>
      <c r="F126" s="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7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</row>
    <row r="127" spans="1:38" ht="13.2">
      <c r="A127" s="6"/>
      <c r="B127" s="6"/>
      <c r="C127" s="6"/>
      <c r="D127" s="6"/>
      <c r="E127" s="6"/>
      <c r="F127" s="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7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</row>
    <row r="128" spans="1:38" ht="13.2">
      <c r="A128" s="6"/>
      <c r="B128" s="6"/>
      <c r="C128" s="6"/>
      <c r="D128" s="6"/>
      <c r="E128" s="6"/>
      <c r="F128" s="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7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</row>
    <row r="129" spans="17:18" ht="13.2">
      <c r="Q129" s="6"/>
      <c r="R129" s="6"/>
    </row>
    <row r="130" spans="17:18" ht="13.2">
      <c r="R130" s="6"/>
    </row>
  </sheetData>
  <mergeCells count="9">
    <mergeCell ref="A80:A104"/>
    <mergeCell ref="A105:A108"/>
    <mergeCell ref="A1:B1"/>
    <mergeCell ref="A3:A20"/>
    <mergeCell ref="A21:A33"/>
    <mergeCell ref="A34:A38"/>
    <mergeCell ref="A39:A49"/>
    <mergeCell ref="A50:A63"/>
    <mergeCell ref="A64:A7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Z963"/>
  <sheetViews>
    <sheetView workbookViewId="0"/>
  </sheetViews>
  <sheetFormatPr baseColWidth="10" defaultColWidth="12.6640625" defaultRowHeight="15.75" customHeight="1"/>
  <cols>
    <col min="2" max="2" width="38.21875" customWidth="1"/>
    <col min="8" max="8" width="16" customWidth="1"/>
    <col min="11" max="11" width="15.44140625" customWidth="1"/>
  </cols>
  <sheetData>
    <row r="1" spans="1:26" ht="28.8">
      <c r="A1" s="681" t="s">
        <v>124</v>
      </c>
      <c r="B1" s="652"/>
      <c r="C1" s="1" t="s">
        <v>125</v>
      </c>
      <c r="D1" s="2" t="s">
        <v>126</v>
      </c>
      <c r="E1" s="2" t="s">
        <v>127</v>
      </c>
      <c r="F1" s="2" t="s">
        <v>0</v>
      </c>
      <c r="G1" s="186" t="s">
        <v>1</v>
      </c>
      <c r="H1" s="186" t="s">
        <v>128</v>
      </c>
      <c r="I1" s="187" t="s">
        <v>129</v>
      </c>
      <c r="J1" s="188" t="s">
        <v>130</v>
      </c>
      <c r="K1" s="189" t="s">
        <v>131</v>
      </c>
      <c r="L1" s="190" t="s">
        <v>2</v>
      </c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4.4">
      <c r="A2" s="192"/>
      <c r="B2" s="192"/>
      <c r="C2" s="193"/>
      <c r="D2" s="194"/>
      <c r="E2" s="194"/>
      <c r="F2" s="194"/>
      <c r="G2" s="195"/>
      <c r="H2" s="195"/>
      <c r="I2" s="196"/>
      <c r="J2" s="197"/>
      <c r="K2" s="198"/>
      <c r="L2" s="198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spans="1:26" ht="14.4">
      <c r="A3" s="682" t="s">
        <v>3</v>
      </c>
      <c r="B3" s="199" t="s">
        <v>4</v>
      </c>
      <c r="C3" s="200">
        <f>255+1</f>
        <v>256</v>
      </c>
      <c r="D3" s="201"/>
      <c r="E3" s="201"/>
      <c r="F3" s="202">
        <f t="shared" ref="F3:F21" si="0">+C3+D3-E3</f>
        <v>256</v>
      </c>
      <c r="G3" s="203">
        <v>63202</v>
      </c>
      <c r="H3" s="203">
        <v>65000</v>
      </c>
      <c r="I3" s="204"/>
      <c r="J3" s="205">
        <f t="shared" ref="J3:J21" si="1">+H3*I3</f>
        <v>0</v>
      </c>
      <c r="K3" s="205">
        <f t="shared" ref="K3:K21" si="2">+(H3-G3)*I3</f>
        <v>0</v>
      </c>
      <c r="L3" s="205">
        <f t="shared" ref="L3:L21" si="3">+G3*F3</f>
        <v>16179712</v>
      </c>
      <c r="M3" s="206">
        <f t="shared" ref="M3:M21" si="4">F3*H3</f>
        <v>16640000</v>
      </c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26" ht="14.4">
      <c r="A4" s="654"/>
      <c r="B4" s="199" t="s">
        <v>5</v>
      </c>
      <c r="C4" s="200">
        <v>7.75</v>
      </c>
      <c r="D4" s="201"/>
      <c r="E4" s="201"/>
      <c r="F4" s="202">
        <f t="shared" si="0"/>
        <v>7.75</v>
      </c>
      <c r="G4" s="203">
        <v>60456</v>
      </c>
      <c r="H4" s="203">
        <v>62000</v>
      </c>
      <c r="I4" s="204"/>
      <c r="J4" s="205">
        <f t="shared" si="1"/>
        <v>0</v>
      </c>
      <c r="K4" s="205">
        <f t="shared" si="2"/>
        <v>0</v>
      </c>
      <c r="L4" s="205">
        <f t="shared" si="3"/>
        <v>468534</v>
      </c>
      <c r="M4" s="207">
        <f t="shared" si="4"/>
        <v>480500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26" ht="14.4">
      <c r="A5" s="654"/>
      <c r="B5" s="199" t="s">
        <v>132</v>
      </c>
      <c r="C5" s="200">
        <v>50</v>
      </c>
      <c r="D5" s="201"/>
      <c r="E5" s="201"/>
      <c r="F5" s="202">
        <f t="shared" si="0"/>
        <v>50</v>
      </c>
      <c r="G5" s="203">
        <v>50000</v>
      </c>
      <c r="H5" s="203">
        <v>55000</v>
      </c>
      <c r="I5" s="204"/>
      <c r="J5" s="205">
        <f t="shared" si="1"/>
        <v>0</v>
      </c>
      <c r="K5" s="205">
        <f t="shared" si="2"/>
        <v>0</v>
      </c>
      <c r="L5" s="205">
        <f t="shared" si="3"/>
        <v>2500000</v>
      </c>
      <c r="M5" s="207">
        <f t="shared" si="4"/>
        <v>2750000</v>
      </c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26" ht="14.4">
      <c r="A6" s="654"/>
      <c r="B6" s="199" t="s">
        <v>20</v>
      </c>
      <c r="C6" s="200">
        <v>1</v>
      </c>
      <c r="D6" s="201"/>
      <c r="E6" s="201"/>
      <c r="F6" s="202">
        <f t="shared" si="0"/>
        <v>1</v>
      </c>
      <c r="G6" s="203">
        <v>59000</v>
      </c>
      <c r="H6" s="203">
        <v>62000</v>
      </c>
      <c r="I6" s="204"/>
      <c r="J6" s="205">
        <f t="shared" si="1"/>
        <v>0</v>
      </c>
      <c r="K6" s="205">
        <f t="shared" si="2"/>
        <v>0</v>
      </c>
      <c r="L6" s="205">
        <f t="shared" si="3"/>
        <v>59000</v>
      </c>
      <c r="M6" s="207">
        <f t="shared" si="4"/>
        <v>62000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14.4">
      <c r="A7" s="654"/>
      <c r="B7" s="199" t="s">
        <v>7</v>
      </c>
      <c r="C7" s="200">
        <f>45+5</f>
        <v>50</v>
      </c>
      <c r="D7" s="201"/>
      <c r="E7" s="201"/>
      <c r="F7" s="202">
        <f t="shared" si="0"/>
        <v>50</v>
      </c>
      <c r="G7" s="203">
        <v>50262</v>
      </c>
      <c r="H7" s="203">
        <v>52000</v>
      </c>
      <c r="I7" s="204"/>
      <c r="J7" s="205">
        <f t="shared" si="1"/>
        <v>0</v>
      </c>
      <c r="K7" s="205">
        <f t="shared" si="2"/>
        <v>0</v>
      </c>
      <c r="L7" s="205">
        <f t="shared" si="3"/>
        <v>2513100</v>
      </c>
      <c r="M7" s="207">
        <f t="shared" si="4"/>
        <v>2600000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14.4">
      <c r="A8" s="654"/>
      <c r="B8" s="199" t="s">
        <v>8</v>
      </c>
      <c r="C8" s="200">
        <f>1</f>
        <v>1</v>
      </c>
      <c r="D8" s="201"/>
      <c r="E8" s="201"/>
      <c r="F8" s="202">
        <f t="shared" si="0"/>
        <v>1</v>
      </c>
      <c r="G8" s="203">
        <v>57359</v>
      </c>
      <c r="H8" s="203">
        <v>62000</v>
      </c>
      <c r="I8" s="204"/>
      <c r="J8" s="205">
        <f t="shared" si="1"/>
        <v>0</v>
      </c>
      <c r="K8" s="205">
        <f t="shared" si="2"/>
        <v>0</v>
      </c>
      <c r="L8" s="205">
        <f t="shared" si="3"/>
        <v>57359</v>
      </c>
      <c r="M8" s="207">
        <f t="shared" si="4"/>
        <v>62000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spans="1:26" ht="14.4">
      <c r="A9" s="654"/>
      <c r="B9" s="199" t="s">
        <v>9</v>
      </c>
      <c r="C9" s="200">
        <f>101+46.5+1</f>
        <v>148.5</v>
      </c>
      <c r="D9" s="201"/>
      <c r="E9" s="201"/>
      <c r="F9" s="202">
        <f t="shared" si="0"/>
        <v>148.5</v>
      </c>
      <c r="G9" s="203">
        <v>80000</v>
      </c>
      <c r="H9" s="203">
        <v>85000</v>
      </c>
      <c r="I9" s="204"/>
      <c r="J9" s="205">
        <f t="shared" si="1"/>
        <v>0</v>
      </c>
      <c r="K9" s="205">
        <f t="shared" si="2"/>
        <v>0</v>
      </c>
      <c r="L9" s="205">
        <f t="shared" si="3"/>
        <v>11880000</v>
      </c>
      <c r="M9" s="207">
        <f t="shared" si="4"/>
        <v>12622500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spans="1:26" ht="14.4">
      <c r="A10" s="654"/>
      <c r="B10" s="199" t="s">
        <v>133</v>
      </c>
      <c r="C10" s="208">
        <v>3</v>
      </c>
      <c r="D10" s="201"/>
      <c r="E10" s="201"/>
      <c r="F10" s="202">
        <f t="shared" si="0"/>
        <v>3</v>
      </c>
      <c r="G10" s="203">
        <v>84091</v>
      </c>
      <c r="H10" s="203">
        <v>85000</v>
      </c>
      <c r="I10" s="204"/>
      <c r="J10" s="205">
        <f t="shared" si="1"/>
        <v>0</v>
      </c>
      <c r="K10" s="205">
        <f t="shared" si="2"/>
        <v>0</v>
      </c>
      <c r="L10" s="205">
        <f t="shared" si="3"/>
        <v>252273</v>
      </c>
      <c r="M10" s="207">
        <f t="shared" si="4"/>
        <v>255000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spans="1:26" ht="14.4">
      <c r="A11" s="654"/>
      <c r="B11" s="199" t="s">
        <v>10</v>
      </c>
      <c r="C11" s="200"/>
      <c r="D11" s="201"/>
      <c r="E11" s="201"/>
      <c r="F11" s="202">
        <f t="shared" si="0"/>
        <v>0</v>
      </c>
      <c r="G11" s="203">
        <v>84091</v>
      </c>
      <c r="H11" s="203">
        <v>85000</v>
      </c>
      <c r="I11" s="204"/>
      <c r="J11" s="205">
        <f t="shared" si="1"/>
        <v>0</v>
      </c>
      <c r="K11" s="205">
        <f t="shared" si="2"/>
        <v>0</v>
      </c>
      <c r="L11" s="205">
        <f t="shared" si="3"/>
        <v>0</v>
      </c>
      <c r="M11" s="207">
        <f t="shared" si="4"/>
        <v>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spans="1:26" ht="14.4">
      <c r="A12" s="654"/>
      <c r="B12" s="199" t="s">
        <v>11</v>
      </c>
      <c r="C12" s="200">
        <f>24+2</f>
        <v>26</v>
      </c>
      <c r="D12" s="201"/>
      <c r="E12" s="201"/>
      <c r="F12" s="202">
        <f t="shared" si="0"/>
        <v>26</v>
      </c>
      <c r="G12" s="203">
        <v>50682</v>
      </c>
      <c r="H12" s="203">
        <v>52000</v>
      </c>
      <c r="I12" s="204"/>
      <c r="J12" s="205">
        <f t="shared" si="1"/>
        <v>0</v>
      </c>
      <c r="K12" s="205">
        <f t="shared" si="2"/>
        <v>0</v>
      </c>
      <c r="L12" s="205">
        <f t="shared" si="3"/>
        <v>1317732</v>
      </c>
      <c r="M12" s="207">
        <f t="shared" si="4"/>
        <v>1352000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spans="1:26" ht="14.4">
      <c r="A13" s="654"/>
      <c r="B13" s="199" t="s">
        <v>12</v>
      </c>
      <c r="C13" s="200">
        <f>9+2</f>
        <v>11</v>
      </c>
      <c r="D13" s="201"/>
      <c r="E13" s="201"/>
      <c r="F13" s="202">
        <f t="shared" si="0"/>
        <v>11</v>
      </c>
      <c r="G13" s="203">
        <v>59857</v>
      </c>
      <c r="H13" s="203">
        <v>61000</v>
      </c>
      <c r="I13" s="204"/>
      <c r="J13" s="205">
        <f t="shared" si="1"/>
        <v>0</v>
      </c>
      <c r="K13" s="205">
        <f t="shared" si="2"/>
        <v>0</v>
      </c>
      <c r="L13" s="205">
        <f t="shared" si="3"/>
        <v>658427</v>
      </c>
      <c r="M13" s="207">
        <f t="shared" si="4"/>
        <v>671000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spans="1:26" ht="14.4">
      <c r="A14" s="654"/>
      <c r="B14" s="199" t="s">
        <v>13</v>
      </c>
      <c r="C14" s="200">
        <f>397+1</f>
        <v>398</v>
      </c>
      <c r="D14" s="201"/>
      <c r="E14" s="201"/>
      <c r="F14" s="202">
        <f t="shared" si="0"/>
        <v>398</v>
      </c>
      <c r="G14" s="203">
        <v>45494</v>
      </c>
      <c r="H14" s="203">
        <v>47000</v>
      </c>
      <c r="I14" s="204"/>
      <c r="J14" s="205">
        <f t="shared" si="1"/>
        <v>0</v>
      </c>
      <c r="K14" s="205">
        <f t="shared" si="2"/>
        <v>0</v>
      </c>
      <c r="L14" s="205">
        <f t="shared" si="3"/>
        <v>18106612</v>
      </c>
      <c r="M14" s="207">
        <f t="shared" si="4"/>
        <v>18706000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spans="1:26" ht="14.4">
      <c r="A15" s="654"/>
      <c r="B15" s="209" t="s">
        <v>14</v>
      </c>
      <c r="C15" s="200"/>
      <c r="D15" s="201"/>
      <c r="E15" s="201"/>
      <c r="F15" s="202">
        <f t="shared" si="0"/>
        <v>0</v>
      </c>
      <c r="G15" s="203">
        <v>84091</v>
      </c>
      <c r="H15" s="203">
        <v>85000</v>
      </c>
      <c r="I15" s="204"/>
      <c r="J15" s="205">
        <f t="shared" si="1"/>
        <v>0</v>
      </c>
      <c r="K15" s="205">
        <f t="shared" si="2"/>
        <v>0</v>
      </c>
      <c r="L15" s="205">
        <f t="shared" si="3"/>
        <v>0</v>
      </c>
      <c r="M15" s="207">
        <f t="shared" si="4"/>
        <v>0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ht="14.4">
      <c r="A16" s="654"/>
      <c r="B16" s="209" t="s">
        <v>15</v>
      </c>
      <c r="C16" s="200">
        <v>10</v>
      </c>
      <c r="D16" s="201"/>
      <c r="E16" s="201"/>
      <c r="F16" s="202">
        <f t="shared" si="0"/>
        <v>10</v>
      </c>
      <c r="G16" s="203">
        <v>42676</v>
      </c>
      <c r="H16" s="203">
        <v>44000</v>
      </c>
      <c r="I16" s="204"/>
      <c r="J16" s="205">
        <f t="shared" si="1"/>
        <v>0</v>
      </c>
      <c r="K16" s="205">
        <f t="shared" si="2"/>
        <v>0</v>
      </c>
      <c r="L16" s="205">
        <f t="shared" si="3"/>
        <v>426760</v>
      </c>
      <c r="M16" s="207">
        <f t="shared" si="4"/>
        <v>440000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ht="14.4">
      <c r="A17" s="654"/>
      <c r="B17" s="209" t="s">
        <v>134</v>
      </c>
      <c r="C17" s="200">
        <v>22</v>
      </c>
      <c r="D17" s="201"/>
      <c r="E17" s="201"/>
      <c r="F17" s="202">
        <f t="shared" si="0"/>
        <v>22</v>
      </c>
      <c r="G17" s="203">
        <v>60500</v>
      </c>
      <c r="H17" s="203">
        <v>63000</v>
      </c>
      <c r="I17" s="204"/>
      <c r="J17" s="205">
        <f t="shared" si="1"/>
        <v>0</v>
      </c>
      <c r="K17" s="205">
        <f t="shared" si="2"/>
        <v>0</v>
      </c>
      <c r="L17" s="205">
        <f t="shared" si="3"/>
        <v>1331000</v>
      </c>
      <c r="M17" s="207">
        <f t="shared" si="4"/>
        <v>1386000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spans="1:26" ht="14.4">
      <c r="A18" s="654"/>
      <c r="B18" s="199" t="s">
        <v>17</v>
      </c>
      <c r="C18" s="200">
        <f>88.5+3</f>
        <v>91.5</v>
      </c>
      <c r="D18" s="201"/>
      <c r="E18" s="201"/>
      <c r="F18" s="202">
        <f t="shared" si="0"/>
        <v>91.5</v>
      </c>
      <c r="G18" s="210">
        <v>67780</v>
      </c>
      <c r="H18" s="210">
        <v>69000</v>
      </c>
      <c r="I18" s="204"/>
      <c r="J18" s="205">
        <f t="shared" si="1"/>
        <v>0</v>
      </c>
      <c r="K18" s="205">
        <f t="shared" si="2"/>
        <v>0</v>
      </c>
      <c r="L18" s="205">
        <f t="shared" si="3"/>
        <v>6201870</v>
      </c>
      <c r="M18" s="207">
        <f t="shared" si="4"/>
        <v>6313500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4.4">
      <c r="A19" s="654"/>
      <c r="B19" s="211" t="s">
        <v>18</v>
      </c>
      <c r="C19" s="200">
        <f>130+2</f>
        <v>132</v>
      </c>
      <c r="D19" s="201"/>
      <c r="E19" s="201"/>
      <c r="F19" s="202">
        <f t="shared" si="0"/>
        <v>132</v>
      </c>
      <c r="G19" s="210">
        <v>63202</v>
      </c>
      <c r="H19" s="210">
        <v>65000</v>
      </c>
      <c r="I19" s="204"/>
      <c r="J19" s="205">
        <f t="shared" si="1"/>
        <v>0</v>
      </c>
      <c r="K19" s="205">
        <f t="shared" si="2"/>
        <v>0</v>
      </c>
      <c r="L19" s="205">
        <f t="shared" si="3"/>
        <v>8342664</v>
      </c>
      <c r="M19" s="207">
        <f t="shared" si="4"/>
        <v>8580000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spans="1:26" ht="14.4">
      <c r="A20" s="654"/>
      <c r="B20" s="211" t="s">
        <v>135</v>
      </c>
      <c r="C20" s="200">
        <v>2</v>
      </c>
      <c r="D20" s="201"/>
      <c r="E20" s="201"/>
      <c r="F20" s="202">
        <f t="shared" si="0"/>
        <v>2</v>
      </c>
      <c r="G20" s="210">
        <v>63954</v>
      </c>
      <c r="H20" s="210">
        <v>63000</v>
      </c>
      <c r="I20" s="204"/>
      <c r="J20" s="205">
        <f t="shared" si="1"/>
        <v>0</v>
      </c>
      <c r="K20" s="205">
        <f t="shared" si="2"/>
        <v>0</v>
      </c>
      <c r="L20" s="205">
        <f t="shared" si="3"/>
        <v>127908</v>
      </c>
      <c r="M20" s="207">
        <f t="shared" si="4"/>
        <v>126000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spans="1:26" ht="14.4">
      <c r="A21" s="654"/>
      <c r="B21" s="211" t="s">
        <v>136</v>
      </c>
      <c r="C21" s="200"/>
      <c r="D21" s="201"/>
      <c r="E21" s="201"/>
      <c r="F21" s="202">
        <f t="shared" si="0"/>
        <v>0</v>
      </c>
      <c r="G21" s="212">
        <v>60453</v>
      </c>
      <c r="H21" s="212">
        <v>62000</v>
      </c>
      <c r="I21" s="213"/>
      <c r="J21" s="205">
        <f t="shared" si="1"/>
        <v>0</v>
      </c>
      <c r="K21" s="205">
        <f t="shared" si="2"/>
        <v>0</v>
      </c>
      <c r="L21" s="205">
        <f t="shared" si="3"/>
        <v>0</v>
      </c>
      <c r="M21" s="214">
        <f t="shared" si="4"/>
        <v>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spans="1:26" ht="14.4">
      <c r="A22" s="655"/>
      <c r="B22" s="215"/>
      <c r="C22" s="216">
        <f t="shared" ref="C22:F22" si="5">+SUM(C3:C18)</f>
        <v>1075.75</v>
      </c>
      <c r="D22" s="216">
        <f t="shared" si="5"/>
        <v>0</v>
      </c>
      <c r="E22" s="216">
        <f t="shared" si="5"/>
        <v>0</v>
      </c>
      <c r="F22" s="216">
        <f t="shared" si="5"/>
        <v>1075.75</v>
      </c>
      <c r="G22" s="217">
        <f t="shared" ref="G22:M22" si="6">SUM(G3:G21)</f>
        <v>1187150</v>
      </c>
      <c r="H22" s="217">
        <f t="shared" si="6"/>
        <v>1224000</v>
      </c>
      <c r="I22" s="218">
        <f t="shared" si="6"/>
        <v>0</v>
      </c>
      <c r="J22" s="219">
        <f t="shared" si="6"/>
        <v>0</v>
      </c>
      <c r="K22" s="220">
        <f t="shared" si="6"/>
        <v>0</v>
      </c>
      <c r="L22" s="220">
        <f t="shared" si="6"/>
        <v>70422951</v>
      </c>
      <c r="M22" s="221">
        <f t="shared" si="6"/>
        <v>73046500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spans="1:26" ht="14.4">
      <c r="A23" s="683" t="s">
        <v>137</v>
      </c>
      <c r="B23" s="222" t="s">
        <v>138</v>
      </c>
      <c r="C23" s="223">
        <v>0.75</v>
      </c>
      <c r="D23" s="201"/>
      <c r="E23" s="201"/>
      <c r="F23" s="202">
        <f t="shared" ref="F23:F59" si="7">+C23+D23-E23</f>
        <v>0.75</v>
      </c>
      <c r="G23" s="203">
        <v>43252</v>
      </c>
      <c r="H23" s="203">
        <v>44000</v>
      </c>
      <c r="I23" s="224"/>
      <c r="J23" s="205">
        <f t="shared" ref="J23:J59" si="8">+I23*H23</f>
        <v>0</v>
      </c>
      <c r="K23" s="205">
        <f t="shared" ref="K23:K59" si="9">+(H23-G23)*I23</f>
        <v>0</v>
      </c>
      <c r="L23" s="225">
        <f t="shared" ref="L23:L59" si="10">+G23*F23</f>
        <v>32439</v>
      </c>
      <c r="M23" s="226">
        <f t="shared" ref="M23:M59" si="11">F23*H23</f>
        <v>33000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spans="1:26" ht="14.4">
      <c r="A24" s="684"/>
      <c r="B24" s="222" t="s">
        <v>21</v>
      </c>
      <c r="C24" s="227">
        <v>863</v>
      </c>
      <c r="D24" s="201"/>
      <c r="E24" s="201"/>
      <c r="F24" s="202">
        <f t="shared" si="7"/>
        <v>863</v>
      </c>
      <c r="G24" s="203">
        <v>62000</v>
      </c>
      <c r="H24" s="203">
        <v>67000</v>
      </c>
      <c r="I24" s="224"/>
      <c r="J24" s="205">
        <f t="shared" si="8"/>
        <v>0</v>
      </c>
      <c r="K24" s="205">
        <f t="shared" si="9"/>
        <v>0</v>
      </c>
      <c r="L24" s="225">
        <f t="shared" si="10"/>
        <v>53506000</v>
      </c>
      <c r="M24" s="226">
        <f t="shared" si="11"/>
        <v>57821000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spans="1:26" ht="14.4">
      <c r="A25" s="684"/>
      <c r="B25" s="222" t="s">
        <v>139</v>
      </c>
      <c r="C25" s="227">
        <v>4</v>
      </c>
      <c r="D25" s="201"/>
      <c r="E25" s="201"/>
      <c r="F25" s="202">
        <f t="shared" si="7"/>
        <v>4</v>
      </c>
      <c r="G25" s="203">
        <v>41000</v>
      </c>
      <c r="H25" s="203">
        <v>44000</v>
      </c>
      <c r="I25" s="224"/>
      <c r="J25" s="205">
        <f t="shared" si="8"/>
        <v>0</v>
      </c>
      <c r="K25" s="205">
        <f t="shared" si="9"/>
        <v>0</v>
      </c>
      <c r="L25" s="225">
        <f t="shared" si="10"/>
        <v>164000</v>
      </c>
      <c r="M25" s="226">
        <f t="shared" si="11"/>
        <v>176000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26" ht="14.4">
      <c r="A26" s="684"/>
      <c r="B26" s="222" t="s">
        <v>140</v>
      </c>
      <c r="C26" s="227"/>
      <c r="D26" s="201"/>
      <c r="E26" s="201"/>
      <c r="F26" s="202">
        <f t="shared" si="7"/>
        <v>0</v>
      </c>
      <c r="G26" s="203">
        <v>53523</v>
      </c>
      <c r="H26" s="203">
        <v>50000</v>
      </c>
      <c r="I26" s="224"/>
      <c r="J26" s="205">
        <f t="shared" si="8"/>
        <v>0</v>
      </c>
      <c r="K26" s="205">
        <f t="shared" si="9"/>
        <v>0</v>
      </c>
      <c r="L26" s="225">
        <f t="shared" si="10"/>
        <v>0</v>
      </c>
      <c r="M26" s="226">
        <f t="shared" si="11"/>
        <v>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t="14.4">
      <c r="A27" s="684"/>
      <c r="B27" s="222" t="s">
        <v>141</v>
      </c>
      <c r="C27" s="227">
        <v>7.75</v>
      </c>
      <c r="D27" s="201"/>
      <c r="E27" s="201"/>
      <c r="F27" s="202">
        <f t="shared" si="7"/>
        <v>7.75</v>
      </c>
      <c r="G27" s="203">
        <v>39714</v>
      </c>
      <c r="H27" s="203">
        <v>42000</v>
      </c>
      <c r="I27" s="224"/>
      <c r="J27" s="205">
        <f t="shared" si="8"/>
        <v>0</v>
      </c>
      <c r="K27" s="205">
        <f t="shared" si="9"/>
        <v>0</v>
      </c>
      <c r="L27" s="225">
        <f t="shared" si="10"/>
        <v>307783.5</v>
      </c>
      <c r="M27" s="226">
        <f t="shared" si="11"/>
        <v>325500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spans="1:26" ht="14.4">
      <c r="A28" s="684"/>
      <c r="B28" s="222" t="s">
        <v>142</v>
      </c>
      <c r="C28" s="227">
        <v>0.75</v>
      </c>
      <c r="D28" s="201"/>
      <c r="E28" s="201"/>
      <c r="F28" s="202">
        <f t="shared" si="7"/>
        <v>0.75</v>
      </c>
      <c r="G28" s="203">
        <v>80900</v>
      </c>
      <c r="H28" s="203">
        <v>84000</v>
      </c>
      <c r="I28" s="224"/>
      <c r="J28" s="205">
        <f t="shared" si="8"/>
        <v>0</v>
      </c>
      <c r="K28" s="205">
        <f t="shared" si="9"/>
        <v>0</v>
      </c>
      <c r="L28" s="225">
        <f t="shared" si="10"/>
        <v>60675</v>
      </c>
      <c r="M28" s="226">
        <f t="shared" si="11"/>
        <v>63000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spans="1:26" ht="14.4">
      <c r="A29" s="684"/>
      <c r="B29" s="222" t="s">
        <v>143</v>
      </c>
      <c r="C29" s="227">
        <v>14</v>
      </c>
      <c r="D29" s="201"/>
      <c r="E29" s="201"/>
      <c r="F29" s="202">
        <f t="shared" si="7"/>
        <v>14</v>
      </c>
      <c r="G29" s="203">
        <v>71369</v>
      </c>
      <c r="H29" s="203">
        <v>73000</v>
      </c>
      <c r="I29" s="224"/>
      <c r="J29" s="205">
        <f t="shared" si="8"/>
        <v>0</v>
      </c>
      <c r="K29" s="205">
        <f t="shared" si="9"/>
        <v>0</v>
      </c>
      <c r="L29" s="225">
        <f t="shared" si="10"/>
        <v>999166</v>
      </c>
      <c r="M29" s="226">
        <f t="shared" si="11"/>
        <v>1022000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spans="1:26" ht="14.4">
      <c r="A30" s="684"/>
      <c r="B30" s="222" t="s">
        <v>144</v>
      </c>
      <c r="C30" s="227">
        <f>140</f>
        <v>140</v>
      </c>
      <c r="D30" s="201"/>
      <c r="E30" s="201"/>
      <c r="F30" s="202">
        <f t="shared" si="7"/>
        <v>140</v>
      </c>
      <c r="G30" s="203">
        <v>47000</v>
      </c>
      <c r="H30" s="203">
        <v>53000</v>
      </c>
      <c r="I30" s="224"/>
      <c r="J30" s="205">
        <f t="shared" si="8"/>
        <v>0</v>
      </c>
      <c r="K30" s="205">
        <f t="shared" si="9"/>
        <v>0</v>
      </c>
      <c r="L30" s="225">
        <f t="shared" si="10"/>
        <v>6580000</v>
      </c>
      <c r="M30" s="226">
        <f t="shared" si="11"/>
        <v>7420000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spans="1:26" ht="14.4">
      <c r="A31" s="684"/>
      <c r="B31" s="222" t="s">
        <v>145</v>
      </c>
      <c r="C31" s="227"/>
      <c r="D31" s="201"/>
      <c r="E31" s="201"/>
      <c r="F31" s="202">
        <f t="shared" si="7"/>
        <v>0</v>
      </c>
      <c r="G31" s="203">
        <v>51536</v>
      </c>
      <c r="H31" s="203">
        <v>53000</v>
      </c>
      <c r="I31" s="224"/>
      <c r="J31" s="205">
        <f t="shared" si="8"/>
        <v>0</v>
      </c>
      <c r="K31" s="205">
        <f t="shared" si="9"/>
        <v>0</v>
      </c>
      <c r="L31" s="225">
        <f t="shared" si="10"/>
        <v>0</v>
      </c>
      <c r="M31" s="226">
        <f t="shared" si="11"/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spans="1:26" ht="14.4">
      <c r="A32" s="684"/>
      <c r="B32" s="222" t="s">
        <v>146</v>
      </c>
      <c r="C32" s="227">
        <v>5</v>
      </c>
      <c r="D32" s="201"/>
      <c r="E32" s="201"/>
      <c r="F32" s="202">
        <f t="shared" si="7"/>
        <v>5</v>
      </c>
      <c r="G32" s="203">
        <v>71369</v>
      </c>
      <c r="H32" s="203">
        <v>73000</v>
      </c>
      <c r="I32" s="224"/>
      <c r="J32" s="205">
        <f t="shared" si="8"/>
        <v>0</v>
      </c>
      <c r="K32" s="205">
        <f t="shared" si="9"/>
        <v>0</v>
      </c>
      <c r="L32" s="225">
        <f t="shared" si="10"/>
        <v>356845</v>
      </c>
      <c r="M32" s="226">
        <f t="shared" si="11"/>
        <v>365000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spans="1:26" ht="14.4">
      <c r="A33" s="684"/>
      <c r="B33" s="228" t="s">
        <v>147</v>
      </c>
      <c r="C33" s="229"/>
      <c r="D33" s="201"/>
      <c r="E33" s="201"/>
      <c r="F33" s="202">
        <f t="shared" si="7"/>
        <v>0</v>
      </c>
      <c r="G33" s="203">
        <v>71369</v>
      </c>
      <c r="H33" s="203">
        <v>73000</v>
      </c>
      <c r="I33" s="224"/>
      <c r="J33" s="205">
        <f t="shared" si="8"/>
        <v>0</v>
      </c>
      <c r="K33" s="205">
        <f t="shared" si="9"/>
        <v>0</v>
      </c>
      <c r="L33" s="225">
        <f t="shared" si="10"/>
        <v>0</v>
      </c>
      <c r="M33" s="226">
        <f t="shared" si="11"/>
        <v>0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spans="1:26" ht="14.4">
      <c r="A34" s="684"/>
      <c r="B34" s="222" t="s">
        <v>148</v>
      </c>
      <c r="C34" s="229">
        <v>1</v>
      </c>
      <c r="D34" s="201"/>
      <c r="E34" s="201"/>
      <c r="F34" s="202">
        <f t="shared" si="7"/>
        <v>1</v>
      </c>
      <c r="G34" s="203">
        <v>71369</v>
      </c>
      <c r="H34" s="203">
        <v>73000</v>
      </c>
      <c r="I34" s="224"/>
      <c r="J34" s="205">
        <f t="shared" si="8"/>
        <v>0</v>
      </c>
      <c r="K34" s="205">
        <f t="shared" si="9"/>
        <v>0</v>
      </c>
      <c r="L34" s="225">
        <f t="shared" si="10"/>
        <v>71369</v>
      </c>
      <c r="M34" s="226">
        <f t="shared" si="11"/>
        <v>73000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spans="1:26" ht="14.4">
      <c r="A35" s="684"/>
      <c r="B35" s="222" t="s">
        <v>149</v>
      </c>
      <c r="C35" s="229">
        <v>1.5</v>
      </c>
      <c r="D35" s="201"/>
      <c r="E35" s="201"/>
      <c r="F35" s="202">
        <f t="shared" si="7"/>
        <v>1.5</v>
      </c>
      <c r="G35" s="203">
        <v>25500</v>
      </c>
      <c r="H35" s="203">
        <v>26000</v>
      </c>
      <c r="I35" s="224"/>
      <c r="J35" s="205">
        <f t="shared" si="8"/>
        <v>0</v>
      </c>
      <c r="K35" s="205">
        <f t="shared" si="9"/>
        <v>0</v>
      </c>
      <c r="L35" s="225">
        <f t="shared" si="10"/>
        <v>38250</v>
      </c>
      <c r="M35" s="226">
        <f t="shared" si="11"/>
        <v>39000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spans="1:26" ht="14.4">
      <c r="A36" s="684"/>
      <c r="B36" s="222" t="s">
        <v>150</v>
      </c>
      <c r="C36" s="227"/>
      <c r="D36" s="201"/>
      <c r="E36" s="201"/>
      <c r="F36" s="202">
        <f t="shared" si="7"/>
        <v>0</v>
      </c>
      <c r="G36" s="203">
        <v>44000</v>
      </c>
      <c r="H36" s="203">
        <v>50000</v>
      </c>
      <c r="I36" s="224"/>
      <c r="J36" s="205">
        <f t="shared" si="8"/>
        <v>0</v>
      </c>
      <c r="K36" s="205">
        <f t="shared" si="9"/>
        <v>0</v>
      </c>
      <c r="L36" s="225">
        <f t="shared" si="10"/>
        <v>0</v>
      </c>
      <c r="M36" s="226">
        <f t="shared" si="11"/>
        <v>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spans="1:26" ht="14.4">
      <c r="A37" s="684"/>
      <c r="B37" s="222" t="s">
        <v>151</v>
      </c>
      <c r="C37" s="227">
        <v>5</v>
      </c>
      <c r="D37" s="201"/>
      <c r="E37" s="201"/>
      <c r="F37" s="202">
        <f t="shared" si="7"/>
        <v>5</v>
      </c>
      <c r="G37" s="203">
        <v>34500</v>
      </c>
      <c r="H37" s="203">
        <v>36000</v>
      </c>
      <c r="I37" s="224"/>
      <c r="J37" s="205">
        <f t="shared" si="8"/>
        <v>0</v>
      </c>
      <c r="K37" s="205">
        <f t="shared" si="9"/>
        <v>0</v>
      </c>
      <c r="L37" s="225">
        <f t="shared" si="10"/>
        <v>172500</v>
      </c>
      <c r="M37" s="226">
        <f t="shared" si="11"/>
        <v>180000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spans="1:26" ht="14.4">
      <c r="A38" s="684"/>
      <c r="B38" s="222" t="s">
        <v>152</v>
      </c>
      <c r="C38" s="227">
        <f>39.75</f>
        <v>39.75</v>
      </c>
      <c r="D38" s="201"/>
      <c r="E38" s="201"/>
      <c r="F38" s="202">
        <f t="shared" si="7"/>
        <v>39.75</v>
      </c>
      <c r="G38" s="203">
        <v>79000</v>
      </c>
      <c r="H38" s="203">
        <v>88000</v>
      </c>
      <c r="I38" s="224"/>
      <c r="J38" s="205">
        <f t="shared" si="8"/>
        <v>0</v>
      </c>
      <c r="K38" s="205">
        <f t="shared" si="9"/>
        <v>0</v>
      </c>
      <c r="L38" s="225">
        <f t="shared" si="10"/>
        <v>3140250</v>
      </c>
      <c r="M38" s="226">
        <f t="shared" si="11"/>
        <v>3498000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spans="1:26" ht="14.4">
      <c r="A39" s="684"/>
      <c r="B39" s="222" t="s">
        <v>153</v>
      </c>
      <c r="C39" s="227">
        <f>9.5</f>
        <v>9.5</v>
      </c>
      <c r="D39" s="201"/>
      <c r="E39" s="201"/>
      <c r="F39" s="202">
        <f t="shared" si="7"/>
        <v>9.5</v>
      </c>
      <c r="G39" s="203">
        <v>82280</v>
      </c>
      <c r="H39" s="203">
        <v>86000</v>
      </c>
      <c r="I39" s="224"/>
      <c r="J39" s="205">
        <f t="shared" si="8"/>
        <v>0</v>
      </c>
      <c r="K39" s="205">
        <f t="shared" si="9"/>
        <v>0</v>
      </c>
      <c r="L39" s="225">
        <f t="shared" si="10"/>
        <v>781660</v>
      </c>
      <c r="M39" s="226">
        <f t="shared" si="11"/>
        <v>817000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spans="1:26" ht="14.4">
      <c r="A40" s="684"/>
      <c r="B40" s="222" t="s">
        <v>154</v>
      </c>
      <c r="C40" s="227">
        <v>54</v>
      </c>
      <c r="D40" s="201"/>
      <c r="E40" s="201"/>
      <c r="F40" s="202">
        <f t="shared" si="7"/>
        <v>54</v>
      </c>
      <c r="G40" s="203">
        <v>59000</v>
      </c>
      <c r="H40" s="203">
        <v>64000</v>
      </c>
      <c r="I40" s="224"/>
      <c r="J40" s="205">
        <f t="shared" si="8"/>
        <v>0</v>
      </c>
      <c r="K40" s="205">
        <f t="shared" si="9"/>
        <v>0</v>
      </c>
      <c r="L40" s="225">
        <f t="shared" si="10"/>
        <v>3186000</v>
      </c>
      <c r="M40" s="226">
        <f t="shared" si="11"/>
        <v>3456000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spans="1:26" ht="14.4">
      <c r="A41" s="684"/>
      <c r="B41" s="222" t="s">
        <v>155</v>
      </c>
      <c r="C41" s="227"/>
      <c r="D41" s="201"/>
      <c r="E41" s="201"/>
      <c r="F41" s="202">
        <f t="shared" si="7"/>
        <v>0</v>
      </c>
      <c r="G41" s="203">
        <v>25555</v>
      </c>
      <c r="H41" s="203">
        <v>27000</v>
      </c>
      <c r="I41" s="224"/>
      <c r="J41" s="205">
        <f t="shared" si="8"/>
        <v>0</v>
      </c>
      <c r="K41" s="205">
        <f t="shared" si="9"/>
        <v>0</v>
      </c>
      <c r="L41" s="225">
        <f t="shared" si="10"/>
        <v>0</v>
      </c>
      <c r="M41" s="226">
        <f t="shared" si="11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spans="1:26" ht="14.4">
      <c r="A42" s="684"/>
      <c r="B42" s="222" t="s">
        <v>22</v>
      </c>
      <c r="C42" s="227">
        <f>312.5</f>
        <v>312.5</v>
      </c>
      <c r="D42" s="201"/>
      <c r="E42" s="201"/>
      <c r="F42" s="202">
        <f t="shared" si="7"/>
        <v>312.5</v>
      </c>
      <c r="G42" s="203">
        <v>62000</v>
      </c>
      <c r="H42" s="203">
        <v>66000</v>
      </c>
      <c r="I42" s="224"/>
      <c r="J42" s="205">
        <f t="shared" si="8"/>
        <v>0</v>
      </c>
      <c r="K42" s="205">
        <f t="shared" si="9"/>
        <v>0</v>
      </c>
      <c r="L42" s="225">
        <f t="shared" si="10"/>
        <v>19375000</v>
      </c>
      <c r="M42" s="226">
        <f t="shared" si="11"/>
        <v>20625000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spans="1:26" ht="14.4">
      <c r="A43" s="684"/>
      <c r="B43" s="222" t="s">
        <v>23</v>
      </c>
      <c r="C43" s="227">
        <f>8+1</f>
        <v>9</v>
      </c>
      <c r="D43" s="201"/>
      <c r="E43" s="201"/>
      <c r="F43" s="202">
        <f t="shared" si="7"/>
        <v>9</v>
      </c>
      <c r="G43" s="203">
        <v>42000</v>
      </c>
      <c r="H43" s="203">
        <v>48000</v>
      </c>
      <c r="I43" s="224"/>
      <c r="J43" s="205">
        <f t="shared" si="8"/>
        <v>0</v>
      </c>
      <c r="K43" s="205">
        <f t="shared" si="9"/>
        <v>0</v>
      </c>
      <c r="L43" s="225">
        <f t="shared" si="10"/>
        <v>378000</v>
      </c>
      <c r="M43" s="226">
        <f t="shared" si="11"/>
        <v>432000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spans="1:26" ht="14.4">
      <c r="A44" s="684"/>
      <c r="B44" s="222" t="s">
        <v>156</v>
      </c>
      <c r="C44" s="227">
        <f>195</f>
        <v>195</v>
      </c>
      <c r="D44" s="201"/>
      <c r="E44" s="201"/>
      <c r="F44" s="202">
        <f t="shared" si="7"/>
        <v>195</v>
      </c>
      <c r="G44" s="203">
        <v>37084</v>
      </c>
      <c r="H44" s="203">
        <v>40000</v>
      </c>
      <c r="I44" s="224"/>
      <c r="J44" s="205">
        <f t="shared" si="8"/>
        <v>0</v>
      </c>
      <c r="K44" s="205">
        <f t="shared" si="9"/>
        <v>0</v>
      </c>
      <c r="L44" s="225">
        <f t="shared" si="10"/>
        <v>7231380</v>
      </c>
      <c r="M44" s="226">
        <f t="shared" si="11"/>
        <v>7800000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spans="1:26" ht="14.4">
      <c r="A45" s="684"/>
      <c r="B45" s="230" t="s">
        <v>157</v>
      </c>
      <c r="C45" s="229">
        <v>32</v>
      </c>
      <c r="D45" s="201"/>
      <c r="E45" s="201"/>
      <c r="F45" s="202">
        <f t="shared" si="7"/>
        <v>32</v>
      </c>
      <c r="G45" s="203">
        <v>29750</v>
      </c>
      <c r="H45" s="203">
        <v>31500</v>
      </c>
      <c r="I45" s="224"/>
      <c r="J45" s="205">
        <f t="shared" si="8"/>
        <v>0</v>
      </c>
      <c r="K45" s="205">
        <f t="shared" si="9"/>
        <v>0</v>
      </c>
      <c r="L45" s="225">
        <f t="shared" si="10"/>
        <v>952000</v>
      </c>
      <c r="M45" s="226">
        <f t="shared" si="11"/>
        <v>1008000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spans="1:26" ht="14.4">
      <c r="A46" s="684"/>
      <c r="B46" s="231" t="s">
        <v>158</v>
      </c>
      <c r="C46" s="232">
        <v>195</v>
      </c>
      <c r="D46" s="233"/>
      <c r="E46" s="233"/>
      <c r="F46" s="234">
        <f t="shared" si="7"/>
        <v>195</v>
      </c>
      <c r="G46" s="235">
        <v>6200</v>
      </c>
      <c r="H46" s="235">
        <v>7000</v>
      </c>
      <c r="I46" s="224"/>
      <c r="J46" s="205">
        <f t="shared" si="8"/>
        <v>0</v>
      </c>
      <c r="K46" s="205">
        <f t="shared" si="9"/>
        <v>0</v>
      </c>
      <c r="L46" s="225">
        <f t="shared" si="10"/>
        <v>1209000</v>
      </c>
      <c r="M46" s="226">
        <f t="shared" si="11"/>
        <v>1365000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spans="1:26" ht="14.4">
      <c r="A47" s="684"/>
      <c r="B47" s="231" t="s">
        <v>159</v>
      </c>
      <c r="C47" s="232">
        <v>15</v>
      </c>
      <c r="D47" s="233"/>
      <c r="E47" s="233"/>
      <c r="F47" s="234">
        <f t="shared" si="7"/>
        <v>15</v>
      </c>
      <c r="G47" s="235">
        <v>3000</v>
      </c>
      <c r="H47" s="235">
        <v>3300</v>
      </c>
      <c r="I47" s="224"/>
      <c r="J47" s="205">
        <f t="shared" si="8"/>
        <v>0</v>
      </c>
      <c r="K47" s="205">
        <f t="shared" si="9"/>
        <v>0</v>
      </c>
      <c r="L47" s="225">
        <f t="shared" si="10"/>
        <v>45000</v>
      </c>
      <c r="M47" s="226">
        <f t="shared" si="11"/>
        <v>49500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spans="1:26" ht="14.4">
      <c r="A48" s="684"/>
      <c r="B48" s="230" t="s">
        <v>160</v>
      </c>
      <c r="C48" s="236"/>
      <c r="D48" s="233"/>
      <c r="E48" s="233"/>
      <c r="F48" s="234">
        <f t="shared" si="7"/>
        <v>0</v>
      </c>
      <c r="G48" s="235">
        <v>39000</v>
      </c>
      <c r="H48" s="235">
        <v>44000</v>
      </c>
      <c r="I48" s="224"/>
      <c r="J48" s="205">
        <f t="shared" si="8"/>
        <v>0</v>
      </c>
      <c r="K48" s="205">
        <f t="shared" si="9"/>
        <v>0</v>
      </c>
      <c r="L48" s="225">
        <f t="shared" si="10"/>
        <v>0</v>
      </c>
      <c r="M48" s="226">
        <f t="shared" si="11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spans="1:26" ht="14.4">
      <c r="A49" s="684"/>
      <c r="B49" s="222" t="s">
        <v>161</v>
      </c>
      <c r="C49" s="232">
        <v>1.25</v>
      </c>
      <c r="D49" s="233"/>
      <c r="E49" s="233"/>
      <c r="F49" s="234">
        <f t="shared" si="7"/>
        <v>1.25</v>
      </c>
      <c r="G49" s="235">
        <v>65000</v>
      </c>
      <c r="H49" s="235">
        <v>70000</v>
      </c>
      <c r="I49" s="224"/>
      <c r="J49" s="205">
        <f t="shared" si="8"/>
        <v>0</v>
      </c>
      <c r="K49" s="205">
        <f t="shared" si="9"/>
        <v>0</v>
      </c>
      <c r="L49" s="225">
        <f t="shared" si="10"/>
        <v>81250</v>
      </c>
      <c r="M49" s="226">
        <f t="shared" si="11"/>
        <v>87500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spans="1:26" ht="14.4">
      <c r="A50" s="684"/>
      <c r="B50" s="228" t="s">
        <v>162</v>
      </c>
      <c r="C50" s="232">
        <v>78</v>
      </c>
      <c r="D50" s="233"/>
      <c r="E50" s="237"/>
      <c r="F50" s="234">
        <f t="shared" si="7"/>
        <v>78</v>
      </c>
      <c r="G50" s="235">
        <v>2500</v>
      </c>
      <c r="H50" s="235">
        <v>3000</v>
      </c>
      <c r="I50" s="224"/>
      <c r="J50" s="205">
        <f t="shared" si="8"/>
        <v>0</v>
      </c>
      <c r="K50" s="205">
        <f t="shared" si="9"/>
        <v>0</v>
      </c>
      <c r="L50" s="225">
        <f t="shared" si="10"/>
        <v>195000</v>
      </c>
      <c r="M50" s="226">
        <f t="shared" si="11"/>
        <v>234000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spans="1:26" ht="14.4">
      <c r="A51" s="684"/>
      <c r="B51" s="228" t="s">
        <v>163</v>
      </c>
      <c r="C51" s="232">
        <f>7</f>
        <v>7</v>
      </c>
      <c r="D51" s="233"/>
      <c r="E51" s="237"/>
      <c r="F51" s="234">
        <f t="shared" si="7"/>
        <v>7</v>
      </c>
      <c r="G51" s="235">
        <v>50000</v>
      </c>
      <c r="H51" s="235">
        <v>12500</v>
      </c>
      <c r="I51" s="204"/>
      <c r="J51" s="205">
        <f t="shared" si="8"/>
        <v>0</v>
      </c>
      <c r="K51" s="205">
        <f t="shared" si="9"/>
        <v>0</v>
      </c>
      <c r="L51" s="225">
        <f t="shared" si="10"/>
        <v>350000</v>
      </c>
      <c r="M51" s="226">
        <f t="shared" si="11"/>
        <v>87500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spans="1:26" ht="14.4">
      <c r="A52" s="684"/>
      <c r="B52" s="222" t="s">
        <v>164</v>
      </c>
      <c r="C52" s="232">
        <v>0.25</v>
      </c>
      <c r="D52" s="233"/>
      <c r="E52" s="237"/>
      <c r="F52" s="234">
        <f t="shared" si="7"/>
        <v>0.25</v>
      </c>
      <c r="G52" s="235">
        <v>78640</v>
      </c>
      <c r="H52" s="235">
        <v>7000</v>
      </c>
      <c r="I52" s="224"/>
      <c r="J52" s="205">
        <f t="shared" si="8"/>
        <v>0</v>
      </c>
      <c r="K52" s="205">
        <f t="shared" si="9"/>
        <v>0</v>
      </c>
      <c r="L52" s="225">
        <f t="shared" si="10"/>
        <v>19660</v>
      </c>
      <c r="M52" s="226">
        <f t="shared" si="11"/>
        <v>1750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spans="1:26" ht="14.4">
      <c r="A53" s="684"/>
      <c r="B53" s="222" t="s">
        <v>165</v>
      </c>
      <c r="C53" s="232">
        <f>105.75</f>
        <v>105.75</v>
      </c>
      <c r="D53" s="233"/>
      <c r="E53" s="237"/>
      <c r="F53" s="234">
        <f t="shared" si="7"/>
        <v>105.75</v>
      </c>
      <c r="G53" s="235">
        <v>62000</v>
      </c>
      <c r="H53" s="235">
        <v>67000</v>
      </c>
      <c r="I53" s="224"/>
      <c r="J53" s="205">
        <f t="shared" si="8"/>
        <v>0</v>
      </c>
      <c r="K53" s="205">
        <f t="shared" si="9"/>
        <v>0</v>
      </c>
      <c r="L53" s="225">
        <f t="shared" si="10"/>
        <v>6556500</v>
      </c>
      <c r="M53" s="226">
        <f t="shared" si="11"/>
        <v>7085250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spans="1:26" ht="14.4">
      <c r="A54" s="684"/>
      <c r="B54" s="230" t="s">
        <v>166</v>
      </c>
      <c r="C54" s="232">
        <v>13.5</v>
      </c>
      <c r="D54" s="233"/>
      <c r="E54" s="233"/>
      <c r="F54" s="234">
        <f t="shared" si="7"/>
        <v>13.5</v>
      </c>
      <c r="G54" s="235">
        <v>66987</v>
      </c>
      <c r="H54" s="235">
        <v>68000</v>
      </c>
      <c r="I54" s="224"/>
      <c r="J54" s="205">
        <f t="shared" si="8"/>
        <v>0</v>
      </c>
      <c r="K54" s="205">
        <f t="shared" si="9"/>
        <v>0</v>
      </c>
      <c r="L54" s="225">
        <f t="shared" si="10"/>
        <v>904324.5</v>
      </c>
      <c r="M54" s="226">
        <f t="shared" si="11"/>
        <v>918000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spans="1:26" ht="14.4">
      <c r="A55" s="684"/>
      <c r="B55" s="230" t="s">
        <v>167</v>
      </c>
      <c r="C55" s="238">
        <v>25</v>
      </c>
      <c r="D55" s="201"/>
      <c r="E55" s="201"/>
      <c r="F55" s="202">
        <f t="shared" si="7"/>
        <v>25</v>
      </c>
      <c r="G55" s="203">
        <v>80640</v>
      </c>
      <c r="H55" s="203">
        <v>86000</v>
      </c>
      <c r="I55" s="224"/>
      <c r="J55" s="205">
        <f t="shared" si="8"/>
        <v>0</v>
      </c>
      <c r="K55" s="205">
        <f t="shared" si="9"/>
        <v>0</v>
      </c>
      <c r="L55" s="225">
        <f t="shared" si="10"/>
        <v>2016000</v>
      </c>
      <c r="M55" s="226">
        <f t="shared" si="11"/>
        <v>2150000</v>
      </c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spans="1:26" ht="14.4">
      <c r="A56" s="684"/>
      <c r="B56" s="228" t="s">
        <v>168</v>
      </c>
      <c r="C56" s="227">
        <v>6</v>
      </c>
      <c r="D56" s="201"/>
      <c r="E56" s="201"/>
      <c r="F56" s="202">
        <f t="shared" si="7"/>
        <v>6</v>
      </c>
      <c r="G56" s="203">
        <v>68568</v>
      </c>
      <c r="H56" s="203">
        <v>72000</v>
      </c>
      <c r="I56" s="224"/>
      <c r="J56" s="205">
        <f t="shared" si="8"/>
        <v>0</v>
      </c>
      <c r="K56" s="205">
        <f t="shared" si="9"/>
        <v>0</v>
      </c>
      <c r="L56" s="225">
        <f t="shared" si="10"/>
        <v>411408</v>
      </c>
      <c r="M56" s="226">
        <f t="shared" si="11"/>
        <v>432000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spans="1:26" ht="14.4">
      <c r="A57" s="684"/>
      <c r="B57" s="231" t="s">
        <v>169</v>
      </c>
      <c r="C57" s="227"/>
      <c r="D57" s="201"/>
      <c r="E57" s="201"/>
      <c r="F57" s="202">
        <f t="shared" si="7"/>
        <v>0</v>
      </c>
      <c r="G57" s="203">
        <v>78640</v>
      </c>
      <c r="H57" s="203">
        <v>82000</v>
      </c>
      <c r="I57" s="224"/>
      <c r="J57" s="205">
        <f t="shared" si="8"/>
        <v>0</v>
      </c>
      <c r="K57" s="205">
        <f t="shared" si="9"/>
        <v>0</v>
      </c>
      <c r="L57" s="225">
        <f t="shared" si="10"/>
        <v>0</v>
      </c>
      <c r="M57" s="226">
        <f t="shared" si="11"/>
        <v>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spans="1:26" ht="14.4">
      <c r="A58" s="684"/>
      <c r="B58" s="231" t="s">
        <v>170</v>
      </c>
      <c r="C58" s="227">
        <v>0.5</v>
      </c>
      <c r="D58" s="201"/>
      <c r="E58" s="201"/>
      <c r="F58" s="202">
        <f t="shared" si="7"/>
        <v>0.5</v>
      </c>
      <c r="G58" s="203">
        <v>78640</v>
      </c>
      <c r="H58" s="203">
        <v>82000</v>
      </c>
      <c r="I58" s="224"/>
      <c r="J58" s="205">
        <f t="shared" si="8"/>
        <v>0</v>
      </c>
      <c r="K58" s="205">
        <f t="shared" si="9"/>
        <v>0</v>
      </c>
      <c r="L58" s="225">
        <f t="shared" si="10"/>
        <v>39320</v>
      </c>
      <c r="M58" s="226">
        <f t="shared" si="11"/>
        <v>41000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spans="1:26" ht="14.4">
      <c r="A59" s="684"/>
      <c r="B59" s="231" t="s">
        <v>171</v>
      </c>
      <c r="C59" s="227">
        <v>5</v>
      </c>
      <c r="D59" s="201"/>
      <c r="E59" s="201"/>
      <c r="F59" s="202">
        <f t="shared" si="7"/>
        <v>5</v>
      </c>
      <c r="G59" s="239">
        <v>44000</v>
      </c>
      <c r="H59" s="239">
        <v>48000</v>
      </c>
      <c r="I59" s="240"/>
      <c r="J59" s="205">
        <f t="shared" si="8"/>
        <v>0</v>
      </c>
      <c r="K59" s="205">
        <f t="shared" si="9"/>
        <v>0</v>
      </c>
      <c r="L59" s="225">
        <f t="shared" si="10"/>
        <v>220000</v>
      </c>
      <c r="M59" s="226">
        <f t="shared" si="11"/>
        <v>240000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spans="1:26" ht="14.4">
      <c r="A60" s="685"/>
      <c r="B60" s="241"/>
      <c r="C60" s="229"/>
      <c r="D60" s="242"/>
      <c r="E60" s="243"/>
      <c r="F60" s="244">
        <f>SUM(F23:F57)</f>
        <v>2141.25</v>
      </c>
      <c r="G60" s="245">
        <f t="shared" ref="G60:H60" si="12">SUM(G10:G57)</f>
        <v>3780266</v>
      </c>
      <c r="H60" s="245">
        <f t="shared" si="12"/>
        <v>3818300</v>
      </c>
      <c r="I60" s="246">
        <f>SUM(I23:I57)</f>
        <v>0</v>
      </c>
      <c r="J60" s="247">
        <f t="shared" ref="J60:M60" si="13">SUM(J23:J59)</f>
        <v>0</v>
      </c>
      <c r="K60" s="247">
        <f t="shared" si="13"/>
        <v>0</v>
      </c>
      <c r="L60" s="247">
        <f t="shared" si="13"/>
        <v>109380780</v>
      </c>
      <c r="M60" s="247">
        <f t="shared" si="13"/>
        <v>117845000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spans="1:26" ht="14.4">
      <c r="A61" s="686"/>
      <c r="B61" s="230" t="s">
        <v>172</v>
      </c>
      <c r="C61" s="229">
        <v>12</v>
      </c>
      <c r="D61" s="201"/>
      <c r="E61" s="201"/>
      <c r="F61" s="202">
        <f t="shared" ref="F61:F74" si="14">+C61+D61-E61</f>
        <v>12</v>
      </c>
      <c r="G61" s="203">
        <v>41500</v>
      </c>
      <c r="H61" s="203">
        <v>50000</v>
      </c>
      <c r="I61" s="204"/>
      <c r="J61" s="205">
        <f t="shared" ref="J61:J86" si="15">+I61*H61</f>
        <v>0</v>
      </c>
      <c r="K61" s="205">
        <f t="shared" ref="K61:K86" si="16">+(H61-G61)*I61</f>
        <v>0</v>
      </c>
      <c r="L61" s="248">
        <f t="shared" ref="L61:L86" si="17">+G61*F61</f>
        <v>498000</v>
      </c>
      <c r="M61" s="249">
        <f t="shared" ref="M61:M86" si="18">F61*H61</f>
        <v>600000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spans="1:26" ht="14.4">
      <c r="A62" s="687"/>
      <c r="B62" s="230" t="s">
        <v>173</v>
      </c>
      <c r="C62" s="227">
        <v>94</v>
      </c>
      <c r="D62" s="201"/>
      <c r="E62" s="201"/>
      <c r="F62" s="202">
        <f t="shared" si="14"/>
        <v>94</v>
      </c>
      <c r="G62" s="203">
        <v>43000</v>
      </c>
      <c r="H62" s="203">
        <v>50000</v>
      </c>
      <c r="I62" s="204"/>
      <c r="J62" s="205">
        <f t="shared" si="15"/>
        <v>0</v>
      </c>
      <c r="K62" s="205">
        <f t="shared" si="16"/>
        <v>0</v>
      </c>
      <c r="L62" s="248">
        <f t="shared" si="17"/>
        <v>4042000</v>
      </c>
      <c r="M62" s="249">
        <f t="shared" si="18"/>
        <v>4700000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spans="1:26" ht="14.4">
      <c r="A63" s="687"/>
      <c r="B63" s="230" t="s">
        <v>174</v>
      </c>
      <c r="C63" s="227">
        <v>0.5</v>
      </c>
      <c r="D63" s="201"/>
      <c r="E63" s="201"/>
      <c r="F63" s="202">
        <f t="shared" si="14"/>
        <v>0.5</v>
      </c>
      <c r="G63" s="203">
        <v>41600</v>
      </c>
      <c r="H63" s="203">
        <v>50000</v>
      </c>
      <c r="I63" s="204"/>
      <c r="J63" s="205">
        <f t="shared" si="15"/>
        <v>0</v>
      </c>
      <c r="K63" s="205">
        <f t="shared" si="16"/>
        <v>0</v>
      </c>
      <c r="L63" s="248">
        <f t="shared" si="17"/>
        <v>20800</v>
      </c>
      <c r="M63" s="249">
        <f t="shared" si="18"/>
        <v>25000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spans="1:26" ht="14.4">
      <c r="A64" s="687"/>
      <c r="B64" s="230" t="s">
        <v>175</v>
      </c>
      <c r="C64" s="227">
        <v>4.75</v>
      </c>
      <c r="D64" s="201"/>
      <c r="E64" s="201"/>
      <c r="F64" s="202">
        <f t="shared" si="14"/>
        <v>4.75</v>
      </c>
      <c r="G64" s="203">
        <v>51850</v>
      </c>
      <c r="H64" s="203">
        <v>51850</v>
      </c>
      <c r="I64" s="204"/>
      <c r="J64" s="205">
        <f t="shared" si="15"/>
        <v>0</v>
      </c>
      <c r="K64" s="205">
        <f t="shared" si="16"/>
        <v>0</v>
      </c>
      <c r="L64" s="248">
        <f t="shared" si="17"/>
        <v>246287.5</v>
      </c>
      <c r="M64" s="249">
        <f t="shared" si="18"/>
        <v>246287.5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spans="1:26" ht="14.4">
      <c r="A65" s="687"/>
      <c r="B65" s="230" t="s">
        <v>176</v>
      </c>
      <c r="C65" s="227">
        <v>2</v>
      </c>
      <c r="D65" s="201"/>
      <c r="E65" s="201"/>
      <c r="F65" s="202">
        <f t="shared" si="14"/>
        <v>2</v>
      </c>
      <c r="G65" s="203">
        <v>49890</v>
      </c>
      <c r="H65" s="203">
        <v>55000</v>
      </c>
      <c r="I65" s="204"/>
      <c r="J65" s="205">
        <f t="shared" si="15"/>
        <v>0</v>
      </c>
      <c r="K65" s="205">
        <f t="shared" si="16"/>
        <v>0</v>
      </c>
      <c r="L65" s="248">
        <f t="shared" si="17"/>
        <v>99780</v>
      </c>
      <c r="M65" s="249">
        <f t="shared" si="18"/>
        <v>110000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spans="1:26" ht="14.4">
      <c r="A66" s="687"/>
      <c r="B66" s="230" t="s">
        <v>177</v>
      </c>
      <c r="C66" s="238">
        <v>7</v>
      </c>
      <c r="D66" s="201"/>
      <c r="E66" s="201"/>
      <c r="F66" s="202">
        <f t="shared" si="14"/>
        <v>7</v>
      </c>
      <c r="G66" s="203">
        <v>60000</v>
      </c>
      <c r="H66" s="203">
        <v>63000</v>
      </c>
      <c r="I66" s="204"/>
      <c r="J66" s="205">
        <f t="shared" si="15"/>
        <v>0</v>
      </c>
      <c r="K66" s="205">
        <f t="shared" si="16"/>
        <v>0</v>
      </c>
      <c r="L66" s="248">
        <f t="shared" si="17"/>
        <v>420000</v>
      </c>
      <c r="M66" s="249">
        <f t="shared" si="18"/>
        <v>441000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spans="1:26" ht="14.4">
      <c r="A67" s="687"/>
      <c r="B67" s="230" t="s">
        <v>178</v>
      </c>
      <c r="C67" s="227">
        <v>7.25</v>
      </c>
      <c r="D67" s="201"/>
      <c r="E67" s="201"/>
      <c r="F67" s="202">
        <f t="shared" si="14"/>
        <v>7.25</v>
      </c>
      <c r="G67" s="203">
        <v>44116</v>
      </c>
      <c r="H67" s="203">
        <v>50000</v>
      </c>
      <c r="I67" s="204"/>
      <c r="J67" s="205">
        <f t="shared" si="15"/>
        <v>0</v>
      </c>
      <c r="K67" s="205">
        <f t="shared" si="16"/>
        <v>0</v>
      </c>
      <c r="L67" s="248">
        <f t="shared" si="17"/>
        <v>319841</v>
      </c>
      <c r="M67" s="249">
        <f t="shared" si="18"/>
        <v>362500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spans="1:26" ht="14.4">
      <c r="A68" s="687"/>
      <c r="B68" s="230" t="s">
        <v>179</v>
      </c>
      <c r="C68" s="238">
        <v>3</v>
      </c>
      <c r="D68" s="201"/>
      <c r="E68" s="201"/>
      <c r="F68" s="202">
        <f t="shared" si="14"/>
        <v>3</v>
      </c>
      <c r="G68" s="203">
        <v>25000</v>
      </c>
      <c r="H68" s="203">
        <v>26000</v>
      </c>
      <c r="I68" s="204"/>
      <c r="J68" s="205">
        <f t="shared" si="15"/>
        <v>0</v>
      </c>
      <c r="K68" s="205">
        <f t="shared" si="16"/>
        <v>0</v>
      </c>
      <c r="L68" s="248">
        <f t="shared" si="17"/>
        <v>75000</v>
      </c>
      <c r="M68" s="249">
        <f t="shared" si="18"/>
        <v>78000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spans="1:26" ht="14.4">
      <c r="A69" s="687"/>
      <c r="B69" s="230" t="s">
        <v>41</v>
      </c>
      <c r="C69" s="227">
        <v>10</v>
      </c>
      <c r="D69" s="201"/>
      <c r="E69" s="201"/>
      <c r="F69" s="202">
        <f t="shared" si="14"/>
        <v>10</v>
      </c>
      <c r="G69" s="203">
        <v>43600</v>
      </c>
      <c r="H69" s="203">
        <v>49000</v>
      </c>
      <c r="I69" s="204"/>
      <c r="J69" s="205">
        <f t="shared" si="15"/>
        <v>0</v>
      </c>
      <c r="K69" s="205">
        <f t="shared" si="16"/>
        <v>0</v>
      </c>
      <c r="L69" s="248">
        <f t="shared" si="17"/>
        <v>436000</v>
      </c>
      <c r="M69" s="249">
        <f t="shared" si="18"/>
        <v>490000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spans="1:26" ht="14.4">
      <c r="A70" s="687"/>
      <c r="B70" s="230" t="s">
        <v>180</v>
      </c>
      <c r="C70" s="227">
        <v>9.5</v>
      </c>
      <c r="D70" s="201"/>
      <c r="E70" s="201"/>
      <c r="F70" s="202">
        <f t="shared" si="14"/>
        <v>9.5</v>
      </c>
      <c r="G70" s="203">
        <v>49000</v>
      </c>
      <c r="H70" s="203">
        <v>55000</v>
      </c>
      <c r="I70" s="204"/>
      <c r="J70" s="205">
        <f t="shared" si="15"/>
        <v>0</v>
      </c>
      <c r="K70" s="205">
        <f t="shared" si="16"/>
        <v>0</v>
      </c>
      <c r="L70" s="248">
        <f t="shared" si="17"/>
        <v>465500</v>
      </c>
      <c r="M70" s="249">
        <f t="shared" si="18"/>
        <v>522500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spans="1:26" ht="18" customHeight="1">
      <c r="A71" s="687"/>
      <c r="B71" s="230" t="s">
        <v>181</v>
      </c>
      <c r="C71" s="227">
        <v>12</v>
      </c>
      <c r="D71" s="201"/>
      <c r="E71" s="201"/>
      <c r="F71" s="202">
        <f t="shared" si="14"/>
        <v>12</v>
      </c>
      <c r="G71" s="203">
        <v>58050</v>
      </c>
      <c r="H71" s="203">
        <v>63700</v>
      </c>
      <c r="I71" s="204"/>
      <c r="J71" s="205">
        <f t="shared" si="15"/>
        <v>0</v>
      </c>
      <c r="K71" s="205">
        <f t="shared" si="16"/>
        <v>0</v>
      </c>
      <c r="L71" s="248">
        <f t="shared" si="17"/>
        <v>696600</v>
      </c>
      <c r="M71" s="249">
        <f t="shared" si="18"/>
        <v>764400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spans="1:26" ht="18" customHeight="1">
      <c r="A72" s="687"/>
      <c r="B72" s="230" t="s">
        <v>182</v>
      </c>
      <c r="C72" s="227">
        <v>0.5</v>
      </c>
      <c r="D72" s="201"/>
      <c r="E72" s="201"/>
      <c r="F72" s="202">
        <f t="shared" si="14"/>
        <v>0.5</v>
      </c>
      <c r="G72" s="203">
        <v>46000</v>
      </c>
      <c r="H72" s="203">
        <v>52000</v>
      </c>
      <c r="I72" s="204"/>
      <c r="J72" s="205">
        <f t="shared" si="15"/>
        <v>0</v>
      </c>
      <c r="K72" s="205">
        <f t="shared" si="16"/>
        <v>0</v>
      </c>
      <c r="L72" s="248">
        <f t="shared" si="17"/>
        <v>23000</v>
      </c>
      <c r="M72" s="249">
        <f t="shared" si="18"/>
        <v>26000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spans="1:26" ht="14.4">
      <c r="A73" s="687"/>
      <c r="B73" s="230" t="s">
        <v>183</v>
      </c>
      <c r="C73" s="227">
        <v>10</v>
      </c>
      <c r="D73" s="201"/>
      <c r="E73" s="201"/>
      <c r="F73" s="202">
        <f t="shared" si="14"/>
        <v>10</v>
      </c>
      <c r="G73" s="203">
        <v>53000</v>
      </c>
      <c r="H73" s="203">
        <v>63000</v>
      </c>
      <c r="I73" s="204"/>
      <c r="J73" s="205">
        <f t="shared" si="15"/>
        <v>0</v>
      </c>
      <c r="K73" s="205">
        <f t="shared" si="16"/>
        <v>0</v>
      </c>
      <c r="L73" s="248">
        <f t="shared" si="17"/>
        <v>530000</v>
      </c>
      <c r="M73" s="249">
        <f t="shared" si="18"/>
        <v>630000</v>
      </c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spans="1:26" ht="14.4">
      <c r="A74" s="687"/>
      <c r="B74" s="230" t="s">
        <v>184</v>
      </c>
      <c r="C74" s="227">
        <v>1</v>
      </c>
      <c r="D74" s="201"/>
      <c r="E74" s="201"/>
      <c r="F74" s="202">
        <f t="shared" si="14"/>
        <v>1</v>
      </c>
      <c r="G74" s="203">
        <v>62500</v>
      </c>
      <c r="H74" s="203">
        <v>68000</v>
      </c>
      <c r="I74" s="204"/>
      <c r="J74" s="205">
        <f t="shared" si="15"/>
        <v>0</v>
      </c>
      <c r="K74" s="205">
        <f t="shared" si="16"/>
        <v>0</v>
      </c>
      <c r="L74" s="248">
        <f t="shared" si="17"/>
        <v>62500</v>
      </c>
      <c r="M74" s="249">
        <f t="shared" si="18"/>
        <v>68000</v>
      </c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spans="1:26" ht="14.4">
      <c r="A75" s="687"/>
      <c r="B75" s="230" t="s">
        <v>44</v>
      </c>
      <c r="C75" s="227">
        <f>190+3</f>
        <v>193</v>
      </c>
      <c r="D75" s="201"/>
      <c r="E75" s="201"/>
      <c r="F75" s="202">
        <f t="shared" ref="F75:F76" si="19">+C75+D75-E66</f>
        <v>193</v>
      </c>
      <c r="G75" s="203">
        <v>31200</v>
      </c>
      <c r="H75" s="203">
        <v>34500</v>
      </c>
      <c r="I75" s="204"/>
      <c r="J75" s="205">
        <f t="shared" si="15"/>
        <v>0</v>
      </c>
      <c r="K75" s="205">
        <f t="shared" si="16"/>
        <v>0</v>
      </c>
      <c r="L75" s="248">
        <f t="shared" si="17"/>
        <v>6021600</v>
      </c>
      <c r="M75" s="249">
        <f t="shared" si="18"/>
        <v>6658500</v>
      </c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spans="1:26" ht="14.4">
      <c r="A76" s="687"/>
      <c r="B76" s="230" t="s">
        <v>185</v>
      </c>
      <c r="C76" s="227">
        <v>110.25</v>
      </c>
      <c r="D76" s="201"/>
      <c r="E76" s="201"/>
      <c r="F76" s="202">
        <f t="shared" si="19"/>
        <v>110.25</v>
      </c>
      <c r="G76" s="203">
        <v>34000</v>
      </c>
      <c r="H76" s="203">
        <v>37500</v>
      </c>
      <c r="I76" s="204"/>
      <c r="J76" s="205">
        <f t="shared" si="15"/>
        <v>0</v>
      </c>
      <c r="K76" s="205">
        <f t="shared" si="16"/>
        <v>0</v>
      </c>
      <c r="L76" s="248">
        <f t="shared" si="17"/>
        <v>3748500</v>
      </c>
      <c r="M76" s="249">
        <f t="shared" si="18"/>
        <v>4134375</v>
      </c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spans="1:26" ht="14.4">
      <c r="A77" s="687"/>
      <c r="B77" s="230" t="s">
        <v>186</v>
      </c>
      <c r="C77" s="227">
        <v>1.75</v>
      </c>
      <c r="D77" s="201"/>
      <c r="E77" s="201"/>
      <c r="F77" s="202">
        <f t="shared" ref="F77:F86" si="20">+C77+D77-E77</f>
        <v>1.75</v>
      </c>
      <c r="G77" s="203">
        <v>64000</v>
      </c>
      <c r="H77" s="203">
        <v>68000</v>
      </c>
      <c r="I77" s="204"/>
      <c r="J77" s="205">
        <f t="shared" si="15"/>
        <v>0</v>
      </c>
      <c r="K77" s="205">
        <f t="shared" si="16"/>
        <v>0</v>
      </c>
      <c r="L77" s="250">
        <f t="shared" si="17"/>
        <v>112000</v>
      </c>
      <c r="M77" s="251">
        <f t="shared" si="18"/>
        <v>119000</v>
      </c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spans="1:26" ht="14.4">
      <c r="A78" s="687"/>
      <c r="B78" s="230" t="s">
        <v>187</v>
      </c>
      <c r="C78" s="227">
        <v>2.5</v>
      </c>
      <c r="D78" s="201"/>
      <c r="E78" s="201"/>
      <c r="F78" s="202">
        <f t="shared" si="20"/>
        <v>2.5</v>
      </c>
      <c r="G78" s="203">
        <v>50000</v>
      </c>
      <c r="H78" s="203">
        <v>55500</v>
      </c>
      <c r="I78" s="204"/>
      <c r="J78" s="205">
        <f t="shared" si="15"/>
        <v>0</v>
      </c>
      <c r="K78" s="205">
        <f t="shared" si="16"/>
        <v>0</v>
      </c>
      <c r="L78" s="248">
        <f t="shared" si="17"/>
        <v>125000</v>
      </c>
      <c r="M78" s="249">
        <f t="shared" si="18"/>
        <v>138750</v>
      </c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spans="1:26" ht="14.4">
      <c r="A79" s="687"/>
      <c r="B79" s="230" t="s">
        <v>188</v>
      </c>
      <c r="C79" s="227">
        <v>0.25</v>
      </c>
      <c r="D79" s="201"/>
      <c r="E79" s="201"/>
      <c r="F79" s="202">
        <f t="shared" si="20"/>
        <v>0.25</v>
      </c>
      <c r="G79" s="203">
        <v>55111</v>
      </c>
      <c r="H79" s="203">
        <v>60000</v>
      </c>
      <c r="I79" s="204"/>
      <c r="J79" s="205">
        <f t="shared" si="15"/>
        <v>0</v>
      </c>
      <c r="K79" s="205">
        <f t="shared" si="16"/>
        <v>0</v>
      </c>
      <c r="L79" s="248">
        <f t="shared" si="17"/>
        <v>13777.75</v>
      </c>
      <c r="M79" s="249">
        <f t="shared" si="18"/>
        <v>15000</v>
      </c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spans="1:26" ht="14.4">
      <c r="A80" s="687"/>
      <c r="B80" s="230" t="s">
        <v>46</v>
      </c>
      <c r="C80" s="252">
        <f>117+1</f>
        <v>118</v>
      </c>
      <c r="D80" s="201"/>
      <c r="E80" s="201"/>
      <c r="F80" s="202">
        <f t="shared" si="20"/>
        <v>118</v>
      </c>
      <c r="G80" s="203">
        <v>37000</v>
      </c>
      <c r="H80" s="203">
        <v>39000</v>
      </c>
      <c r="I80" s="204"/>
      <c r="J80" s="205">
        <f t="shared" si="15"/>
        <v>0</v>
      </c>
      <c r="K80" s="205">
        <f t="shared" si="16"/>
        <v>0</v>
      </c>
      <c r="L80" s="248">
        <f t="shared" si="17"/>
        <v>4366000</v>
      </c>
      <c r="M80" s="249">
        <f t="shared" si="18"/>
        <v>4602000</v>
      </c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spans="1:26" ht="14.4">
      <c r="A81" s="687"/>
      <c r="B81" s="230" t="s">
        <v>189</v>
      </c>
      <c r="C81" s="227">
        <v>13.25</v>
      </c>
      <c r="D81" s="201"/>
      <c r="E81" s="201"/>
      <c r="F81" s="202">
        <f t="shared" si="20"/>
        <v>13.25</v>
      </c>
      <c r="G81" s="203">
        <v>37700</v>
      </c>
      <c r="H81" s="203">
        <v>40500</v>
      </c>
      <c r="I81" s="204"/>
      <c r="J81" s="205">
        <f t="shared" si="15"/>
        <v>0</v>
      </c>
      <c r="K81" s="205">
        <f t="shared" si="16"/>
        <v>0</v>
      </c>
      <c r="L81" s="248">
        <f t="shared" si="17"/>
        <v>499525</v>
      </c>
      <c r="M81" s="249">
        <f t="shared" si="18"/>
        <v>536625</v>
      </c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spans="1:26" ht="14.4">
      <c r="A82" s="687"/>
      <c r="B82" s="230" t="s">
        <v>49</v>
      </c>
      <c r="C82" s="238">
        <v>0.25</v>
      </c>
      <c r="D82" s="201"/>
      <c r="E82" s="201"/>
      <c r="F82" s="202">
        <f t="shared" si="20"/>
        <v>0.25</v>
      </c>
      <c r="G82" s="203">
        <v>44000</v>
      </c>
      <c r="H82" s="203">
        <v>50000</v>
      </c>
      <c r="I82" s="204"/>
      <c r="J82" s="205">
        <f t="shared" si="15"/>
        <v>0</v>
      </c>
      <c r="K82" s="205">
        <f t="shared" si="16"/>
        <v>0</v>
      </c>
      <c r="L82" s="248">
        <f t="shared" si="17"/>
        <v>11000</v>
      </c>
      <c r="M82" s="249">
        <f t="shared" si="18"/>
        <v>12500</v>
      </c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spans="1:26" ht="14.4">
      <c r="A83" s="687"/>
      <c r="B83" s="230" t="s">
        <v>190</v>
      </c>
      <c r="C83" s="238">
        <v>1.75</v>
      </c>
      <c r="D83" s="201"/>
      <c r="E83" s="201"/>
      <c r="F83" s="202">
        <f t="shared" si="20"/>
        <v>1.75</v>
      </c>
      <c r="G83" s="203">
        <v>40000</v>
      </c>
      <c r="H83" s="203">
        <v>43000</v>
      </c>
      <c r="I83" s="204"/>
      <c r="J83" s="205">
        <f t="shared" si="15"/>
        <v>0</v>
      </c>
      <c r="K83" s="205">
        <f t="shared" si="16"/>
        <v>0</v>
      </c>
      <c r="L83" s="248">
        <f t="shared" si="17"/>
        <v>70000</v>
      </c>
      <c r="M83" s="249">
        <f t="shared" si="18"/>
        <v>75250</v>
      </c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spans="1:26" ht="14.4">
      <c r="A84" s="687"/>
      <c r="B84" s="230" t="s">
        <v>191</v>
      </c>
      <c r="C84" s="253">
        <v>0.75</v>
      </c>
      <c r="D84" s="201"/>
      <c r="E84" s="201"/>
      <c r="F84" s="202">
        <f t="shared" si="20"/>
        <v>0.75</v>
      </c>
      <c r="G84" s="203">
        <v>58700</v>
      </c>
      <c r="H84" s="203">
        <v>68000</v>
      </c>
      <c r="I84" s="204"/>
      <c r="J84" s="205">
        <f t="shared" si="15"/>
        <v>0</v>
      </c>
      <c r="K84" s="205">
        <f t="shared" si="16"/>
        <v>0</v>
      </c>
      <c r="L84" s="248">
        <f t="shared" si="17"/>
        <v>44025</v>
      </c>
      <c r="M84" s="249">
        <f t="shared" si="18"/>
        <v>51000</v>
      </c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spans="1:26" ht="14.4">
      <c r="A85" s="687"/>
      <c r="B85" s="230" t="s">
        <v>192</v>
      </c>
      <c r="C85" s="227">
        <v>11.5</v>
      </c>
      <c r="D85" s="201"/>
      <c r="E85" s="201"/>
      <c r="F85" s="202">
        <f t="shared" si="20"/>
        <v>11.5</v>
      </c>
      <c r="G85" s="239">
        <v>68000</v>
      </c>
      <c r="H85" s="239">
        <v>73500</v>
      </c>
      <c r="I85" s="204"/>
      <c r="J85" s="205">
        <f t="shared" si="15"/>
        <v>0</v>
      </c>
      <c r="K85" s="205">
        <f t="shared" si="16"/>
        <v>0</v>
      </c>
      <c r="L85" s="248">
        <f t="shared" si="17"/>
        <v>782000</v>
      </c>
      <c r="M85" s="249">
        <f t="shared" si="18"/>
        <v>845250</v>
      </c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spans="1:26" ht="14.4">
      <c r="A86" s="687"/>
      <c r="B86" s="230" t="s">
        <v>193</v>
      </c>
      <c r="C86" s="227">
        <v>1</v>
      </c>
      <c r="D86" s="201"/>
      <c r="E86" s="201"/>
      <c r="F86" s="202">
        <f t="shared" si="20"/>
        <v>1</v>
      </c>
      <c r="G86" s="239">
        <v>86000</v>
      </c>
      <c r="H86" s="239">
        <v>90000</v>
      </c>
      <c r="I86" s="204"/>
      <c r="J86" s="205">
        <f t="shared" si="15"/>
        <v>0</v>
      </c>
      <c r="K86" s="205">
        <f t="shared" si="16"/>
        <v>0</v>
      </c>
      <c r="L86" s="248">
        <f t="shared" si="17"/>
        <v>86000</v>
      </c>
      <c r="M86" s="249">
        <f t="shared" si="18"/>
        <v>90000</v>
      </c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spans="1:26" ht="14.4">
      <c r="A87" s="688"/>
      <c r="B87" s="254"/>
      <c r="C87" s="255"/>
      <c r="D87" s="255"/>
      <c r="E87" s="256"/>
      <c r="F87" s="257">
        <f t="shared" ref="F87:I87" si="21">SUM(F61:F81)</f>
        <v>612.5</v>
      </c>
      <c r="G87" s="258">
        <f t="shared" si="21"/>
        <v>978117</v>
      </c>
      <c r="H87" s="258">
        <f t="shared" si="21"/>
        <v>1081550</v>
      </c>
      <c r="I87" s="259">
        <f t="shared" si="21"/>
        <v>0</v>
      </c>
      <c r="J87" s="260">
        <f t="shared" ref="J87:K87" si="22">SUM(J61:J85)</f>
        <v>0</v>
      </c>
      <c r="K87" s="260">
        <f t="shared" si="22"/>
        <v>0</v>
      </c>
      <c r="L87" s="260">
        <f>SUM(L61:L86)</f>
        <v>23814736.25</v>
      </c>
      <c r="M87" s="260">
        <f>SUM(M61:M85)</f>
        <v>26251937.5</v>
      </c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spans="1:26" ht="14.4">
      <c r="A88" s="689" t="s">
        <v>194</v>
      </c>
      <c r="B88" s="230" t="s">
        <v>195</v>
      </c>
      <c r="C88" s="261">
        <v>21</v>
      </c>
      <c r="D88" s="201"/>
      <c r="E88" s="201"/>
      <c r="F88" s="202">
        <f t="shared" ref="F88:F145" si="23">+C88+D88-E88</f>
        <v>21</v>
      </c>
      <c r="G88" s="203">
        <v>49000</v>
      </c>
      <c r="H88" s="203">
        <v>52000</v>
      </c>
      <c r="I88" s="224"/>
      <c r="J88" s="205">
        <f t="shared" ref="J88:J145" si="24">+I88*H88</f>
        <v>0</v>
      </c>
      <c r="K88" s="205">
        <f t="shared" ref="K88:K145" si="25">+(H88-G88)*I88</f>
        <v>0</v>
      </c>
      <c r="L88" s="262">
        <f t="shared" ref="L88:L145" si="26">+G88*F88</f>
        <v>1029000</v>
      </c>
      <c r="M88" s="263">
        <f t="shared" ref="M88:M145" si="27">F88*H88</f>
        <v>1092000</v>
      </c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spans="1:26" ht="14.4">
      <c r="A89" s="690"/>
      <c r="B89" s="230" t="s">
        <v>196</v>
      </c>
      <c r="C89" s="227">
        <v>3</v>
      </c>
      <c r="D89" s="201"/>
      <c r="E89" s="201"/>
      <c r="F89" s="202">
        <f t="shared" si="23"/>
        <v>3</v>
      </c>
      <c r="G89" s="203">
        <v>93664</v>
      </c>
      <c r="H89" s="203">
        <v>98000</v>
      </c>
      <c r="I89" s="204"/>
      <c r="J89" s="205">
        <f t="shared" si="24"/>
        <v>0</v>
      </c>
      <c r="K89" s="205">
        <f t="shared" si="25"/>
        <v>0</v>
      </c>
      <c r="L89" s="262">
        <f t="shared" si="26"/>
        <v>280992</v>
      </c>
      <c r="M89" s="263">
        <f t="shared" si="27"/>
        <v>294000</v>
      </c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spans="1:26" ht="14.4">
      <c r="A90" s="690"/>
      <c r="B90" s="230" t="s">
        <v>197</v>
      </c>
      <c r="C90" s="261">
        <v>21</v>
      </c>
      <c r="D90" s="201"/>
      <c r="E90" s="201"/>
      <c r="F90" s="202">
        <f t="shared" si="23"/>
        <v>21</v>
      </c>
      <c r="G90" s="203">
        <v>26900</v>
      </c>
      <c r="H90" s="203">
        <v>29000</v>
      </c>
      <c r="I90" s="204"/>
      <c r="J90" s="205">
        <f t="shared" si="24"/>
        <v>0</v>
      </c>
      <c r="K90" s="205">
        <f t="shared" si="25"/>
        <v>0</v>
      </c>
      <c r="L90" s="262">
        <f t="shared" si="26"/>
        <v>564900</v>
      </c>
      <c r="M90" s="263">
        <f t="shared" si="27"/>
        <v>609000</v>
      </c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spans="1:26" ht="14.4">
      <c r="A91" s="690"/>
      <c r="B91" s="230" t="s">
        <v>198</v>
      </c>
      <c r="C91" s="227">
        <v>10</v>
      </c>
      <c r="D91" s="201"/>
      <c r="E91" s="201"/>
      <c r="F91" s="202">
        <f t="shared" si="23"/>
        <v>10</v>
      </c>
      <c r="G91" s="203">
        <v>43449</v>
      </c>
      <c r="H91" s="203">
        <v>46000</v>
      </c>
      <c r="I91" s="204"/>
      <c r="J91" s="205">
        <f t="shared" si="24"/>
        <v>0</v>
      </c>
      <c r="K91" s="205">
        <f t="shared" si="25"/>
        <v>0</v>
      </c>
      <c r="L91" s="262">
        <f t="shared" si="26"/>
        <v>434490</v>
      </c>
      <c r="M91" s="263">
        <f t="shared" si="27"/>
        <v>460000</v>
      </c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spans="1:26" ht="14.4">
      <c r="A92" s="690"/>
      <c r="B92" s="264" t="s">
        <v>199</v>
      </c>
      <c r="C92" s="227">
        <v>1</v>
      </c>
      <c r="D92" s="201"/>
      <c r="E92" s="201"/>
      <c r="F92" s="202">
        <f t="shared" si="23"/>
        <v>1</v>
      </c>
      <c r="G92" s="210">
        <v>113000</v>
      </c>
      <c r="H92" s="210">
        <v>118000</v>
      </c>
      <c r="I92" s="204"/>
      <c r="J92" s="205">
        <f t="shared" si="24"/>
        <v>0</v>
      </c>
      <c r="K92" s="205">
        <f t="shared" si="25"/>
        <v>0</v>
      </c>
      <c r="L92" s="262">
        <f t="shared" si="26"/>
        <v>113000</v>
      </c>
      <c r="M92" s="263">
        <f t="shared" si="27"/>
        <v>118000</v>
      </c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spans="1:26" ht="14.4">
      <c r="A93" s="690"/>
      <c r="B93" s="230" t="s">
        <v>200</v>
      </c>
      <c r="C93" s="261">
        <v>23</v>
      </c>
      <c r="D93" s="201"/>
      <c r="E93" s="201"/>
      <c r="F93" s="202">
        <f t="shared" si="23"/>
        <v>23</v>
      </c>
      <c r="G93" s="203">
        <v>12678</v>
      </c>
      <c r="H93" s="203">
        <v>13000</v>
      </c>
      <c r="I93" s="204"/>
      <c r="J93" s="205">
        <f t="shared" si="24"/>
        <v>0</v>
      </c>
      <c r="K93" s="205">
        <f t="shared" si="25"/>
        <v>0</v>
      </c>
      <c r="L93" s="262">
        <f t="shared" si="26"/>
        <v>291594</v>
      </c>
      <c r="M93" s="263">
        <f t="shared" si="27"/>
        <v>299000</v>
      </c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spans="1:26" ht="14.4">
      <c r="A94" s="690"/>
      <c r="B94" s="230" t="s">
        <v>201</v>
      </c>
      <c r="C94" s="229">
        <v>3</v>
      </c>
      <c r="D94" s="201"/>
      <c r="E94" s="201"/>
      <c r="F94" s="202">
        <f t="shared" si="23"/>
        <v>3</v>
      </c>
      <c r="G94" s="203">
        <v>50231</v>
      </c>
      <c r="H94" s="203">
        <v>52000</v>
      </c>
      <c r="I94" s="204"/>
      <c r="J94" s="205">
        <f t="shared" si="24"/>
        <v>0</v>
      </c>
      <c r="K94" s="205">
        <f t="shared" si="25"/>
        <v>0</v>
      </c>
      <c r="L94" s="262">
        <f t="shared" si="26"/>
        <v>150693</v>
      </c>
      <c r="M94" s="263">
        <f t="shared" si="27"/>
        <v>156000</v>
      </c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spans="1:26" ht="14.4">
      <c r="A95" s="690"/>
      <c r="B95" s="230" t="s">
        <v>202</v>
      </c>
      <c r="C95" s="261">
        <v>4</v>
      </c>
      <c r="D95" s="201"/>
      <c r="E95" s="201"/>
      <c r="F95" s="202">
        <f t="shared" si="23"/>
        <v>4</v>
      </c>
      <c r="G95" s="203">
        <v>27677</v>
      </c>
      <c r="H95" s="203">
        <v>30000</v>
      </c>
      <c r="I95" s="204"/>
      <c r="J95" s="205">
        <f t="shared" si="24"/>
        <v>0</v>
      </c>
      <c r="K95" s="205">
        <f t="shared" si="25"/>
        <v>0</v>
      </c>
      <c r="L95" s="262">
        <f t="shared" si="26"/>
        <v>110708</v>
      </c>
      <c r="M95" s="263">
        <f t="shared" si="27"/>
        <v>120000</v>
      </c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spans="1:26" ht="14.4">
      <c r="A96" s="690"/>
      <c r="B96" s="230" t="s">
        <v>203</v>
      </c>
      <c r="C96" s="227"/>
      <c r="D96" s="201"/>
      <c r="E96" s="201"/>
      <c r="F96" s="202">
        <f t="shared" si="23"/>
        <v>0</v>
      </c>
      <c r="G96" s="203">
        <v>13257</v>
      </c>
      <c r="H96" s="203">
        <v>13500</v>
      </c>
      <c r="I96" s="204"/>
      <c r="J96" s="205">
        <f t="shared" si="24"/>
        <v>0</v>
      </c>
      <c r="K96" s="205">
        <f t="shared" si="25"/>
        <v>0</v>
      </c>
      <c r="L96" s="262">
        <f t="shared" si="26"/>
        <v>0</v>
      </c>
      <c r="M96" s="263">
        <f t="shared" si="27"/>
        <v>0</v>
      </c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spans="1:26" ht="14.4">
      <c r="A97" s="690"/>
      <c r="B97" s="230" t="s">
        <v>204</v>
      </c>
      <c r="C97" s="227">
        <v>1</v>
      </c>
      <c r="D97" s="201"/>
      <c r="E97" s="201"/>
      <c r="F97" s="202">
        <f t="shared" si="23"/>
        <v>1</v>
      </c>
      <c r="G97" s="203">
        <v>94624</v>
      </c>
      <c r="H97" s="203">
        <v>104000</v>
      </c>
      <c r="I97" s="204"/>
      <c r="J97" s="205">
        <f t="shared" si="24"/>
        <v>0</v>
      </c>
      <c r="K97" s="205">
        <f t="shared" si="25"/>
        <v>0</v>
      </c>
      <c r="L97" s="262">
        <f t="shared" si="26"/>
        <v>94624</v>
      </c>
      <c r="M97" s="263">
        <f t="shared" si="27"/>
        <v>104000</v>
      </c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spans="1:26" ht="14.4">
      <c r="A98" s="690"/>
      <c r="B98" s="230" t="s">
        <v>205</v>
      </c>
      <c r="C98" s="229">
        <v>5</v>
      </c>
      <c r="D98" s="201"/>
      <c r="E98" s="201"/>
      <c r="F98" s="202">
        <f t="shared" si="23"/>
        <v>5</v>
      </c>
      <c r="G98" s="203">
        <v>42926</v>
      </c>
      <c r="H98" s="203">
        <v>45000</v>
      </c>
      <c r="I98" s="204"/>
      <c r="J98" s="205">
        <f t="shared" si="24"/>
        <v>0</v>
      </c>
      <c r="K98" s="205">
        <f t="shared" si="25"/>
        <v>0</v>
      </c>
      <c r="L98" s="262">
        <f t="shared" si="26"/>
        <v>214630</v>
      </c>
      <c r="M98" s="263">
        <f t="shared" si="27"/>
        <v>225000</v>
      </c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spans="1:26" ht="14.4">
      <c r="A99" s="690"/>
      <c r="B99" s="230" t="s">
        <v>206</v>
      </c>
      <c r="C99" s="227"/>
      <c r="D99" s="201"/>
      <c r="E99" s="201"/>
      <c r="F99" s="202">
        <f t="shared" si="23"/>
        <v>0</v>
      </c>
      <c r="G99" s="203">
        <v>22505</v>
      </c>
      <c r="H99" s="203">
        <v>24000</v>
      </c>
      <c r="I99" s="204"/>
      <c r="J99" s="205">
        <f t="shared" si="24"/>
        <v>0</v>
      </c>
      <c r="K99" s="205">
        <f t="shared" si="25"/>
        <v>0</v>
      </c>
      <c r="L99" s="262">
        <f t="shared" si="26"/>
        <v>0</v>
      </c>
      <c r="M99" s="263">
        <f t="shared" si="27"/>
        <v>0</v>
      </c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spans="1:26" ht="14.4">
      <c r="A100" s="690"/>
      <c r="B100" s="230" t="s">
        <v>207</v>
      </c>
      <c r="C100" s="227"/>
      <c r="D100" s="201"/>
      <c r="E100" s="201"/>
      <c r="F100" s="202">
        <f t="shared" si="23"/>
        <v>0</v>
      </c>
      <c r="G100" s="203">
        <v>38230</v>
      </c>
      <c r="H100" s="203">
        <v>41000</v>
      </c>
      <c r="I100" s="204"/>
      <c r="J100" s="205">
        <f t="shared" si="24"/>
        <v>0</v>
      </c>
      <c r="K100" s="205">
        <f t="shared" si="25"/>
        <v>0</v>
      </c>
      <c r="L100" s="262">
        <f t="shared" si="26"/>
        <v>0</v>
      </c>
      <c r="M100" s="263">
        <f t="shared" si="27"/>
        <v>0</v>
      </c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spans="1:26" ht="14.4">
      <c r="A101" s="690"/>
      <c r="B101" s="230" t="s">
        <v>208</v>
      </c>
      <c r="C101" s="227">
        <v>6</v>
      </c>
      <c r="D101" s="201"/>
      <c r="E101" s="201"/>
      <c r="F101" s="202">
        <f t="shared" si="23"/>
        <v>6</v>
      </c>
      <c r="G101" s="203">
        <v>10985</v>
      </c>
      <c r="H101" s="203">
        <v>13000</v>
      </c>
      <c r="I101" s="204"/>
      <c r="J101" s="205">
        <f t="shared" si="24"/>
        <v>0</v>
      </c>
      <c r="K101" s="205">
        <f t="shared" si="25"/>
        <v>0</v>
      </c>
      <c r="L101" s="262">
        <f t="shared" si="26"/>
        <v>65910</v>
      </c>
      <c r="M101" s="263">
        <f t="shared" si="27"/>
        <v>78000</v>
      </c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spans="1:26" ht="14.4">
      <c r="A102" s="690"/>
      <c r="B102" s="230" t="s">
        <v>209</v>
      </c>
      <c r="C102" s="227">
        <v>2</v>
      </c>
      <c r="D102" s="201"/>
      <c r="E102" s="201"/>
      <c r="F102" s="202">
        <f t="shared" si="23"/>
        <v>2</v>
      </c>
      <c r="G102" s="210">
        <v>90151</v>
      </c>
      <c r="H102" s="210">
        <v>95000</v>
      </c>
      <c r="I102" s="204"/>
      <c r="J102" s="205">
        <f t="shared" si="24"/>
        <v>0</v>
      </c>
      <c r="K102" s="205">
        <f t="shared" si="25"/>
        <v>0</v>
      </c>
      <c r="L102" s="262">
        <f t="shared" si="26"/>
        <v>180302</v>
      </c>
      <c r="M102" s="263">
        <f t="shared" si="27"/>
        <v>190000</v>
      </c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spans="1:26" ht="14.4">
      <c r="A103" s="690"/>
      <c r="B103" s="265" t="s">
        <v>210</v>
      </c>
      <c r="C103" s="229">
        <v>3</v>
      </c>
      <c r="D103" s="201"/>
      <c r="E103" s="201"/>
      <c r="F103" s="202">
        <f t="shared" si="23"/>
        <v>3</v>
      </c>
      <c r="G103" s="210">
        <v>90151</v>
      </c>
      <c r="H103" s="210">
        <v>95000</v>
      </c>
      <c r="I103" s="204"/>
      <c r="J103" s="205">
        <f t="shared" si="24"/>
        <v>0</v>
      </c>
      <c r="K103" s="205">
        <f t="shared" si="25"/>
        <v>0</v>
      </c>
      <c r="L103" s="262">
        <f t="shared" si="26"/>
        <v>270453</v>
      </c>
      <c r="M103" s="263">
        <f t="shared" si="27"/>
        <v>285000</v>
      </c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spans="1:26" ht="14.4">
      <c r="A104" s="690"/>
      <c r="B104" s="230" t="s">
        <v>211</v>
      </c>
      <c r="C104" s="227">
        <v>6</v>
      </c>
      <c r="D104" s="201"/>
      <c r="E104" s="201"/>
      <c r="F104" s="202">
        <f t="shared" si="23"/>
        <v>6</v>
      </c>
      <c r="G104" s="266">
        <v>89506</v>
      </c>
      <c r="H104" s="203">
        <v>95000</v>
      </c>
      <c r="I104" s="204"/>
      <c r="J104" s="205">
        <f t="shared" si="24"/>
        <v>0</v>
      </c>
      <c r="K104" s="205">
        <f t="shared" si="25"/>
        <v>0</v>
      </c>
      <c r="L104" s="262">
        <f t="shared" si="26"/>
        <v>537036</v>
      </c>
      <c r="M104" s="263">
        <f t="shared" si="27"/>
        <v>570000</v>
      </c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spans="1:26" ht="14.4">
      <c r="A105" s="690"/>
      <c r="B105" s="230" t="s">
        <v>212</v>
      </c>
      <c r="C105" s="227">
        <v>34</v>
      </c>
      <c r="D105" s="201"/>
      <c r="E105" s="201"/>
      <c r="F105" s="202">
        <f t="shared" si="23"/>
        <v>34</v>
      </c>
      <c r="G105" s="267">
        <v>48729</v>
      </c>
      <c r="H105" s="203">
        <v>51000</v>
      </c>
      <c r="I105" s="204"/>
      <c r="J105" s="205">
        <f t="shared" si="24"/>
        <v>0</v>
      </c>
      <c r="K105" s="205">
        <f t="shared" si="25"/>
        <v>0</v>
      </c>
      <c r="L105" s="262">
        <f t="shared" si="26"/>
        <v>1656786</v>
      </c>
      <c r="M105" s="263">
        <f t="shared" si="27"/>
        <v>1734000</v>
      </c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spans="1:26" ht="14.4">
      <c r="A106" s="690"/>
      <c r="B106" s="230" t="s">
        <v>213</v>
      </c>
      <c r="C106" s="227"/>
      <c r="D106" s="201"/>
      <c r="E106" s="201"/>
      <c r="F106" s="202">
        <f t="shared" si="23"/>
        <v>0</v>
      </c>
      <c r="G106" s="267">
        <v>26542</v>
      </c>
      <c r="H106" s="203">
        <v>28000</v>
      </c>
      <c r="I106" s="204"/>
      <c r="J106" s="205">
        <f t="shared" si="24"/>
        <v>0</v>
      </c>
      <c r="K106" s="205">
        <f t="shared" si="25"/>
        <v>0</v>
      </c>
      <c r="L106" s="262">
        <f t="shared" si="26"/>
        <v>0</v>
      </c>
      <c r="M106" s="263">
        <f t="shared" si="27"/>
        <v>0</v>
      </c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spans="1:26" ht="14.4">
      <c r="A107" s="690"/>
      <c r="B107" s="230" t="s">
        <v>214</v>
      </c>
      <c r="C107" s="261">
        <v>7</v>
      </c>
      <c r="D107" s="201"/>
      <c r="E107" s="201"/>
      <c r="F107" s="202">
        <f t="shared" si="23"/>
        <v>7</v>
      </c>
      <c r="G107" s="267">
        <v>48729</v>
      </c>
      <c r="H107" s="203">
        <v>51000</v>
      </c>
      <c r="I107" s="204"/>
      <c r="J107" s="205">
        <f t="shared" si="24"/>
        <v>0</v>
      </c>
      <c r="K107" s="205">
        <f t="shared" si="25"/>
        <v>0</v>
      </c>
      <c r="L107" s="262">
        <f t="shared" si="26"/>
        <v>341103</v>
      </c>
      <c r="M107" s="263">
        <f t="shared" si="27"/>
        <v>357000</v>
      </c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spans="1:26" ht="14.4">
      <c r="A108" s="690"/>
      <c r="B108" s="230" t="s">
        <v>215</v>
      </c>
      <c r="C108" s="261">
        <v>13</v>
      </c>
      <c r="D108" s="201"/>
      <c r="E108" s="201"/>
      <c r="F108" s="202">
        <f t="shared" si="23"/>
        <v>13</v>
      </c>
      <c r="G108" s="203">
        <v>46856</v>
      </c>
      <c r="H108" s="203">
        <v>49000</v>
      </c>
      <c r="I108" s="204"/>
      <c r="J108" s="205">
        <f t="shared" si="24"/>
        <v>0</v>
      </c>
      <c r="K108" s="205">
        <f t="shared" si="25"/>
        <v>0</v>
      </c>
      <c r="L108" s="262">
        <f t="shared" si="26"/>
        <v>609128</v>
      </c>
      <c r="M108" s="263">
        <f t="shared" si="27"/>
        <v>637000</v>
      </c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spans="1:26" ht="14.4">
      <c r="A109" s="690"/>
      <c r="B109" s="230" t="s">
        <v>59</v>
      </c>
      <c r="C109" s="261">
        <v>11</v>
      </c>
      <c r="D109" s="201"/>
      <c r="E109" s="201"/>
      <c r="F109" s="202">
        <f t="shared" si="23"/>
        <v>11</v>
      </c>
      <c r="G109" s="203">
        <v>26234</v>
      </c>
      <c r="H109" s="203">
        <v>28000</v>
      </c>
      <c r="I109" s="204"/>
      <c r="J109" s="205">
        <f t="shared" si="24"/>
        <v>0</v>
      </c>
      <c r="K109" s="205">
        <f t="shared" si="25"/>
        <v>0</v>
      </c>
      <c r="L109" s="262">
        <f t="shared" si="26"/>
        <v>288574</v>
      </c>
      <c r="M109" s="263">
        <f t="shared" si="27"/>
        <v>308000</v>
      </c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spans="1:26" ht="14.4">
      <c r="A110" s="690"/>
      <c r="B110" s="230" t="s">
        <v>216</v>
      </c>
      <c r="C110" s="227">
        <v>4</v>
      </c>
      <c r="D110" s="201"/>
      <c r="E110" s="201"/>
      <c r="F110" s="202">
        <f t="shared" si="23"/>
        <v>4</v>
      </c>
      <c r="G110" s="203">
        <v>11700</v>
      </c>
      <c r="H110" s="203">
        <v>13000</v>
      </c>
      <c r="I110" s="204"/>
      <c r="J110" s="205">
        <f t="shared" si="24"/>
        <v>0</v>
      </c>
      <c r="K110" s="205">
        <f t="shared" si="25"/>
        <v>0</v>
      </c>
      <c r="L110" s="262">
        <f t="shared" si="26"/>
        <v>46800</v>
      </c>
      <c r="M110" s="263">
        <f t="shared" si="27"/>
        <v>52000</v>
      </c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spans="1:26" ht="14.4">
      <c r="A111" s="690"/>
      <c r="B111" s="230" t="s">
        <v>217</v>
      </c>
      <c r="C111" s="227">
        <v>2</v>
      </c>
      <c r="D111" s="201"/>
      <c r="E111" s="201"/>
      <c r="F111" s="202">
        <f t="shared" si="23"/>
        <v>2</v>
      </c>
      <c r="G111" s="203">
        <v>51378</v>
      </c>
      <c r="H111" s="203">
        <v>53000</v>
      </c>
      <c r="I111" s="204"/>
      <c r="J111" s="205">
        <f t="shared" si="24"/>
        <v>0</v>
      </c>
      <c r="K111" s="205">
        <f t="shared" si="25"/>
        <v>0</v>
      </c>
      <c r="L111" s="262">
        <f t="shared" si="26"/>
        <v>102756</v>
      </c>
      <c r="M111" s="263">
        <f t="shared" si="27"/>
        <v>106000</v>
      </c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spans="1:26" ht="14.4">
      <c r="A112" s="690"/>
      <c r="B112" s="230" t="s">
        <v>218</v>
      </c>
      <c r="C112" s="227">
        <v>2</v>
      </c>
      <c r="D112" s="201"/>
      <c r="E112" s="201"/>
      <c r="F112" s="202">
        <f t="shared" si="23"/>
        <v>2</v>
      </c>
      <c r="G112" s="203">
        <v>29440</v>
      </c>
      <c r="H112" s="203">
        <v>31000</v>
      </c>
      <c r="I112" s="204"/>
      <c r="J112" s="205">
        <f t="shared" si="24"/>
        <v>0</v>
      </c>
      <c r="K112" s="205">
        <f t="shared" si="25"/>
        <v>0</v>
      </c>
      <c r="L112" s="262">
        <f t="shared" si="26"/>
        <v>58880</v>
      </c>
      <c r="M112" s="263">
        <f t="shared" si="27"/>
        <v>62000</v>
      </c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spans="1:26" ht="14.4">
      <c r="A113" s="690"/>
      <c r="B113" s="230" t="s">
        <v>219</v>
      </c>
      <c r="C113" s="229">
        <v>2</v>
      </c>
      <c r="D113" s="201"/>
      <c r="E113" s="201"/>
      <c r="F113" s="202">
        <f t="shared" si="23"/>
        <v>2</v>
      </c>
      <c r="G113" s="203">
        <v>52351</v>
      </c>
      <c r="H113" s="203">
        <v>48000</v>
      </c>
      <c r="I113" s="204"/>
      <c r="J113" s="205">
        <f t="shared" si="24"/>
        <v>0</v>
      </c>
      <c r="K113" s="205">
        <f t="shared" si="25"/>
        <v>0</v>
      </c>
      <c r="L113" s="262">
        <f t="shared" si="26"/>
        <v>104702</v>
      </c>
      <c r="M113" s="263">
        <f t="shared" si="27"/>
        <v>96000</v>
      </c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spans="1:26" ht="14.4">
      <c r="A114" s="690"/>
      <c r="B114" s="230" t="s">
        <v>220</v>
      </c>
      <c r="C114" s="229"/>
      <c r="D114" s="201"/>
      <c r="E114" s="201"/>
      <c r="F114" s="202">
        <f t="shared" si="23"/>
        <v>0</v>
      </c>
      <c r="G114" s="203">
        <v>67573</v>
      </c>
      <c r="H114" s="203">
        <v>68000</v>
      </c>
      <c r="I114" s="204"/>
      <c r="J114" s="205">
        <f t="shared" si="24"/>
        <v>0</v>
      </c>
      <c r="K114" s="205">
        <f t="shared" si="25"/>
        <v>0</v>
      </c>
      <c r="L114" s="262">
        <f t="shared" si="26"/>
        <v>0</v>
      </c>
      <c r="M114" s="263">
        <f t="shared" si="27"/>
        <v>0</v>
      </c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spans="1:26" ht="14.4">
      <c r="A115" s="690"/>
      <c r="B115" s="230" t="s">
        <v>221</v>
      </c>
      <c r="C115" s="227">
        <v>1</v>
      </c>
      <c r="D115" s="201"/>
      <c r="E115" s="201"/>
      <c r="F115" s="202">
        <f t="shared" si="23"/>
        <v>1</v>
      </c>
      <c r="G115" s="203">
        <v>119000</v>
      </c>
      <c r="H115" s="203">
        <v>110000</v>
      </c>
      <c r="I115" s="204"/>
      <c r="J115" s="205">
        <f t="shared" si="24"/>
        <v>0</v>
      </c>
      <c r="K115" s="205">
        <f t="shared" si="25"/>
        <v>0</v>
      </c>
      <c r="L115" s="262">
        <f t="shared" si="26"/>
        <v>119000</v>
      </c>
      <c r="M115" s="263">
        <f t="shared" si="27"/>
        <v>110000</v>
      </c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spans="1:26" ht="14.4">
      <c r="A116" s="690"/>
      <c r="B116" s="230" t="s">
        <v>222</v>
      </c>
      <c r="C116" s="227">
        <v>3</v>
      </c>
      <c r="D116" s="201"/>
      <c r="E116" s="201"/>
      <c r="F116" s="202">
        <f t="shared" si="23"/>
        <v>3</v>
      </c>
      <c r="G116" s="203">
        <v>49403</v>
      </c>
      <c r="H116" s="203">
        <v>46000</v>
      </c>
      <c r="I116" s="204"/>
      <c r="J116" s="205">
        <f t="shared" si="24"/>
        <v>0</v>
      </c>
      <c r="K116" s="205">
        <f t="shared" si="25"/>
        <v>0</v>
      </c>
      <c r="L116" s="262">
        <f t="shared" si="26"/>
        <v>148209</v>
      </c>
      <c r="M116" s="263">
        <f t="shared" si="27"/>
        <v>138000</v>
      </c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spans="1:26" ht="14.4">
      <c r="A117" s="690"/>
      <c r="B117" s="230" t="s">
        <v>223</v>
      </c>
      <c r="C117" s="261">
        <v>4</v>
      </c>
      <c r="D117" s="201"/>
      <c r="E117" s="201"/>
      <c r="F117" s="202">
        <f t="shared" si="23"/>
        <v>4</v>
      </c>
      <c r="G117" s="203">
        <v>26477</v>
      </c>
      <c r="H117" s="203">
        <v>26000</v>
      </c>
      <c r="I117" s="204"/>
      <c r="J117" s="205">
        <f t="shared" si="24"/>
        <v>0</v>
      </c>
      <c r="K117" s="205">
        <f t="shared" si="25"/>
        <v>0</v>
      </c>
      <c r="L117" s="262">
        <f t="shared" si="26"/>
        <v>105908</v>
      </c>
      <c r="M117" s="263">
        <f t="shared" si="27"/>
        <v>104000</v>
      </c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spans="1:26" ht="14.4">
      <c r="A118" s="690"/>
      <c r="B118" s="230" t="s">
        <v>224</v>
      </c>
      <c r="C118" s="261">
        <v>6</v>
      </c>
      <c r="D118" s="201"/>
      <c r="E118" s="201"/>
      <c r="F118" s="202">
        <f t="shared" si="23"/>
        <v>6</v>
      </c>
      <c r="G118" s="203">
        <v>12985</v>
      </c>
      <c r="H118" s="203">
        <v>13000</v>
      </c>
      <c r="I118" s="204"/>
      <c r="J118" s="205">
        <f t="shared" si="24"/>
        <v>0</v>
      </c>
      <c r="K118" s="205">
        <f t="shared" si="25"/>
        <v>0</v>
      </c>
      <c r="L118" s="262">
        <f t="shared" si="26"/>
        <v>77910</v>
      </c>
      <c r="M118" s="263">
        <f t="shared" si="27"/>
        <v>78000</v>
      </c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spans="1:26" ht="14.4">
      <c r="A119" s="690"/>
      <c r="B119" s="230" t="s">
        <v>53</v>
      </c>
      <c r="C119" s="261"/>
      <c r="D119" s="201"/>
      <c r="E119" s="201"/>
      <c r="F119" s="202">
        <f t="shared" si="23"/>
        <v>0</v>
      </c>
      <c r="G119" s="203">
        <v>47400</v>
      </c>
      <c r="H119" s="203">
        <v>50000</v>
      </c>
      <c r="I119" s="204"/>
      <c r="J119" s="205">
        <f t="shared" si="24"/>
        <v>0</v>
      </c>
      <c r="K119" s="205">
        <f t="shared" si="25"/>
        <v>0</v>
      </c>
      <c r="L119" s="262">
        <f t="shared" si="26"/>
        <v>0</v>
      </c>
      <c r="M119" s="263">
        <f t="shared" si="27"/>
        <v>0</v>
      </c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spans="1:26" ht="14.4">
      <c r="A120" s="690"/>
      <c r="B120" s="230" t="s">
        <v>54</v>
      </c>
      <c r="C120" s="261">
        <v>21</v>
      </c>
      <c r="D120" s="201"/>
      <c r="E120" s="201"/>
      <c r="F120" s="202">
        <f t="shared" si="23"/>
        <v>21</v>
      </c>
      <c r="G120" s="203">
        <v>26400</v>
      </c>
      <c r="H120" s="203">
        <v>28000</v>
      </c>
      <c r="I120" s="204"/>
      <c r="J120" s="205">
        <f t="shared" si="24"/>
        <v>0</v>
      </c>
      <c r="K120" s="205">
        <f t="shared" si="25"/>
        <v>0</v>
      </c>
      <c r="L120" s="262">
        <f t="shared" si="26"/>
        <v>554400</v>
      </c>
      <c r="M120" s="263">
        <f t="shared" si="27"/>
        <v>588000</v>
      </c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spans="1:26" ht="14.4">
      <c r="A121" s="690"/>
      <c r="B121" s="230" t="s">
        <v>225</v>
      </c>
      <c r="C121" s="229">
        <v>9</v>
      </c>
      <c r="D121" s="201"/>
      <c r="E121" s="201"/>
      <c r="F121" s="202">
        <f t="shared" si="23"/>
        <v>9</v>
      </c>
      <c r="G121" s="203">
        <v>52500</v>
      </c>
      <c r="H121" s="203">
        <v>56000</v>
      </c>
      <c r="I121" s="204"/>
      <c r="J121" s="205">
        <f t="shared" si="24"/>
        <v>0</v>
      </c>
      <c r="K121" s="205">
        <f t="shared" si="25"/>
        <v>0</v>
      </c>
      <c r="L121" s="262">
        <f t="shared" si="26"/>
        <v>472500</v>
      </c>
      <c r="M121" s="263">
        <f t="shared" si="27"/>
        <v>504000</v>
      </c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spans="1:26" ht="14.4">
      <c r="A122" s="690"/>
      <c r="B122" s="230" t="s">
        <v>226</v>
      </c>
      <c r="C122" s="261">
        <v>2</v>
      </c>
      <c r="D122" s="201"/>
      <c r="E122" s="201"/>
      <c r="F122" s="202">
        <f t="shared" si="23"/>
        <v>2</v>
      </c>
      <c r="G122" s="203">
        <v>89400</v>
      </c>
      <c r="H122" s="203">
        <v>95000</v>
      </c>
      <c r="I122" s="204"/>
      <c r="J122" s="205">
        <f t="shared" si="24"/>
        <v>0</v>
      </c>
      <c r="K122" s="205">
        <f t="shared" si="25"/>
        <v>0</v>
      </c>
      <c r="L122" s="262">
        <f t="shared" si="26"/>
        <v>178800</v>
      </c>
      <c r="M122" s="263">
        <f t="shared" si="27"/>
        <v>190000</v>
      </c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spans="1:26" ht="14.4">
      <c r="A123" s="690"/>
      <c r="B123" s="230" t="s">
        <v>227</v>
      </c>
      <c r="C123" s="229">
        <v>2</v>
      </c>
      <c r="D123" s="201"/>
      <c r="E123" s="201"/>
      <c r="F123" s="202">
        <f t="shared" si="23"/>
        <v>2</v>
      </c>
      <c r="G123" s="203">
        <v>59900</v>
      </c>
      <c r="H123" s="203">
        <v>65000</v>
      </c>
      <c r="I123" s="204"/>
      <c r="J123" s="205">
        <f t="shared" si="24"/>
        <v>0</v>
      </c>
      <c r="K123" s="205">
        <f t="shared" si="25"/>
        <v>0</v>
      </c>
      <c r="L123" s="262">
        <f t="shared" si="26"/>
        <v>119800</v>
      </c>
      <c r="M123" s="263">
        <f t="shared" si="27"/>
        <v>130000</v>
      </c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spans="1:26" ht="14.4">
      <c r="A124" s="690"/>
      <c r="B124" s="230" t="s">
        <v>228</v>
      </c>
      <c r="C124" s="227">
        <v>1</v>
      </c>
      <c r="D124" s="201"/>
      <c r="E124" s="201"/>
      <c r="F124" s="202">
        <f t="shared" si="23"/>
        <v>1</v>
      </c>
      <c r="G124" s="203">
        <v>50000</v>
      </c>
      <c r="H124" s="203">
        <v>54000</v>
      </c>
      <c r="I124" s="224"/>
      <c r="J124" s="205">
        <f t="shared" si="24"/>
        <v>0</v>
      </c>
      <c r="K124" s="205">
        <f t="shared" si="25"/>
        <v>0</v>
      </c>
      <c r="L124" s="262">
        <f t="shared" si="26"/>
        <v>50000</v>
      </c>
      <c r="M124" s="263">
        <f t="shared" si="27"/>
        <v>54000</v>
      </c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spans="1:26" ht="14.4">
      <c r="A125" s="690"/>
      <c r="B125" s="230" t="s">
        <v>229</v>
      </c>
      <c r="C125" s="261">
        <v>1</v>
      </c>
      <c r="D125" s="201"/>
      <c r="E125" s="201"/>
      <c r="F125" s="202">
        <f t="shared" si="23"/>
        <v>1</v>
      </c>
      <c r="G125" s="203">
        <v>57000</v>
      </c>
      <c r="H125" s="203">
        <v>59000</v>
      </c>
      <c r="I125" s="224"/>
      <c r="J125" s="205">
        <f t="shared" si="24"/>
        <v>0</v>
      </c>
      <c r="K125" s="205">
        <f t="shared" si="25"/>
        <v>0</v>
      </c>
      <c r="L125" s="262">
        <f t="shared" si="26"/>
        <v>57000</v>
      </c>
      <c r="M125" s="263">
        <f t="shared" si="27"/>
        <v>59000</v>
      </c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spans="1:26" ht="14.4">
      <c r="A126" s="690"/>
      <c r="B126" s="230" t="s">
        <v>230</v>
      </c>
      <c r="C126" s="261">
        <v>3</v>
      </c>
      <c r="D126" s="201"/>
      <c r="E126" s="201"/>
      <c r="F126" s="202">
        <f t="shared" si="23"/>
        <v>3</v>
      </c>
      <c r="G126" s="203">
        <v>51600</v>
      </c>
      <c r="H126" s="203">
        <v>54000</v>
      </c>
      <c r="I126" s="204"/>
      <c r="J126" s="205">
        <f t="shared" si="24"/>
        <v>0</v>
      </c>
      <c r="K126" s="205">
        <f t="shared" si="25"/>
        <v>0</v>
      </c>
      <c r="L126" s="262">
        <f t="shared" si="26"/>
        <v>154800</v>
      </c>
      <c r="M126" s="263">
        <f t="shared" si="27"/>
        <v>162000</v>
      </c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spans="1:26" ht="14.4">
      <c r="A127" s="690"/>
      <c r="B127" s="230" t="s">
        <v>231</v>
      </c>
      <c r="C127" s="229">
        <v>9</v>
      </c>
      <c r="D127" s="201"/>
      <c r="E127" s="201"/>
      <c r="F127" s="202">
        <f t="shared" si="23"/>
        <v>9</v>
      </c>
      <c r="G127" s="203">
        <v>27000</v>
      </c>
      <c r="H127" s="203">
        <v>29200</v>
      </c>
      <c r="I127" s="204"/>
      <c r="J127" s="205">
        <f t="shared" si="24"/>
        <v>0</v>
      </c>
      <c r="K127" s="205">
        <f t="shared" si="25"/>
        <v>0</v>
      </c>
      <c r="L127" s="262">
        <f t="shared" si="26"/>
        <v>243000</v>
      </c>
      <c r="M127" s="263">
        <f t="shared" si="27"/>
        <v>262800</v>
      </c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spans="1:26" ht="14.4">
      <c r="A128" s="690"/>
      <c r="B128" s="230" t="s">
        <v>232</v>
      </c>
      <c r="C128" s="261"/>
      <c r="D128" s="201"/>
      <c r="E128" s="201"/>
      <c r="F128" s="202">
        <f t="shared" si="23"/>
        <v>0</v>
      </c>
      <c r="G128" s="203">
        <v>17000</v>
      </c>
      <c r="H128" s="203">
        <v>19000</v>
      </c>
      <c r="I128" s="204"/>
      <c r="J128" s="205">
        <f t="shared" si="24"/>
        <v>0</v>
      </c>
      <c r="K128" s="205">
        <f t="shared" si="25"/>
        <v>0</v>
      </c>
      <c r="L128" s="262">
        <f t="shared" si="26"/>
        <v>0</v>
      </c>
      <c r="M128" s="263">
        <f t="shared" si="27"/>
        <v>0</v>
      </c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spans="1:26" ht="14.4">
      <c r="A129" s="690"/>
      <c r="B129" s="230" t="s">
        <v>233</v>
      </c>
      <c r="C129" s="227">
        <v>1</v>
      </c>
      <c r="D129" s="201"/>
      <c r="E129" s="201"/>
      <c r="F129" s="202">
        <f t="shared" si="23"/>
        <v>1</v>
      </c>
      <c r="G129" s="203">
        <v>54500</v>
      </c>
      <c r="H129" s="203">
        <v>58000</v>
      </c>
      <c r="I129" s="204"/>
      <c r="J129" s="205">
        <f t="shared" si="24"/>
        <v>0</v>
      </c>
      <c r="K129" s="205">
        <f t="shared" si="25"/>
        <v>0</v>
      </c>
      <c r="L129" s="262">
        <f t="shared" si="26"/>
        <v>54500</v>
      </c>
      <c r="M129" s="263">
        <f t="shared" si="27"/>
        <v>58000</v>
      </c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spans="1:26" ht="14.4">
      <c r="A130" s="690"/>
      <c r="B130" s="230" t="s">
        <v>234</v>
      </c>
      <c r="C130" s="261">
        <v>3</v>
      </c>
      <c r="D130" s="201"/>
      <c r="E130" s="201"/>
      <c r="F130" s="202">
        <f t="shared" si="23"/>
        <v>3</v>
      </c>
      <c r="G130" s="203">
        <v>29000</v>
      </c>
      <c r="H130" s="203">
        <v>32000</v>
      </c>
      <c r="I130" s="204"/>
      <c r="J130" s="205">
        <f t="shared" si="24"/>
        <v>0</v>
      </c>
      <c r="K130" s="205">
        <f t="shared" si="25"/>
        <v>0</v>
      </c>
      <c r="L130" s="262">
        <f t="shared" si="26"/>
        <v>87000</v>
      </c>
      <c r="M130" s="263">
        <f t="shared" si="27"/>
        <v>96000</v>
      </c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spans="1:26" ht="14.4">
      <c r="A131" s="690"/>
      <c r="B131" s="230" t="s">
        <v>235</v>
      </c>
      <c r="C131" s="227">
        <v>1</v>
      </c>
      <c r="D131" s="201"/>
      <c r="E131" s="201"/>
      <c r="F131" s="202">
        <f t="shared" si="23"/>
        <v>1</v>
      </c>
      <c r="G131" s="203">
        <v>80000</v>
      </c>
      <c r="H131" s="203">
        <v>86000</v>
      </c>
      <c r="I131" s="204"/>
      <c r="J131" s="205">
        <f t="shared" si="24"/>
        <v>0</v>
      </c>
      <c r="K131" s="205">
        <f t="shared" si="25"/>
        <v>0</v>
      </c>
      <c r="L131" s="262">
        <f t="shared" si="26"/>
        <v>80000</v>
      </c>
      <c r="M131" s="263">
        <f t="shared" si="27"/>
        <v>86000</v>
      </c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spans="1:26" ht="14.4">
      <c r="A132" s="690"/>
      <c r="B132" s="230" t="s">
        <v>236</v>
      </c>
      <c r="C132" s="227">
        <v>2</v>
      </c>
      <c r="D132" s="201"/>
      <c r="E132" s="201"/>
      <c r="F132" s="202">
        <f t="shared" si="23"/>
        <v>2</v>
      </c>
      <c r="G132" s="203">
        <v>40500</v>
      </c>
      <c r="H132" s="203">
        <v>45000</v>
      </c>
      <c r="I132" s="204"/>
      <c r="J132" s="205">
        <f t="shared" si="24"/>
        <v>0</v>
      </c>
      <c r="K132" s="205">
        <f t="shared" si="25"/>
        <v>0</v>
      </c>
      <c r="L132" s="262">
        <f t="shared" si="26"/>
        <v>81000</v>
      </c>
      <c r="M132" s="263">
        <f t="shared" si="27"/>
        <v>90000</v>
      </c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spans="1:26" ht="14.4">
      <c r="A133" s="690"/>
      <c r="B133" s="230" t="s">
        <v>237</v>
      </c>
      <c r="C133" s="261"/>
      <c r="D133" s="201"/>
      <c r="E133" s="201"/>
      <c r="F133" s="202">
        <f t="shared" si="23"/>
        <v>0</v>
      </c>
      <c r="G133" s="203">
        <v>45100</v>
      </c>
      <c r="H133" s="203">
        <v>48000</v>
      </c>
      <c r="I133" s="204"/>
      <c r="J133" s="205">
        <f t="shared" si="24"/>
        <v>0</v>
      </c>
      <c r="K133" s="205">
        <f t="shared" si="25"/>
        <v>0</v>
      </c>
      <c r="L133" s="262">
        <f t="shared" si="26"/>
        <v>0</v>
      </c>
      <c r="M133" s="263">
        <f t="shared" si="27"/>
        <v>0</v>
      </c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spans="1:26" ht="14.4">
      <c r="A134" s="690"/>
      <c r="B134" s="230" t="s">
        <v>238</v>
      </c>
      <c r="C134" s="261">
        <v>1</v>
      </c>
      <c r="D134" s="201"/>
      <c r="E134" s="201"/>
      <c r="F134" s="202">
        <f t="shared" si="23"/>
        <v>1</v>
      </c>
      <c r="G134" s="203">
        <v>54600</v>
      </c>
      <c r="H134" s="203">
        <v>59000</v>
      </c>
      <c r="I134" s="204"/>
      <c r="J134" s="205">
        <f t="shared" si="24"/>
        <v>0</v>
      </c>
      <c r="K134" s="205">
        <f t="shared" si="25"/>
        <v>0</v>
      </c>
      <c r="L134" s="262">
        <f t="shared" si="26"/>
        <v>54600</v>
      </c>
      <c r="M134" s="263">
        <f t="shared" si="27"/>
        <v>59000</v>
      </c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spans="1:26" ht="14.4">
      <c r="A135" s="690"/>
      <c r="B135" s="230" t="s">
        <v>239</v>
      </c>
      <c r="C135" s="227">
        <v>1</v>
      </c>
      <c r="D135" s="201"/>
      <c r="E135" s="201"/>
      <c r="F135" s="202">
        <f t="shared" si="23"/>
        <v>1</v>
      </c>
      <c r="G135" s="203">
        <v>102000</v>
      </c>
      <c r="H135" s="203">
        <v>110000</v>
      </c>
      <c r="I135" s="204"/>
      <c r="J135" s="205">
        <f t="shared" si="24"/>
        <v>0</v>
      </c>
      <c r="K135" s="205">
        <f t="shared" si="25"/>
        <v>0</v>
      </c>
      <c r="L135" s="262">
        <f t="shared" si="26"/>
        <v>102000</v>
      </c>
      <c r="M135" s="263">
        <f t="shared" si="27"/>
        <v>110000</v>
      </c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spans="1:26" ht="14.4">
      <c r="A136" s="690"/>
      <c r="B136" s="230" t="s">
        <v>240</v>
      </c>
      <c r="C136" s="227">
        <v>1</v>
      </c>
      <c r="D136" s="201"/>
      <c r="E136" s="201"/>
      <c r="F136" s="202">
        <f t="shared" si="23"/>
        <v>1</v>
      </c>
      <c r="G136" s="203">
        <v>45000</v>
      </c>
      <c r="H136" s="203">
        <v>48000</v>
      </c>
      <c r="I136" s="204"/>
      <c r="J136" s="205">
        <f t="shared" si="24"/>
        <v>0</v>
      </c>
      <c r="K136" s="205">
        <f t="shared" si="25"/>
        <v>0</v>
      </c>
      <c r="L136" s="262">
        <f t="shared" si="26"/>
        <v>45000</v>
      </c>
      <c r="M136" s="263">
        <f t="shared" si="27"/>
        <v>48000</v>
      </c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spans="1:26" ht="14.4">
      <c r="A137" s="690"/>
      <c r="B137" s="230" t="s">
        <v>241</v>
      </c>
      <c r="C137" s="227">
        <v>2</v>
      </c>
      <c r="D137" s="201"/>
      <c r="E137" s="201"/>
      <c r="F137" s="202">
        <f t="shared" si="23"/>
        <v>2</v>
      </c>
      <c r="G137" s="203">
        <v>24000</v>
      </c>
      <c r="H137" s="203">
        <v>26000</v>
      </c>
      <c r="I137" s="204"/>
      <c r="J137" s="205">
        <f t="shared" si="24"/>
        <v>0</v>
      </c>
      <c r="K137" s="205">
        <f t="shared" si="25"/>
        <v>0</v>
      </c>
      <c r="L137" s="262">
        <f t="shared" si="26"/>
        <v>48000</v>
      </c>
      <c r="M137" s="263">
        <f t="shared" si="27"/>
        <v>52000</v>
      </c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spans="1:26" ht="14.4">
      <c r="A138" s="690"/>
      <c r="B138" s="264" t="s">
        <v>242</v>
      </c>
      <c r="C138" s="261">
        <v>9</v>
      </c>
      <c r="D138" s="201"/>
      <c r="E138" s="201"/>
      <c r="F138" s="202">
        <f t="shared" si="23"/>
        <v>9</v>
      </c>
      <c r="G138" s="210">
        <v>36000</v>
      </c>
      <c r="H138" s="210">
        <v>39500</v>
      </c>
      <c r="I138" s="204"/>
      <c r="J138" s="205">
        <f t="shared" si="24"/>
        <v>0</v>
      </c>
      <c r="K138" s="205">
        <f t="shared" si="25"/>
        <v>0</v>
      </c>
      <c r="L138" s="262">
        <f t="shared" si="26"/>
        <v>324000</v>
      </c>
      <c r="M138" s="263">
        <f t="shared" si="27"/>
        <v>355500</v>
      </c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spans="1:26" ht="14.4">
      <c r="A139" s="690"/>
      <c r="B139" s="230" t="s">
        <v>243</v>
      </c>
      <c r="C139" s="227">
        <v>4</v>
      </c>
      <c r="D139" s="201"/>
      <c r="E139" s="201"/>
      <c r="F139" s="202">
        <f t="shared" si="23"/>
        <v>4</v>
      </c>
      <c r="G139" s="210">
        <v>9000</v>
      </c>
      <c r="H139" s="210">
        <v>9500</v>
      </c>
      <c r="I139" s="204"/>
      <c r="J139" s="205">
        <f t="shared" si="24"/>
        <v>0</v>
      </c>
      <c r="K139" s="205">
        <f t="shared" si="25"/>
        <v>0</v>
      </c>
      <c r="L139" s="262">
        <f t="shared" si="26"/>
        <v>36000</v>
      </c>
      <c r="M139" s="263">
        <f t="shared" si="27"/>
        <v>38000</v>
      </c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spans="1:26" ht="14.4">
      <c r="A140" s="690"/>
      <c r="B140" s="230" t="s">
        <v>244</v>
      </c>
      <c r="C140" s="227">
        <v>2</v>
      </c>
      <c r="D140" s="201"/>
      <c r="E140" s="201"/>
      <c r="F140" s="202">
        <f t="shared" si="23"/>
        <v>2</v>
      </c>
      <c r="G140" s="212">
        <v>72000</v>
      </c>
      <c r="H140" s="212">
        <v>78000</v>
      </c>
      <c r="I140" s="213"/>
      <c r="J140" s="205">
        <f t="shared" si="24"/>
        <v>0</v>
      </c>
      <c r="K140" s="205">
        <f t="shared" si="25"/>
        <v>0</v>
      </c>
      <c r="L140" s="262">
        <f t="shared" si="26"/>
        <v>144000</v>
      </c>
      <c r="M140" s="263">
        <f t="shared" si="27"/>
        <v>156000</v>
      </c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spans="1:26" ht="14.4">
      <c r="A141" s="690"/>
      <c r="B141" s="268" t="s">
        <v>245</v>
      </c>
      <c r="C141" s="227"/>
      <c r="D141" s="201"/>
      <c r="E141" s="201"/>
      <c r="F141" s="202">
        <f t="shared" si="23"/>
        <v>0</v>
      </c>
      <c r="G141" s="212">
        <v>46000</v>
      </c>
      <c r="H141" s="212">
        <v>50000</v>
      </c>
      <c r="I141" s="213"/>
      <c r="J141" s="205">
        <f t="shared" si="24"/>
        <v>0</v>
      </c>
      <c r="K141" s="205">
        <f t="shared" si="25"/>
        <v>0</v>
      </c>
      <c r="L141" s="262">
        <f t="shared" si="26"/>
        <v>0</v>
      </c>
      <c r="M141" s="263">
        <f t="shared" si="27"/>
        <v>0</v>
      </c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spans="1:26" ht="14.4">
      <c r="A142" s="690"/>
      <c r="B142" s="268" t="s">
        <v>246</v>
      </c>
      <c r="C142" s="227"/>
      <c r="D142" s="201"/>
      <c r="E142" s="201"/>
      <c r="F142" s="202">
        <f t="shared" si="23"/>
        <v>0</v>
      </c>
      <c r="G142" s="212">
        <v>26000</v>
      </c>
      <c r="H142" s="212">
        <v>28000</v>
      </c>
      <c r="I142" s="213"/>
      <c r="J142" s="205">
        <f t="shared" si="24"/>
        <v>0</v>
      </c>
      <c r="K142" s="205">
        <f t="shared" si="25"/>
        <v>0</v>
      </c>
      <c r="L142" s="262">
        <f t="shared" si="26"/>
        <v>0</v>
      </c>
      <c r="M142" s="263">
        <f t="shared" si="27"/>
        <v>0</v>
      </c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spans="1:26" ht="14.4">
      <c r="A143" s="690"/>
      <c r="B143" s="268" t="s">
        <v>247</v>
      </c>
      <c r="C143" s="227">
        <v>4</v>
      </c>
      <c r="D143" s="201"/>
      <c r="E143" s="201"/>
      <c r="F143" s="202">
        <f t="shared" si="23"/>
        <v>4</v>
      </c>
      <c r="G143" s="212">
        <v>39000</v>
      </c>
      <c r="H143" s="212">
        <v>42000</v>
      </c>
      <c r="I143" s="213"/>
      <c r="J143" s="205">
        <f t="shared" si="24"/>
        <v>0</v>
      </c>
      <c r="K143" s="205">
        <f t="shared" si="25"/>
        <v>0</v>
      </c>
      <c r="L143" s="262">
        <f t="shared" si="26"/>
        <v>156000</v>
      </c>
      <c r="M143" s="263">
        <f t="shared" si="27"/>
        <v>168000</v>
      </c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spans="1:26" ht="14.4">
      <c r="A144" s="690"/>
      <c r="B144" s="268" t="s">
        <v>248</v>
      </c>
      <c r="C144" s="227">
        <v>10</v>
      </c>
      <c r="D144" s="201"/>
      <c r="E144" s="201"/>
      <c r="F144" s="202">
        <f t="shared" si="23"/>
        <v>10</v>
      </c>
      <c r="G144" s="212">
        <v>21000</v>
      </c>
      <c r="H144" s="212">
        <v>23000</v>
      </c>
      <c r="I144" s="213"/>
      <c r="J144" s="205">
        <f t="shared" si="24"/>
        <v>0</v>
      </c>
      <c r="K144" s="205">
        <f t="shared" si="25"/>
        <v>0</v>
      </c>
      <c r="L144" s="262">
        <f t="shared" si="26"/>
        <v>210000</v>
      </c>
      <c r="M144" s="263">
        <f t="shared" si="27"/>
        <v>230000</v>
      </c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spans="1:26" ht="14.4">
      <c r="A145" s="690"/>
      <c r="B145" s="269" t="s">
        <v>249</v>
      </c>
      <c r="C145" s="270"/>
      <c r="D145" s="271"/>
      <c r="E145" s="271"/>
      <c r="F145" s="272">
        <f t="shared" si="23"/>
        <v>0</v>
      </c>
      <c r="G145" s="212">
        <v>38500</v>
      </c>
      <c r="H145" s="212">
        <v>42000</v>
      </c>
      <c r="I145" s="240"/>
      <c r="J145" s="273">
        <f t="shared" si="24"/>
        <v>0</v>
      </c>
      <c r="K145" s="273">
        <f t="shared" si="25"/>
        <v>0</v>
      </c>
      <c r="L145" s="274">
        <f t="shared" si="26"/>
        <v>0</v>
      </c>
      <c r="M145" s="263">
        <f t="shared" si="27"/>
        <v>0</v>
      </c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spans="1:26" ht="14.4">
      <c r="A146" s="691"/>
      <c r="B146" s="275"/>
      <c r="C146" s="276"/>
      <c r="D146" s="276"/>
      <c r="E146" s="277"/>
      <c r="F146" s="278">
        <f>SUM(F88:F138)</f>
        <v>267</v>
      </c>
      <c r="G146" s="279">
        <f t="shared" ref="G146:H146" si="28">SUM(G88:G140)</f>
        <v>2596231</v>
      </c>
      <c r="H146" s="279">
        <f t="shared" si="28"/>
        <v>2726700</v>
      </c>
      <c r="I146" s="280">
        <f>SUM(I88:I138)</f>
        <v>0</v>
      </c>
      <c r="J146" s="281">
        <f t="shared" ref="J146:K146" si="29">SUM(J88:J140)</f>
        <v>0</v>
      </c>
      <c r="K146" s="281">
        <f t="shared" si="29"/>
        <v>0</v>
      </c>
      <c r="L146" s="281">
        <f>SUM(L88:L145)</f>
        <v>11250488</v>
      </c>
      <c r="M146" s="281">
        <f>SUM(M88:M140)</f>
        <v>11480300</v>
      </c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spans="1:26" ht="14.4">
      <c r="A147" s="692"/>
      <c r="B147" s="282" t="s">
        <v>250</v>
      </c>
      <c r="C147" s="283">
        <v>2.5</v>
      </c>
      <c r="D147" s="284"/>
      <c r="E147" s="284"/>
      <c r="F147" s="285">
        <f t="shared" ref="F147:F157" si="30">+C147+D147-E147</f>
        <v>2.5</v>
      </c>
      <c r="G147" s="286">
        <v>37000</v>
      </c>
      <c r="H147" s="286">
        <v>40000</v>
      </c>
      <c r="I147" s="287"/>
      <c r="J147" s="288">
        <f t="shared" ref="J147:J157" si="31">+I147*H147</f>
        <v>0</v>
      </c>
      <c r="K147" s="288">
        <f t="shared" ref="K147:K157" si="32">+(H147-G147)*I147</f>
        <v>0</v>
      </c>
      <c r="L147" s="289">
        <f t="shared" ref="L147:L157" si="33">+G147*F147</f>
        <v>92500</v>
      </c>
      <c r="M147" s="290">
        <f t="shared" ref="M147:M157" si="34">F147*H147</f>
        <v>100000</v>
      </c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spans="1:26" ht="14.4">
      <c r="A148" s="693"/>
      <c r="B148" s="291" t="s">
        <v>251</v>
      </c>
      <c r="C148" s="227">
        <v>4</v>
      </c>
      <c r="D148" s="201"/>
      <c r="E148" s="201"/>
      <c r="F148" s="202">
        <f t="shared" si="30"/>
        <v>4</v>
      </c>
      <c r="G148" s="203">
        <v>6000</v>
      </c>
      <c r="H148" s="203">
        <v>7000</v>
      </c>
      <c r="I148" s="204"/>
      <c r="J148" s="205">
        <f t="shared" si="31"/>
        <v>0</v>
      </c>
      <c r="K148" s="205">
        <f t="shared" si="32"/>
        <v>0</v>
      </c>
      <c r="L148" s="250">
        <f t="shared" si="33"/>
        <v>24000</v>
      </c>
      <c r="M148" s="292">
        <f t="shared" si="34"/>
        <v>28000</v>
      </c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spans="1:26" ht="14.4">
      <c r="A149" s="693"/>
      <c r="B149" s="291" t="s">
        <v>252</v>
      </c>
      <c r="C149" s="227">
        <v>115</v>
      </c>
      <c r="D149" s="201"/>
      <c r="E149" s="201"/>
      <c r="F149" s="202">
        <f t="shared" si="30"/>
        <v>115</v>
      </c>
      <c r="G149" s="203">
        <v>45800</v>
      </c>
      <c r="H149" s="203">
        <v>54000</v>
      </c>
      <c r="I149" s="204"/>
      <c r="J149" s="205">
        <f t="shared" si="31"/>
        <v>0</v>
      </c>
      <c r="K149" s="205">
        <f t="shared" si="32"/>
        <v>0</v>
      </c>
      <c r="L149" s="250">
        <f t="shared" si="33"/>
        <v>5267000</v>
      </c>
      <c r="M149" s="292">
        <f t="shared" si="34"/>
        <v>6210000</v>
      </c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spans="1:26" ht="14.4">
      <c r="A150" s="693"/>
      <c r="B150" s="291" t="s">
        <v>253</v>
      </c>
      <c r="C150" s="238">
        <v>37</v>
      </c>
      <c r="D150" s="201"/>
      <c r="E150" s="201"/>
      <c r="F150" s="202">
        <f t="shared" si="30"/>
        <v>37</v>
      </c>
      <c r="G150" s="203">
        <v>28500</v>
      </c>
      <c r="H150" s="203">
        <v>31700</v>
      </c>
      <c r="I150" s="204"/>
      <c r="J150" s="205">
        <f t="shared" si="31"/>
        <v>0</v>
      </c>
      <c r="K150" s="205">
        <f t="shared" si="32"/>
        <v>0</v>
      </c>
      <c r="L150" s="250">
        <f t="shared" si="33"/>
        <v>1054500</v>
      </c>
      <c r="M150" s="292">
        <f t="shared" si="34"/>
        <v>1172900</v>
      </c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spans="1:26" ht="14.4">
      <c r="A151" s="693"/>
      <c r="B151" s="291" t="s">
        <v>254</v>
      </c>
      <c r="C151" s="229"/>
      <c r="D151" s="201"/>
      <c r="E151" s="201"/>
      <c r="F151" s="202">
        <f t="shared" si="30"/>
        <v>0</v>
      </c>
      <c r="G151" s="203">
        <v>32000</v>
      </c>
      <c r="H151" s="203">
        <v>33700</v>
      </c>
      <c r="I151" s="204"/>
      <c r="J151" s="205">
        <f t="shared" si="31"/>
        <v>0</v>
      </c>
      <c r="K151" s="205">
        <f t="shared" si="32"/>
        <v>0</v>
      </c>
      <c r="L151" s="250">
        <f t="shared" si="33"/>
        <v>0</v>
      </c>
      <c r="M151" s="292">
        <f t="shared" si="34"/>
        <v>0</v>
      </c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spans="1:26" ht="14.4">
      <c r="A152" s="693"/>
      <c r="B152" s="291" t="s">
        <v>255</v>
      </c>
      <c r="C152" s="227">
        <v>2</v>
      </c>
      <c r="D152" s="201"/>
      <c r="E152" s="201"/>
      <c r="F152" s="202">
        <f t="shared" si="30"/>
        <v>2</v>
      </c>
      <c r="G152" s="203">
        <v>10500</v>
      </c>
      <c r="H152" s="203">
        <v>12500</v>
      </c>
      <c r="I152" s="204"/>
      <c r="J152" s="205">
        <f t="shared" si="31"/>
        <v>0</v>
      </c>
      <c r="K152" s="205">
        <f t="shared" si="32"/>
        <v>0</v>
      </c>
      <c r="L152" s="250">
        <f t="shared" si="33"/>
        <v>21000</v>
      </c>
      <c r="M152" s="292">
        <f t="shared" si="34"/>
        <v>25000</v>
      </c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spans="1:26" ht="14.4">
      <c r="A153" s="693"/>
      <c r="B153" s="291" t="s">
        <v>256</v>
      </c>
      <c r="C153" s="227">
        <v>9</v>
      </c>
      <c r="D153" s="201"/>
      <c r="E153" s="201"/>
      <c r="F153" s="202">
        <f t="shared" si="30"/>
        <v>9</v>
      </c>
      <c r="G153" s="203">
        <v>46000</v>
      </c>
      <c r="H153" s="203">
        <v>52000</v>
      </c>
      <c r="I153" s="204"/>
      <c r="J153" s="205">
        <f t="shared" si="31"/>
        <v>0</v>
      </c>
      <c r="K153" s="205">
        <f t="shared" si="32"/>
        <v>0</v>
      </c>
      <c r="L153" s="250">
        <f t="shared" si="33"/>
        <v>414000</v>
      </c>
      <c r="M153" s="292">
        <f t="shared" si="34"/>
        <v>468000</v>
      </c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spans="1:26" ht="14.4">
      <c r="A154" s="693"/>
      <c r="B154" s="291" t="s">
        <v>257</v>
      </c>
      <c r="C154" s="227">
        <v>185</v>
      </c>
      <c r="D154" s="201"/>
      <c r="E154" s="201"/>
      <c r="F154" s="202">
        <f t="shared" si="30"/>
        <v>185</v>
      </c>
      <c r="G154" s="203">
        <v>51900</v>
      </c>
      <c r="H154" s="203">
        <v>61000</v>
      </c>
      <c r="I154" s="204"/>
      <c r="J154" s="205">
        <f t="shared" si="31"/>
        <v>0</v>
      </c>
      <c r="K154" s="205">
        <f t="shared" si="32"/>
        <v>0</v>
      </c>
      <c r="L154" s="250">
        <f t="shared" si="33"/>
        <v>9601500</v>
      </c>
      <c r="M154" s="292">
        <f t="shared" si="34"/>
        <v>11285000</v>
      </c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spans="1:26" ht="14.4">
      <c r="A155" s="693"/>
      <c r="B155" s="291" t="s">
        <v>258</v>
      </c>
      <c r="C155" s="227">
        <v>39</v>
      </c>
      <c r="D155" s="293"/>
      <c r="E155" s="201"/>
      <c r="F155" s="202">
        <f t="shared" si="30"/>
        <v>39</v>
      </c>
      <c r="G155" s="203">
        <v>36400</v>
      </c>
      <c r="H155" s="203">
        <v>44000</v>
      </c>
      <c r="I155" s="204"/>
      <c r="J155" s="205">
        <f t="shared" si="31"/>
        <v>0</v>
      </c>
      <c r="K155" s="205">
        <f t="shared" si="32"/>
        <v>0</v>
      </c>
      <c r="L155" s="250">
        <f t="shared" si="33"/>
        <v>1419600</v>
      </c>
      <c r="M155" s="292">
        <f t="shared" si="34"/>
        <v>1716000</v>
      </c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spans="1:26" ht="14.4">
      <c r="A156" s="693"/>
      <c r="B156" s="291" t="s">
        <v>259</v>
      </c>
      <c r="C156" s="229"/>
      <c r="D156" s="201"/>
      <c r="E156" s="201"/>
      <c r="F156" s="202">
        <f t="shared" si="30"/>
        <v>0</v>
      </c>
      <c r="G156" s="203">
        <v>6650</v>
      </c>
      <c r="H156" s="203">
        <v>7000</v>
      </c>
      <c r="I156" s="204"/>
      <c r="J156" s="205">
        <f t="shared" si="31"/>
        <v>0</v>
      </c>
      <c r="K156" s="205">
        <f t="shared" si="32"/>
        <v>0</v>
      </c>
      <c r="L156" s="250">
        <f t="shared" si="33"/>
        <v>0</v>
      </c>
      <c r="M156" s="292">
        <f t="shared" si="34"/>
        <v>0</v>
      </c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spans="1:26" ht="14.4">
      <c r="A157" s="693"/>
      <c r="B157" s="294" t="s">
        <v>260</v>
      </c>
      <c r="C157" s="295"/>
      <c r="D157" s="296"/>
      <c r="E157" s="296"/>
      <c r="F157" s="297">
        <f t="shared" si="30"/>
        <v>0</v>
      </c>
      <c r="G157" s="298">
        <v>10200</v>
      </c>
      <c r="H157" s="298">
        <v>12000</v>
      </c>
      <c r="I157" s="299"/>
      <c r="J157" s="300">
        <f t="shared" si="31"/>
        <v>0</v>
      </c>
      <c r="K157" s="300">
        <f t="shared" si="32"/>
        <v>0</v>
      </c>
      <c r="L157" s="301">
        <f t="shared" si="33"/>
        <v>0</v>
      </c>
      <c r="M157" s="302">
        <f t="shared" si="34"/>
        <v>0</v>
      </c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spans="1:26" ht="14.4">
      <c r="A158" s="694"/>
      <c r="B158" s="303"/>
      <c r="C158" s="304">
        <f t="shared" ref="C158:M158" si="35">SUM(C147:C157)</f>
        <v>393.5</v>
      </c>
      <c r="D158" s="304">
        <f t="shared" si="35"/>
        <v>0</v>
      </c>
      <c r="E158" s="304">
        <f t="shared" si="35"/>
        <v>0</v>
      </c>
      <c r="F158" s="305">
        <f t="shared" si="35"/>
        <v>393.5</v>
      </c>
      <c r="G158" s="306">
        <f t="shared" si="35"/>
        <v>310950</v>
      </c>
      <c r="H158" s="306">
        <f t="shared" si="35"/>
        <v>354900</v>
      </c>
      <c r="I158" s="307">
        <f t="shared" si="35"/>
        <v>0</v>
      </c>
      <c r="J158" s="307">
        <f t="shared" si="35"/>
        <v>0</v>
      </c>
      <c r="K158" s="307">
        <f t="shared" si="35"/>
        <v>0</v>
      </c>
      <c r="L158" s="307">
        <f t="shared" si="35"/>
        <v>17894100</v>
      </c>
      <c r="M158" s="308">
        <f t="shared" si="35"/>
        <v>21004900</v>
      </c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spans="1:26" ht="14.4">
      <c r="A159" s="695"/>
      <c r="B159" s="309" t="s">
        <v>261</v>
      </c>
      <c r="C159" s="310">
        <v>4</v>
      </c>
      <c r="D159" s="311"/>
      <c r="E159" s="311"/>
      <c r="F159" s="312">
        <f t="shared" ref="F159:F180" si="36">+C159+D159-E159</f>
        <v>4</v>
      </c>
      <c r="G159" s="313">
        <v>10000</v>
      </c>
      <c r="H159" s="313">
        <v>10500</v>
      </c>
      <c r="I159" s="314"/>
      <c r="J159" s="315">
        <f t="shared" ref="J159:J180" si="37">+I159*H159</f>
        <v>0</v>
      </c>
      <c r="K159" s="315">
        <f t="shared" ref="K159:K180" si="38">+(H159-G159)*I159</f>
        <v>0</v>
      </c>
      <c r="L159" s="316">
        <f t="shared" ref="L159:L180" si="39">+G159*F159</f>
        <v>40000</v>
      </c>
      <c r="M159" s="317">
        <f t="shared" ref="M159:M180" si="40">F159*H159</f>
        <v>42000</v>
      </c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spans="1:26" ht="14.4">
      <c r="A160" s="696"/>
      <c r="B160" s="318" t="s">
        <v>262</v>
      </c>
      <c r="C160" s="227"/>
      <c r="D160" s="201"/>
      <c r="E160" s="201"/>
      <c r="F160" s="202">
        <f t="shared" si="36"/>
        <v>0</v>
      </c>
      <c r="G160" s="203">
        <v>12000</v>
      </c>
      <c r="H160" s="203">
        <v>15000</v>
      </c>
      <c r="I160" s="224"/>
      <c r="J160" s="205">
        <f t="shared" si="37"/>
        <v>0</v>
      </c>
      <c r="K160" s="205">
        <f t="shared" si="38"/>
        <v>0</v>
      </c>
      <c r="L160" s="319">
        <f t="shared" si="39"/>
        <v>0</v>
      </c>
      <c r="M160" s="320">
        <f t="shared" si="40"/>
        <v>0</v>
      </c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spans="1:26" ht="14.4">
      <c r="A161" s="696"/>
      <c r="B161" s="318" t="s">
        <v>263</v>
      </c>
      <c r="C161" s="227">
        <v>1</v>
      </c>
      <c r="D161" s="201"/>
      <c r="E161" s="201"/>
      <c r="F161" s="202">
        <f t="shared" si="36"/>
        <v>1</v>
      </c>
      <c r="G161" s="203">
        <v>14000</v>
      </c>
      <c r="H161" s="203">
        <v>17000</v>
      </c>
      <c r="I161" s="224"/>
      <c r="J161" s="205">
        <f t="shared" si="37"/>
        <v>0</v>
      </c>
      <c r="K161" s="205">
        <f t="shared" si="38"/>
        <v>0</v>
      </c>
      <c r="L161" s="319">
        <f t="shared" si="39"/>
        <v>14000</v>
      </c>
      <c r="M161" s="320">
        <f t="shared" si="40"/>
        <v>17000</v>
      </c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spans="1:26" ht="14.4">
      <c r="A162" s="696"/>
      <c r="B162" s="318" t="s">
        <v>264</v>
      </c>
      <c r="C162" s="227">
        <v>4</v>
      </c>
      <c r="D162" s="201"/>
      <c r="E162" s="201"/>
      <c r="F162" s="202">
        <f t="shared" si="36"/>
        <v>4</v>
      </c>
      <c r="G162" s="203">
        <v>7200</v>
      </c>
      <c r="H162" s="203">
        <v>8000</v>
      </c>
      <c r="I162" s="224"/>
      <c r="J162" s="205">
        <f t="shared" si="37"/>
        <v>0</v>
      </c>
      <c r="K162" s="205">
        <f t="shared" si="38"/>
        <v>0</v>
      </c>
      <c r="L162" s="319">
        <f t="shared" si="39"/>
        <v>28800</v>
      </c>
      <c r="M162" s="320">
        <f t="shared" si="40"/>
        <v>32000</v>
      </c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spans="1:26" ht="14.4">
      <c r="A163" s="696"/>
      <c r="B163" s="318" t="s">
        <v>265</v>
      </c>
      <c r="C163" s="227">
        <v>4</v>
      </c>
      <c r="D163" s="201"/>
      <c r="E163" s="321"/>
      <c r="F163" s="202">
        <f t="shared" si="36"/>
        <v>4</v>
      </c>
      <c r="G163" s="203">
        <v>10000</v>
      </c>
      <c r="H163" s="203">
        <v>12000</v>
      </c>
      <c r="I163" s="224"/>
      <c r="J163" s="205">
        <f t="shared" si="37"/>
        <v>0</v>
      </c>
      <c r="K163" s="205">
        <f t="shared" si="38"/>
        <v>0</v>
      </c>
      <c r="L163" s="319">
        <f t="shared" si="39"/>
        <v>40000</v>
      </c>
      <c r="M163" s="320">
        <f t="shared" si="40"/>
        <v>48000</v>
      </c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spans="1:26" ht="14.4">
      <c r="A164" s="696"/>
      <c r="B164" s="322" t="s">
        <v>266</v>
      </c>
      <c r="C164" s="227">
        <v>4</v>
      </c>
      <c r="D164" s="201"/>
      <c r="E164" s="321"/>
      <c r="F164" s="202">
        <f t="shared" si="36"/>
        <v>4</v>
      </c>
      <c r="G164" s="203">
        <v>11000</v>
      </c>
      <c r="H164" s="203">
        <v>12500</v>
      </c>
      <c r="I164" s="204"/>
      <c r="J164" s="205">
        <f t="shared" si="37"/>
        <v>0</v>
      </c>
      <c r="K164" s="205">
        <f t="shared" si="38"/>
        <v>0</v>
      </c>
      <c r="L164" s="323">
        <f t="shared" si="39"/>
        <v>44000</v>
      </c>
      <c r="M164" s="320">
        <f t="shared" si="40"/>
        <v>50000</v>
      </c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spans="1:26" ht="14.4">
      <c r="A165" s="696"/>
      <c r="B165" s="322" t="s">
        <v>267</v>
      </c>
      <c r="C165" s="227">
        <v>89</v>
      </c>
      <c r="D165" s="201"/>
      <c r="E165" s="321"/>
      <c r="F165" s="202">
        <f t="shared" si="36"/>
        <v>89</v>
      </c>
      <c r="G165" s="203">
        <v>2500</v>
      </c>
      <c r="H165" s="203">
        <v>3000</v>
      </c>
      <c r="I165" s="204"/>
      <c r="J165" s="205">
        <f t="shared" si="37"/>
        <v>0</v>
      </c>
      <c r="K165" s="205">
        <f t="shared" si="38"/>
        <v>0</v>
      </c>
      <c r="L165" s="323">
        <f t="shared" si="39"/>
        <v>222500</v>
      </c>
      <c r="M165" s="320">
        <f t="shared" si="40"/>
        <v>267000</v>
      </c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spans="1:26" ht="14.4">
      <c r="A166" s="696"/>
      <c r="B166" s="322" t="s">
        <v>268</v>
      </c>
      <c r="C166" s="227"/>
      <c r="D166" s="201"/>
      <c r="E166" s="321"/>
      <c r="F166" s="202">
        <f t="shared" si="36"/>
        <v>0</v>
      </c>
      <c r="G166" s="203">
        <v>13000</v>
      </c>
      <c r="H166" s="203">
        <v>15000</v>
      </c>
      <c r="I166" s="204"/>
      <c r="J166" s="205">
        <f t="shared" si="37"/>
        <v>0</v>
      </c>
      <c r="K166" s="205">
        <f t="shared" si="38"/>
        <v>0</v>
      </c>
      <c r="L166" s="323">
        <f t="shared" si="39"/>
        <v>0</v>
      </c>
      <c r="M166" s="320">
        <f t="shared" si="40"/>
        <v>0</v>
      </c>
      <c r="N166" s="191"/>
      <c r="O166" s="191"/>
      <c r="P166" s="324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spans="1:26" ht="14.4">
      <c r="A167" s="696"/>
      <c r="B167" s="318" t="s">
        <v>269</v>
      </c>
      <c r="C167" s="229">
        <v>5</v>
      </c>
      <c r="D167" s="201"/>
      <c r="E167" s="321"/>
      <c r="F167" s="202">
        <f t="shared" si="36"/>
        <v>5</v>
      </c>
      <c r="G167" s="203">
        <v>26000</v>
      </c>
      <c r="H167" s="203">
        <v>28000</v>
      </c>
      <c r="I167" s="204"/>
      <c r="J167" s="205">
        <f t="shared" si="37"/>
        <v>0</v>
      </c>
      <c r="K167" s="205">
        <f t="shared" si="38"/>
        <v>0</v>
      </c>
      <c r="L167" s="323">
        <f t="shared" si="39"/>
        <v>130000</v>
      </c>
      <c r="M167" s="320">
        <f t="shared" si="40"/>
        <v>140000</v>
      </c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spans="1:26" ht="14.4">
      <c r="A168" s="696"/>
      <c r="B168" s="318" t="s">
        <v>270</v>
      </c>
      <c r="C168" s="229">
        <v>18</v>
      </c>
      <c r="D168" s="201"/>
      <c r="E168" s="321"/>
      <c r="F168" s="202">
        <f t="shared" si="36"/>
        <v>18</v>
      </c>
      <c r="G168" s="203">
        <v>13600</v>
      </c>
      <c r="H168" s="203">
        <v>15000</v>
      </c>
      <c r="I168" s="204"/>
      <c r="J168" s="205">
        <f t="shared" si="37"/>
        <v>0</v>
      </c>
      <c r="K168" s="205">
        <f t="shared" si="38"/>
        <v>0</v>
      </c>
      <c r="L168" s="323">
        <f t="shared" si="39"/>
        <v>244800</v>
      </c>
      <c r="M168" s="320">
        <f t="shared" si="40"/>
        <v>270000</v>
      </c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spans="1:26" ht="14.4">
      <c r="A169" s="696"/>
      <c r="B169" s="318" t="s">
        <v>271</v>
      </c>
      <c r="C169" s="227">
        <v>2</v>
      </c>
      <c r="D169" s="201"/>
      <c r="E169" s="321"/>
      <c r="F169" s="202">
        <f t="shared" si="36"/>
        <v>2</v>
      </c>
      <c r="G169" s="203">
        <v>30000</v>
      </c>
      <c r="H169" s="203">
        <v>36000</v>
      </c>
      <c r="I169" s="204"/>
      <c r="J169" s="205">
        <f t="shared" si="37"/>
        <v>0</v>
      </c>
      <c r="K169" s="205">
        <f t="shared" si="38"/>
        <v>0</v>
      </c>
      <c r="L169" s="323">
        <f t="shared" si="39"/>
        <v>60000</v>
      </c>
      <c r="M169" s="320">
        <f t="shared" si="40"/>
        <v>72000</v>
      </c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spans="1:26" ht="14.4">
      <c r="A170" s="696"/>
      <c r="B170" s="322" t="s">
        <v>272</v>
      </c>
      <c r="C170" s="227">
        <v>7</v>
      </c>
      <c r="D170" s="201"/>
      <c r="E170" s="321"/>
      <c r="F170" s="202">
        <f t="shared" si="36"/>
        <v>7</v>
      </c>
      <c r="G170" s="203">
        <v>20400</v>
      </c>
      <c r="H170" s="203">
        <v>24000</v>
      </c>
      <c r="I170" s="204"/>
      <c r="J170" s="205">
        <f t="shared" si="37"/>
        <v>0</v>
      </c>
      <c r="K170" s="205">
        <f t="shared" si="38"/>
        <v>0</v>
      </c>
      <c r="L170" s="323">
        <f t="shared" si="39"/>
        <v>142800</v>
      </c>
      <c r="M170" s="320">
        <f t="shared" si="40"/>
        <v>168000</v>
      </c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spans="1:26" ht="14.4">
      <c r="A171" s="696"/>
      <c r="B171" s="322" t="s">
        <v>273</v>
      </c>
      <c r="C171" s="227">
        <v>9</v>
      </c>
      <c r="D171" s="201"/>
      <c r="E171" s="321"/>
      <c r="F171" s="202">
        <f t="shared" si="36"/>
        <v>9</v>
      </c>
      <c r="G171" s="203">
        <v>18700</v>
      </c>
      <c r="H171" s="203">
        <v>22000</v>
      </c>
      <c r="I171" s="204"/>
      <c r="J171" s="205">
        <f t="shared" si="37"/>
        <v>0</v>
      </c>
      <c r="K171" s="205">
        <f t="shared" si="38"/>
        <v>0</v>
      </c>
      <c r="L171" s="323">
        <f t="shared" si="39"/>
        <v>168300</v>
      </c>
      <c r="M171" s="320">
        <f t="shared" si="40"/>
        <v>198000</v>
      </c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spans="1:26" ht="14.4">
      <c r="A172" s="696"/>
      <c r="B172" s="322" t="s">
        <v>274</v>
      </c>
      <c r="C172" s="227">
        <v>22</v>
      </c>
      <c r="D172" s="201"/>
      <c r="E172" s="321"/>
      <c r="F172" s="202">
        <f t="shared" si="36"/>
        <v>22</v>
      </c>
      <c r="G172" s="203">
        <v>10800</v>
      </c>
      <c r="H172" s="203">
        <v>13500</v>
      </c>
      <c r="I172" s="204"/>
      <c r="J172" s="205">
        <f t="shared" si="37"/>
        <v>0</v>
      </c>
      <c r="K172" s="205">
        <f t="shared" si="38"/>
        <v>0</v>
      </c>
      <c r="L172" s="323">
        <f t="shared" si="39"/>
        <v>237600</v>
      </c>
      <c r="M172" s="320">
        <f t="shared" si="40"/>
        <v>297000</v>
      </c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spans="1:26" ht="14.4">
      <c r="A173" s="696"/>
      <c r="B173" s="322" t="s">
        <v>275</v>
      </c>
      <c r="C173" s="227">
        <v>8</v>
      </c>
      <c r="D173" s="201"/>
      <c r="E173" s="321"/>
      <c r="F173" s="202">
        <f t="shared" si="36"/>
        <v>8</v>
      </c>
      <c r="G173" s="203">
        <v>13300</v>
      </c>
      <c r="H173" s="203">
        <v>15000</v>
      </c>
      <c r="I173" s="204"/>
      <c r="J173" s="205">
        <f t="shared" si="37"/>
        <v>0</v>
      </c>
      <c r="K173" s="205">
        <f t="shared" si="38"/>
        <v>0</v>
      </c>
      <c r="L173" s="323">
        <f t="shared" si="39"/>
        <v>106400</v>
      </c>
      <c r="M173" s="320">
        <f t="shared" si="40"/>
        <v>120000</v>
      </c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spans="1:26" ht="14.4">
      <c r="A174" s="696"/>
      <c r="B174" s="322" t="s">
        <v>276</v>
      </c>
      <c r="C174" s="227">
        <v>4</v>
      </c>
      <c r="D174" s="201"/>
      <c r="E174" s="321"/>
      <c r="F174" s="202">
        <f t="shared" si="36"/>
        <v>4</v>
      </c>
      <c r="G174" s="203">
        <v>22000</v>
      </c>
      <c r="H174" s="203">
        <v>25000</v>
      </c>
      <c r="I174" s="204"/>
      <c r="J174" s="205">
        <f t="shared" si="37"/>
        <v>0</v>
      </c>
      <c r="K174" s="205">
        <f t="shared" si="38"/>
        <v>0</v>
      </c>
      <c r="L174" s="323">
        <f t="shared" si="39"/>
        <v>88000</v>
      </c>
      <c r="M174" s="320">
        <f t="shared" si="40"/>
        <v>100000</v>
      </c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spans="1:26" ht="14.4">
      <c r="A175" s="696"/>
      <c r="B175" s="322" t="s">
        <v>277</v>
      </c>
      <c r="C175" s="227">
        <v>5</v>
      </c>
      <c r="D175" s="201"/>
      <c r="E175" s="321"/>
      <c r="F175" s="202">
        <f t="shared" si="36"/>
        <v>5</v>
      </c>
      <c r="G175" s="203">
        <v>2500</v>
      </c>
      <c r="H175" s="203">
        <v>3000</v>
      </c>
      <c r="I175" s="204"/>
      <c r="J175" s="205">
        <f t="shared" si="37"/>
        <v>0</v>
      </c>
      <c r="K175" s="205">
        <f t="shared" si="38"/>
        <v>0</v>
      </c>
      <c r="L175" s="323">
        <f t="shared" si="39"/>
        <v>12500</v>
      </c>
      <c r="M175" s="320">
        <f t="shared" si="40"/>
        <v>15000</v>
      </c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spans="1:26" ht="14.4">
      <c r="A176" s="696"/>
      <c r="B176" s="318" t="s">
        <v>278</v>
      </c>
      <c r="C176" s="227">
        <v>14</v>
      </c>
      <c r="D176" s="201"/>
      <c r="E176" s="321"/>
      <c r="F176" s="202">
        <f t="shared" si="36"/>
        <v>14</v>
      </c>
      <c r="G176" s="203">
        <v>12500</v>
      </c>
      <c r="H176" s="203">
        <v>13500</v>
      </c>
      <c r="I176" s="204"/>
      <c r="J176" s="205">
        <f t="shared" si="37"/>
        <v>0</v>
      </c>
      <c r="K176" s="205">
        <f t="shared" si="38"/>
        <v>0</v>
      </c>
      <c r="L176" s="323">
        <f t="shared" si="39"/>
        <v>175000</v>
      </c>
      <c r="M176" s="320">
        <f t="shared" si="40"/>
        <v>189000</v>
      </c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spans="1:26" ht="14.4">
      <c r="A177" s="696"/>
      <c r="B177" s="318" t="s">
        <v>279</v>
      </c>
      <c r="C177" s="227">
        <v>4</v>
      </c>
      <c r="D177" s="201"/>
      <c r="E177" s="321"/>
      <c r="F177" s="202">
        <f t="shared" si="36"/>
        <v>4</v>
      </c>
      <c r="G177" s="203">
        <v>15000</v>
      </c>
      <c r="H177" s="203">
        <v>16500</v>
      </c>
      <c r="I177" s="204"/>
      <c r="J177" s="205">
        <f t="shared" si="37"/>
        <v>0</v>
      </c>
      <c r="K177" s="205">
        <f t="shared" si="38"/>
        <v>0</v>
      </c>
      <c r="L177" s="323">
        <f t="shared" si="39"/>
        <v>60000</v>
      </c>
      <c r="M177" s="320">
        <f t="shared" si="40"/>
        <v>66000</v>
      </c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spans="1:26" ht="14.4">
      <c r="A178" s="696"/>
      <c r="B178" s="322" t="s">
        <v>280</v>
      </c>
      <c r="C178" s="229"/>
      <c r="D178" s="201"/>
      <c r="E178" s="321"/>
      <c r="F178" s="202">
        <f t="shared" si="36"/>
        <v>0</v>
      </c>
      <c r="G178" s="203">
        <v>13000</v>
      </c>
      <c r="H178" s="203">
        <v>15000</v>
      </c>
      <c r="I178" s="204"/>
      <c r="J178" s="205">
        <f t="shared" si="37"/>
        <v>0</v>
      </c>
      <c r="K178" s="205">
        <f t="shared" si="38"/>
        <v>0</v>
      </c>
      <c r="L178" s="323">
        <f t="shared" si="39"/>
        <v>0</v>
      </c>
      <c r="M178" s="320">
        <f t="shared" si="40"/>
        <v>0</v>
      </c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spans="1:26" ht="14.4">
      <c r="A179" s="696"/>
      <c r="B179" s="318" t="s">
        <v>281</v>
      </c>
      <c r="C179" s="227">
        <v>4</v>
      </c>
      <c r="D179" s="201"/>
      <c r="E179" s="321"/>
      <c r="F179" s="202">
        <f t="shared" si="36"/>
        <v>4</v>
      </c>
      <c r="G179" s="203">
        <v>7800</v>
      </c>
      <c r="H179" s="203">
        <v>9000</v>
      </c>
      <c r="I179" s="204"/>
      <c r="J179" s="205">
        <f t="shared" si="37"/>
        <v>0</v>
      </c>
      <c r="K179" s="205">
        <f t="shared" si="38"/>
        <v>0</v>
      </c>
      <c r="L179" s="323">
        <f t="shared" si="39"/>
        <v>31200</v>
      </c>
      <c r="M179" s="320">
        <f t="shared" si="40"/>
        <v>36000</v>
      </c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spans="1:26" ht="14.4">
      <c r="A180" s="697"/>
      <c r="B180" s="318" t="s">
        <v>282</v>
      </c>
      <c r="C180" s="325">
        <v>7</v>
      </c>
      <c r="D180" s="201"/>
      <c r="E180" s="321"/>
      <c r="F180" s="202">
        <f t="shared" si="36"/>
        <v>7</v>
      </c>
      <c r="G180" s="239">
        <v>11300</v>
      </c>
      <c r="H180" s="239">
        <v>13500</v>
      </c>
      <c r="I180" s="213"/>
      <c r="J180" s="205">
        <f t="shared" si="37"/>
        <v>0</v>
      </c>
      <c r="K180" s="205">
        <f t="shared" si="38"/>
        <v>0</v>
      </c>
      <c r="L180" s="323">
        <f t="shared" si="39"/>
        <v>79100</v>
      </c>
      <c r="M180" s="320">
        <f t="shared" si="40"/>
        <v>94500</v>
      </c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spans="1:26" ht="14.4">
      <c r="A181" s="326"/>
      <c r="B181" s="327"/>
      <c r="C181" s="328"/>
      <c r="D181" s="329"/>
      <c r="E181" s="329"/>
      <c r="F181" s="330"/>
      <c r="G181" s="331"/>
      <c r="H181" s="331"/>
      <c r="I181" s="332"/>
      <c r="J181" s="333"/>
      <c r="K181" s="333"/>
      <c r="L181" s="334">
        <f t="shared" ref="L181:M181" si="41">SUM(L159:L180)</f>
        <v>1925000</v>
      </c>
      <c r="M181" s="334">
        <f t="shared" si="41"/>
        <v>2221500</v>
      </c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spans="1:26" ht="14.4">
      <c r="A182" s="326"/>
      <c r="B182" s="230" t="s">
        <v>283</v>
      </c>
      <c r="C182" s="335">
        <v>33</v>
      </c>
      <c r="D182" s="201"/>
      <c r="E182" s="201"/>
      <c r="F182" s="202">
        <f t="shared" ref="F182:F241" si="42">+C182+D182-E182</f>
        <v>33</v>
      </c>
      <c r="G182" s="203">
        <v>13100</v>
      </c>
      <c r="H182" s="203">
        <v>14500</v>
      </c>
      <c r="I182" s="224"/>
      <c r="J182" s="205">
        <f t="shared" ref="J182:J241" si="43">+I182*H182</f>
        <v>0</v>
      </c>
      <c r="K182" s="205">
        <f t="shared" ref="K182:K241" si="44">+(H182-G182)*I182</f>
        <v>0</v>
      </c>
      <c r="L182" s="319">
        <f t="shared" ref="L182:L241" si="45">+G182*F182</f>
        <v>432300</v>
      </c>
      <c r="M182" s="336">
        <f t="shared" ref="M182:M241" si="46">F182*H182</f>
        <v>478500</v>
      </c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spans="1:26" ht="14.4">
      <c r="A183" s="326"/>
      <c r="B183" s="230" t="s">
        <v>284</v>
      </c>
      <c r="C183" s="229">
        <v>4</v>
      </c>
      <c r="D183" s="201"/>
      <c r="E183" s="191"/>
      <c r="F183" s="202">
        <f t="shared" si="42"/>
        <v>4</v>
      </c>
      <c r="G183" s="203">
        <v>27200</v>
      </c>
      <c r="H183" s="203">
        <v>32000</v>
      </c>
      <c r="I183" s="204"/>
      <c r="J183" s="205">
        <f t="shared" si="43"/>
        <v>0</v>
      </c>
      <c r="K183" s="205">
        <f t="shared" si="44"/>
        <v>0</v>
      </c>
      <c r="L183" s="319">
        <f t="shared" si="45"/>
        <v>108800</v>
      </c>
      <c r="M183" s="336">
        <f t="shared" si="46"/>
        <v>128000</v>
      </c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spans="1:26" ht="14.4">
      <c r="A184" s="326"/>
      <c r="B184" s="230" t="s">
        <v>285</v>
      </c>
      <c r="C184" s="229"/>
      <c r="D184" s="201"/>
      <c r="E184" s="201"/>
      <c r="F184" s="202">
        <f t="shared" si="42"/>
        <v>0</v>
      </c>
      <c r="G184" s="203">
        <v>15100</v>
      </c>
      <c r="H184" s="203">
        <v>23200</v>
      </c>
      <c r="I184" s="204"/>
      <c r="J184" s="205">
        <f t="shared" si="43"/>
        <v>0</v>
      </c>
      <c r="K184" s="205">
        <f t="shared" si="44"/>
        <v>0</v>
      </c>
      <c r="L184" s="319">
        <f t="shared" si="45"/>
        <v>0</v>
      </c>
      <c r="M184" s="336">
        <f t="shared" si="46"/>
        <v>0</v>
      </c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spans="1:26" ht="14.4">
      <c r="A185" s="326"/>
      <c r="B185" s="230" t="s">
        <v>286</v>
      </c>
      <c r="C185" s="227">
        <v>6</v>
      </c>
      <c r="D185" s="201"/>
      <c r="E185" s="201"/>
      <c r="F185" s="202">
        <f t="shared" si="42"/>
        <v>6</v>
      </c>
      <c r="G185" s="203">
        <v>17400</v>
      </c>
      <c r="H185" s="203">
        <v>28800</v>
      </c>
      <c r="I185" s="204"/>
      <c r="J185" s="205">
        <f t="shared" si="43"/>
        <v>0</v>
      </c>
      <c r="K185" s="205">
        <f t="shared" si="44"/>
        <v>0</v>
      </c>
      <c r="L185" s="319">
        <f t="shared" si="45"/>
        <v>104400</v>
      </c>
      <c r="M185" s="336">
        <f t="shared" si="46"/>
        <v>172800</v>
      </c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spans="1:26" ht="14.4">
      <c r="A186" s="326"/>
      <c r="B186" s="230" t="s">
        <v>287</v>
      </c>
      <c r="C186" s="227">
        <v>1</v>
      </c>
      <c r="D186" s="201"/>
      <c r="E186" s="201"/>
      <c r="F186" s="202">
        <f t="shared" si="42"/>
        <v>1</v>
      </c>
      <c r="G186" s="203">
        <v>13600</v>
      </c>
      <c r="H186" s="203">
        <v>15000</v>
      </c>
      <c r="I186" s="204"/>
      <c r="J186" s="205">
        <f t="shared" si="43"/>
        <v>0</v>
      </c>
      <c r="K186" s="205">
        <f t="shared" si="44"/>
        <v>0</v>
      </c>
      <c r="L186" s="319">
        <f t="shared" si="45"/>
        <v>13600</v>
      </c>
      <c r="M186" s="336">
        <f t="shared" si="46"/>
        <v>15000</v>
      </c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spans="1:26" ht="14.4">
      <c r="A187" s="326"/>
      <c r="B187" s="230" t="s">
        <v>288</v>
      </c>
      <c r="C187" s="227"/>
      <c r="D187" s="201"/>
      <c r="E187" s="201"/>
      <c r="F187" s="202">
        <f t="shared" si="42"/>
        <v>0</v>
      </c>
      <c r="G187" s="203">
        <v>11000</v>
      </c>
      <c r="H187" s="203">
        <v>12000</v>
      </c>
      <c r="I187" s="204"/>
      <c r="J187" s="205">
        <f t="shared" si="43"/>
        <v>0</v>
      </c>
      <c r="K187" s="205">
        <f t="shared" si="44"/>
        <v>0</v>
      </c>
      <c r="L187" s="319">
        <f t="shared" si="45"/>
        <v>0</v>
      </c>
      <c r="M187" s="336">
        <f t="shared" si="46"/>
        <v>0</v>
      </c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spans="1:26" ht="14.4">
      <c r="A188" s="326"/>
      <c r="B188" s="230" t="s">
        <v>289</v>
      </c>
      <c r="C188" s="229"/>
      <c r="D188" s="201"/>
      <c r="E188" s="201"/>
      <c r="F188" s="202">
        <f t="shared" si="42"/>
        <v>0</v>
      </c>
      <c r="G188" s="203">
        <v>24100</v>
      </c>
      <c r="H188" s="203">
        <v>35000</v>
      </c>
      <c r="I188" s="204"/>
      <c r="J188" s="205">
        <f t="shared" si="43"/>
        <v>0</v>
      </c>
      <c r="K188" s="205">
        <f t="shared" si="44"/>
        <v>0</v>
      </c>
      <c r="L188" s="319">
        <f t="shared" si="45"/>
        <v>0</v>
      </c>
      <c r="M188" s="336">
        <f t="shared" si="46"/>
        <v>0</v>
      </c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spans="1:26" ht="14.4">
      <c r="A189" s="326"/>
      <c r="B189" s="230" t="s">
        <v>290</v>
      </c>
      <c r="C189" s="229">
        <v>8</v>
      </c>
      <c r="D189" s="201"/>
      <c r="E189" s="201"/>
      <c r="F189" s="202">
        <f t="shared" si="42"/>
        <v>8</v>
      </c>
      <c r="G189" s="203">
        <v>7500</v>
      </c>
      <c r="H189" s="203">
        <v>12500</v>
      </c>
      <c r="I189" s="204"/>
      <c r="J189" s="205">
        <f t="shared" si="43"/>
        <v>0</v>
      </c>
      <c r="K189" s="205">
        <f t="shared" si="44"/>
        <v>0</v>
      </c>
      <c r="L189" s="319">
        <f t="shared" si="45"/>
        <v>60000</v>
      </c>
      <c r="M189" s="336">
        <f t="shared" si="46"/>
        <v>100000</v>
      </c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spans="1:26" ht="14.4">
      <c r="A190" s="326"/>
      <c r="B190" s="230" t="s">
        <v>291</v>
      </c>
      <c r="C190" s="227"/>
      <c r="D190" s="201"/>
      <c r="E190" s="201"/>
      <c r="F190" s="202">
        <f t="shared" si="42"/>
        <v>0</v>
      </c>
      <c r="G190" s="203">
        <v>27200</v>
      </c>
      <c r="H190" s="203">
        <v>32000</v>
      </c>
      <c r="I190" s="204"/>
      <c r="J190" s="205">
        <f t="shared" si="43"/>
        <v>0</v>
      </c>
      <c r="K190" s="205">
        <f t="shared" si="44"/>
        <v>0</v>
      </c>
      <c r="L190" s="319">
        <f t="shared" si="45"/>
        <v>0</v>
      </c>
      <c r="M190" s="336">
        <f t="shared" si="46"/>
        <v>0</v>
      </c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spans="1:26" ht="14.4">
      <c r="A191" s="326"/>
      <c r="B191" s="337" t="s">
        <v>64</v>
      </c>
      <c r="C191" s="227">
        <f>9.5</f>
        <v>9.5</v>
      </c>
      <c r="D191" s="201"/>
      <c r="E191" s="201"/>
      <c r="F191" s="202">
        <f t="shared" si="42"/>
        <v>9.5</v>
      </c>
      <c r="G191" s="203">
        <v>31300</v>
      </c>
      <c r="H191" s="203">
        <v>36000</v>
      </c>
      <c r="I191" s="204"/>
      <c r="J191" s="205">
        <f t="shared" si="43"/>
        <v>0</v>
      </c>
      <c r="K191" s="205">
        <f t="shared" si="44"/>
        <v>0</v>
      </c>
      <c r="L191" s="319">
        <f t="shared" si="45"/>
        <v>297350</v>
      </c>
      <c r="M191" s="336">
        <f t="shared" si="46"/>
        <v>342000</v>
      </c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spans="1:26" ht="14.4">
      <c r="A192" s="326"/>
      <c r="B192" s="337" t="s">
        <v>292</v>
      </c>
      <c r="C192" s="227"/>
      <c r="D192" s="201"/>
      <c r="E192" s="201"/>
      <c r="F192" s="202">
        <f t="shared" si="42"/>
        <v>0</v>
      </c>
      <c r="G192" s="203">
        <v>30600</v>
      </c>
      <c r="H192" s="203">
        <v>36000</v>
      </c>
      <c r="I192" s="204"/>
      <c r="J192" s="205">
        <f t="shared" si="43"/>
        <v>0</v>
      </c>
      <c r="K192" s="205">
        <f t="shared" si="44"/>
        <v>0</v>
      </c>
      <c r="L192" s="319">
        <f t="shared" si="45"/>
        <v>0</v>
      </c>
      <c r="M192" s="336">
        <f t="shared" si="46"/>
        <v>0</v>
      </c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spans="1:26" ht="14.4">
      <c r="A193" s="326"/>
      <c r="B193" s="337" t="s">
        <v>293</v>
      </c>
      <c r="C193" s="227"/>
      <c r="D193" s="201"/>
      <c r="E193" s="201"/>
      <c r="F193" s="202">
        <f t="shared" si="42"/>
        <v>0</v>
      </c>
      <c r="G193" s="203">
        <v>45000</v>
      </c>
      <c r="H193" s="203">
        <v>50000</v>
      </c>
      <c r="I193" s="204"/>
      <c r="J193" s="205">
        <f t="shared" si="43"/>
        <v>0</v>
      </c>
      <c r="K193" s="205">
        <f t="shared" si="44"/>
        <v>0</v>
      </c>
      <c r="L193" s="319">
        <f t="shared" si="45"/>
        <v>0</v>
      </c>
      <c r="M193" s="336">
        <f t="shared" si="46"/>
        <v>0</v>
      </c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spans="1:26" ht="14.4">
      <c r="A194" s="326"/>
      <c r="B194" s="337" t="s">
        <v>65</v>
      </c>
      <c r="C194" s="227">
        <f>13.75</f>
        <v>13.75</v>
      </c>
      <c r="D194" s="201"/>
      <c r="E194" s="201"/>
      <c r="F194" s="202">
        <f t="shared" si="42"/>
        <v>13.75</v>
      </c>
      <c r="G194" s="203">
        <v>54200</v>
      </c>
      <c r="H194" s="203">
        <v>62500</v>
      </c>
      <c r="I194" s="204"/>
      <c r="J194" s="205">
        <f t="shared" si="43"/>
        <v>0</v>
      </c>
      <c r="K194" s="205">
        <f t="shared" si="44"/>
        <v>0</v>
      </c>
      <c r="L194" s="319">
        <f t="shared" si="45"/>
        <v>745250</v>
      </c>
      <c r="M194" s="336">
        <f t="shared" si="46"/>
        <v>859375</v>
      </c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spans="1:26" ht="14.4">
      <c r="A195" s="326"/>
      <c r="B195" s="337" t="s">
        <v>294</v>
      </c>
      <c r="C195" s="227">
        <v>3</v>
      </c>
      <c r="D195" s="201"/>
      <c r="E195" s="201"/>
      <c r="F195" s="202">
        <f t="shared" si="42"/>
        <v>3</v>
      </c>
      <c r="G195" s="203">
        <v>36000</v>
      </c>
      <c r="H195" s="203">
        <v>42000</v>
      </c>
      <c r="I195" s="204"/>
      <c r="J195" s="205">
        <f t="shared" si="43"/>
        <v>0</v>
      </c>
      <c r="K195" s="205">
        <f t="shared" si="44"/>
        <v>0</v>
      </c>
      <c r="L195" s="319">
        <f t="shared" si="45"/>
        <v>108000</v>
      </c>
      <c r="M195" s="336">
        <f t="shared" si="46"/>
        <v>126000</v>
      </c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spans="1:26" ht="14.4">
      <c r="A196" s="326"/>
      <c r="B196" s="337" t="s">
        <v>295</v>
      </c>
      <c r="C196" s="227">
        <v>8</v>
      </c>
      <c r="D196" s="201"/>
      <c r="E196" s="201"/>
      <c r="F196" s="202">
        <f t="shared" si="42"/>
        <v>8</v>
      </c>
      <c r="G196" s="203">
        <v>8700</v>
      </c>
      <c r="H196" s="203">
        <v>10000</v>
      </c>
      <c r="I196" s="204"/>
      <c r="J196" s="205">
        <f t="shared" si="43"/>
        <v>0</v>
      </c>
      <c r="K196" s="205">
        <f t="shared" si="44"/>
        <v>0</v>
      </c>
      <c r="L196" s="319">
        <f t="shared" si="45"/>
        <v>69600</v>
      </c>
      <c r="M196" s="336">
        <f t="shared" si="46"/>
        <v>80000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spans="1:26" ht="14.4">
      <c r="A197" s="326"/>
      <c r="B197" s="337" t="s">
        <v>296</v>
      </c>
      <c r="C197" s="227">
        <v>0.5</v>
      </c>
      <c r="D197" s="201"/>
      <c r="E197" s="201"/>
      <c r="F197" s="202">
        <f t="shared" si="42"/>
        <v>0.5</v>
      </c>
      <c r="G197" s="203">
        <v>52200</v>
      </c>
      <c r="H197" s="203">
        <v>62500</v>
      </c>
      <c r="I197" s="204"/>
      <c r="J197" s="205">
        <f t="shared" si="43"/>
        <v>0</v>
      </c>
      <c r="K197" s="205">
        <f t="shared" si="44"/>
        <v>0</v>
      </c>
      <c r="L197" s="319">
        <f t="shared" si="45"/>
        <v>26100</v>
      </c>
      <c r="M197" s="336">
        <f t="shared" si="46"/>
        <v>31250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spans="1:26" ht="14.4">
      <c r="A198" s="326"/>
      <c r="B198" s="337" t="s">
        <v>297</v>
      </c>
      <c r="C198" s="227"/>
      <c r="D198" s="201"/>
      <c r="E198" s="201"/>
      <c r="F198" s="202">
        <f t="shared" si="42"/>
        <v>0</v>
      </c>
      <c r="G198" s="203">
        <v>43400</v>
      </c>
      <c r="H198" s="203">
        <v>50000</v>
      </c>
      <c r="I198" s="204"/>
      <c r="J198" s="205">
        <f t="shared" si="43"/>
        <v>0</v>
      </c>
      <c r="K198" s="205">
        <f t="shared" si="44"/>
        <v>0</v>
      </c>
      <c r="L198" s="319">
        <f t="shared" si="45"/>
        <v>0</v>
      </c>
      <c r="M198" s="336">
        <f t="shared" si="46"/>
        <v>0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spans="1:26" ht="14.4">
      <c r="A199" s="326"/>
      <c r="B199" s="337" t="s">
        <v>298</v>
      </c>
      <c r="C199" s="229">
        <v>3</v>
      </c>
      <c r="D199" s="201"/>
      <c r="E199" s="201"/>
      <c r="F199" s="202">
        <f t="shared" si="42"/>
        <v>3</v>
      </c>
      <c r="G199" s="203">
        <v>30000</v>
      </c>
      <c r="H199" s="203">
        <v>32000</v>
      </c>
      <c r="I199" s="204"/>
      <c r="J199" s="205">
        <f t="shared" si="43"/>
        <v>0</v>
      </c>
      <c r="K199" s="205">
        <f t="shared" si="44"/>
        <v>0</v>
      </c>
      <c r="L199" s="319">
        <f t="shared" si="45"/>
        <v>90000</v>
      </c>
      <c r="M199" s="336">
        <f t="shared" si="46"/>
        <v>96000</v>
      </c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spans="1:26" ht="14.4">
      <c r="A200" s="326"/>
      <c r="B200" s="337" t="s">
        <v>299</v>
      </c>
      <c r="C200" s="229">
        <v>2</v>
      </c>
      <c r="D200" s="201"/>
      <c r="E200" s="201"/>
      <c r="F200" s="202">
        <f t="shared" si="42"/>
        <v>2</v>
      </c>
      <c r="G200" s="203">
        <v>35000</v>
      </c>
      <c r="H200" s="203">
        <v>36500</v>
      </c>
      <c r="I200" s="204"/>
      <c r="J200" s="205">
        <f t="shared" si="43"/>
        <v>0</v>
      </c>
      <c r="K200" s="205">
        <f t="shared" si="44"/>
        <v>0</v>
      </c>
      <c r="L200" s="319">
        <f t="shared" si="45"/>
        <v>70000</v>
      </c>
      <c r="M200" s="336">
        <f t="shared" si="46"/>
        <v>73000</v>
      </c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spans="1:26" ht="14.4">
      <c r="A201" s="326"/>
      <c r="B201" s="337" t="s">
        <v>300</v>
      </c>
      <c r="C201" s="229">
        <v>3</v>
      </c>
      <c r="D201" s="201"/>
      <c r="E201" s="201"/>
      <c r="F201" s="202">
        <f t="shared" si="42"/>
        <v>3</v>
      </c>
      <c r="G201" s="203">
        <v>27000</v>
      </c>
      <c r="H201" s="203">
        <v>30000</v>
      </c>
      <c r="I201" s="204"/>
      <c r="J201" s="205">
        <f t="shared" si="43"/>
        <v>0</v>
      </c>
      <c r="K201" s="205">
        <f t="shared" si="44"/>
        <v>0</v>
      </c>
      <c r="L201" s="319">
        <f t="shared" si="45"/>
        <v>81000</v>
      </c>
      <c r="M201" s="336">
        <f t="shared" si="46"/>
        <v>90000</v>
      </c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spans="1:26" ht="14.4">
      <c r="A202" s="326"/>
      <c r="B202" s="337" t="s">
        <v>301</v>
      </c>
      <c r="C202" s="227">
        <v>123</v>
      </c>
      <c r="D202" s="201"/>
      <c r="E202" s="201"/>
      <c r="F202" s="202">
        <f t="shared" si="42"/>
        <v>123</v>
      </c>
      <c r="G202" s="203">
        <v>16700</v>
      </c>
      <c r="H202" s="203">
        <v>19200</v>
      </c>
      <c r="I202" s="204"/>
      <c r="J202" s="205">
        <f t="shared" si="43"/>
        <v>0</v>
      </c>
      <c r="K202" s="205">
        <f t="shared" si="44"/>
        <v>0</v>
      </c>
      <c r="L202" s="319">
        <f t="shared" si="45"/>
        <v>2054100</v>
      </c>
      <c r="M202" s="336">
        <f t="shared" si="46"/>
        <v>2361600</v>
      </c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spans="1:26" ht="14.4">
      <c r="A203" s="326"/>
      <c r="B203" s="337" t="s">
        <v>302</v>
      </c>
      <c r="C203" s="227">
        <f>39</f>
        <v>39</v>
      </c>
      <c r="D203" s="201"/>
      <c r="E203" s="201"/>
      <c r="F203" s="202">
        <f t="shared" si="42"/>
        <v>39</v>
      </c>
      <c r="G203" s="203">
        <v>57000</v>
      </c>
      <c r="H203" s="203">
        <v>65000</v>
      </c>
      <c r="I203" s="204"/>
      <c r="J203" s="205">
        <f t="shared" si="43"/>
        <v>0</v>
      </c>
      <c r="K203" s="205">
        <f t="shared" si="44"/>
        <v>0</v>
      </c>
      <c r="L203" s="319">
        <f t="shared" si="45"/>
        <v>2223000</v>
      </c>
      <c r="M203" s="336">
        <f t="shared" si="46"/>
        <v>2535000</v>
      </c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spans="1:26" ht="14.4">
      <c r="A204" s="326"/>
      <c r="B204" s="337" t="s">
        <v>303</v>
      </c>
      <c r="C204" s="227">
        <v>8</v>
      </c>
      <c r="D204" s="201"/>
      <c r="E204" s="201"/>
      <c r="F204" s="202">
        <f t="shared" si="42"/>
        <v>8</v>
      </c>
      <c r="G204" s="203">
        <v>43000</v>
      </c>
      <c r="H204" s="203">
        <v>45000</v>
      </c>
      <c r="I204" s="204"/>
      <c r="J204" s="205">
        <f t="shared" si="43"/>
        <v>0</v>
      </c>
      <c r="K204" s="205">
        <f t="shared" si="44"/>
        <v>0</v>
      </c>
      <c r="L204" s="319">
        <f t="shared" si="45"/>
        <v>344000</v>
      </c>
      <c r="M204" s="336">
        <f t="shared" si="46"/>
        <v>360000</v>
      </c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spans="1:26" ht="14.4">
      <c r="A205" s="326"/>
      <c r="B205" s="337" t="s">
        <v>304</v>
      </c>
      <c r="C205" s="227">
        <f>5</f>
        <v>5</v>
      </c>
      <c r="D205" s="201"/>
      <c r="E205" s="201"/>
      <c r="F205" s="202">
        <f t="shared" si="42"/>
        <v>5</v>
      </c>
      <c r="G205" s="203">
        <v>45700</v>
      </c>
      <c r="H205" s="203">
        <v>50000</v>
      </c>
      <c r="I205" s="204"/>
      <c r="J205" s="205">
        <f t="shared" si="43"/>
        <v>0</v>
      </c>
      <c r="K205" s="205">
        <f t="shared" si="44"/>
        <v>0</v>
      </c>
      <c r="L205" s="319">
        <f t="shared" si="45"/>
        <v>228500</v>
      </c>
      <c r="M205" s="336">
        <f t="shared" si="46"/>
        <v>250000</v>
      </c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spans="1:26" ht="14.4">
      <c r="A206" s="326"/>
      <c r="B206" s="337" t="s">
        <v>305</v>
      </c>
      <c r="C206" s="227">
        <v>13</v>
      </c>
      <c r="D206" s="201"/>
      <c r="E206" s="201"/>
      <c r="F206" s="202">
        <f t="shared" si="42"/>
        <v>13</v>
      </c>
      <c r="G206" s="203">
        <v>48000</v>
      </c>
      <c r="H206" s="203">
        <v>55000</v>
      </c>
      <c r="I206" s="204"/>
      <c r="J206" s="205">
        <f t="shared" si="43"/>
        <v>0</v>
      </c>
      <c r="K206" s="205">
        <f t="shared" si="44"/>
        <v>0</v>
      </c>
      <c r="L206" s="319">
        <f t="shared" si="45"/>
        <v>624000</v>
      </c>
      <c r="M206" s="336">
        <f t="shared" si="46"/>
        <v>715000</v>
      </c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spans="1:26" ht="14.4">
      <c r="A207" s="326"/>
      <c r="B207" s="337" t="s">
        <v>306</v>
      </c>
      <c r="C207" s="227">
        <v>124</v>
      </c>
      <c r="D207" s="201"/>
      <c r="E207" s="201"/>
      <c r="F207" s="202">
        <f t="shared" si="42"/>
        <v>124</v>
      </c>
      <c r="G207" s="203">
        <v>27000</v>
      </c>
      <c r="H207" s="203">
        <v>30000</v>
      </c>
      <c r="I207" s="204"/>
      <c r="J207" s="205">
        <f t="shared" si="43"/>
        <v>0</v>
      </c>
      <c r="K207" s="205">
        <f t="shared" si="44"/>
        <v>0</v>
      </c>
      <c r="L207" s="319">
        <f t="shared" si="45"/>
        <v>3348000</v>
      </c>
      <c r="M207" s="336">
        <f t="shared" si="46"/>
        <v>3720000</v>
      </c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spans="1:26" ht="14.4">
      <c r="A208" s="326"/>
      <c r="B208" s="337" t="s">
        <v>307</v>
      </c>
      <c r="C208" s="227">
        <v>5</v>
      </c>
      <c r="D208" s="201"/>
      <c r="E208" s="201"/>
      <c r="F208" s="202">
        <f t="shared" si="42"/>
        <v>5</v>
      </c>
      <c r="G208" s="203">
        <v>37000</v>
      </c>
      <c r="H208" s="203">
        <v>45000</v>
      </c>
      <c r="I208" s="204"/>
      <c r="J208" s="205">
        <f t="shared" si="43"/>
        <v>0</v>
      </c>
      <c r="K208" s="205">
        <f t="shared" si="44"/>
        <v>0</v>
      </c>
      <c r="L208" s="319">
        <f t="shared" si="45"/>
        <v>185000</v>
      </c>
      <c r="M208" s="336">
        <f t="shared" si="46"/>
        <v>225000</v>
      </c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spans="1:26" ht="14.4">
      <c r="A209" s="326"/>
      <c r="B209" s="337" t="s">
        <v>308</v>
      </c>
      <c r="C209" s="227">
        <v>4.75</v>
      </c>
      <c r="D209" s="201"/>
      <c r="E209" s="201"/>
      <c r="F209" s="202">
        <f t="shared" si="42"/>
        <v>4.75</v>
      </c>
      <c r="G209" s="203">
        <v>33000</v>
      </c>
      <c r="H209" s="203">
        <v>35000</v>
      </c>
      <c r="I209" s="204"/>
      <c r="J209" s="205">
        <f t="shared" si="43"/>
        <v>0</v>
      </c>
      <c r="K209" s="205">
        <f t="shared" si="44"/>
        <v>0</v>
      </c>
      <c r="L209" s="319">
        <f t="shared" si="45"/>
        <v>156750</v>
      </c>
      <c r="M209" s="336">
        <f t="shared" si="46"/>
        <v>166250</v>
      </c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spans="1:26" ht="14.4">
      <c r="A210" s="326"/>
      <c r="B210" s="337" t="s">
        <v>309</v>
      </c>
      <c r="C210" s="227">
        <v>16</v>
      </c>
      <c r="D210" s="201"/>
      <c r="E210" s="201"/>
      <c r="F210" s="202">
        <f t="shared" si="42"/>
        <v>16</v>
      </c>
      <c r="G210" s="203">
        <v>14000</v>
      </c>
      <c r="H210" s="203">
        <v>16000</v>
      </c>
      <c r="I210" s="204"/>
      <c r="J210" s="205">
        <f t="shared" si="43"/>
        <v>0</v>
      </c>
      <c r="K210" s="205">
        <f t="shared" si="44"/>
        <v>0</v>
      </c>
      <c r="L210" s="319">
        <f t="shared" si="45"/>
        <v>224000</v>
      </c>
      <c r="M210" s="336">
        <f t="shared" si="46"/>
        <v>256000</v>
      </c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spans="1:26" ht="14.4">
      <c r="A211" s="326"/>
      <c r="B211" s="337" t="s">
        <v>310</v>
      </c>
      <c r="C211" s="229">
        <v>0.5</v>
      </c>
      <c r="D211" s="201"/>
      <c r="E211" s="201"/>
      <c r="F211" s="202">
        <f t="shared" si="42"/>
        <v>0.5</v>
      </c>
      <c r="G211" s="203">
        <v>39300</v>
      </c>
      <c r="H211" s="203">
        <v>45000</v>
      </c>
      <c r="I211" s="204"/>
      <c r="J211" s="205">
        <f t="shared" si="43"/>
        <v>0</v>
      </c>
      <c r="K211" s="205">
        <f t="shared" si="44"/>
        <v>0</v>
      </c>
      <c r="L211" s="319">
        <f t="shared" si="45"/>
        <v>19650</v>
      </c>
      <c r="M211" s="336">
        <f t="shared" si="46"/>
        <v>22500</v>
      </c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spans="1:26" ht="14.4">
      <c r="A212" s="326"/>
      <c r="B212" s="337" t="s">
        <v>311</v>
      </c>
      <c r="C212" s="227"/>
      <c r="D212" s="201"/>
      <c r="E212" s="201"/>
      <c r="F212" s="202">
        <f t="shared" si="42"/>
        <v>0</v>
      </c>
      <c r="G212" s="203">
        <v>11800</v>
      </c>
      <c r="H212" s="203">
        <v>15500</v>
      </c>
      <c r="I212" s="204"/>
      <c r="J212" s="205">
        <f t="shared" si="43"/>
        <v>0</v>
      </c>
      <c r="K212" s="205">
        <f t="shared" si="44"/>
        <v>0</v>
      </c>
      <c r="L212" s="319">
        <f t="shared" si="45"/>
        <v>0</v>
      </c>
      <c r="M212" s="336">
        <f t="shared" si="46"/>
        <v>0</v>
      </c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spans="1:26" ht="14.4">
      <c r="A213" s="326"/>
      <c r="B213" s="230" t="s">
        <v>312</v>
      </c>
      <c r="C213" s="227">
        <v>1</v>
      </c>
      <c r="D213" s="201"/>
      <c r="E213" s="201"/>
      <c r="F213" s="202">
        <f t="shared" si="42"/>
        <v>1</v>
      </c>
      <c r="G213" s="203">
        <v>17000</v>
      </c>
      <c r="H213" s="203">
        <v>25000</v>
      </c>
      <c r="I213" s="204"/>
      <c r="J213" s="205">
        <f t="shared" si="43"/>
        <v>0</v>
      </c>
      <c r="K213" s="205">
        <f t="shared" si="44"/>
        <v>0</v>
      </c>
      <c r="L213" s="319">
        <f t="shared" si="45"/>
        <v>17000</v>
      </c>
      <c r="M213" s="336">
        <f t="shared" si="46"/>
        <v>25000</v>
      </c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spans="1:26" ht="14.4">
      <c r="A214" s="326"/>
      <c r="B214" s="337" t="s">
        <v>313</v>
      </c>
      <c r="C214" s="229">
        <v>1</v>
      </c>
      <c r="D214" s="201"/>
      <c r="E214" s="201"/>
      <c r="F214" s="202">
        <f t="shared" si="42"/>
        <v>1</v>
      </c>
      <c r="G214" s="203">
        <v>24500</v>
      </c>
      <c r="H214" s="203">
        <v>28000</v>
      </c>
      <c r="I214" s="204"/>
      <c r="J214" s="205">
        <f t="shared" si="43"/>
        <v>0</v>
      </c>
      <c r="K214" s="205">
        <f t="shared" si="44"/>
        <v>0</v>
      </c>
      <c r="L214" s="319">
        <f t="shared" si="45"/>
        <v>24500</v>
      </c>
      <c r="M214" s="336">
        <f t="shared" si="46"/>
        <v>28000</v>
      </c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spans="1:26" ht="14.4">
      <c r="A215" s="326"/>
      <c r="B215" s="337" t="s">
        <v>314</v>
      </c>
      <c r="C215" s="229">
        <v>3</v>
      </c>
      <c r="D215" s="201"/>
      <c r="E215" s="201"/>
      <c r="F215" s="202">
        <f t="shared" si="42"/>
        <v>3</v>
      </c>
      <c r="G215" s="203">
        <v>24500</v>
      </c>
      <c r="H215" s="203">
        <v>28000</v>
      </c>
      <c r="I215" s="204"/>
      <c r="J215" s="205">
        <f t="shared" si="43"/>
        <v>0</v>
      </c>
      <c r="K215" s="205">
        <f t="shared" si="44"/>
        <v>0</v>
      </c>
      <c r="L215" s="319">
        <f t="shared" si="45"/>
        <v>73500</v>
      </c>
      <c r="M215" s="336">
        <f t="shared" si="46"/>
        <v>84000</v>
      </c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spans="1:26" ht="14.4">
      <c r="A216" s="326"/>
      <c r="B216" s="337" t="s">
        <v>315</v>
      </c>
      <c r="C216" s="229"/>
      <c r="D216" s="201"/>
      <c r="E216" s="201"/>
      <c r="F216" s="202">
        <f t="shared" si="42"/>
        <v>0</v>
      </c>
      <c r="G216" s="203">
        <v>26200</v>
      </c>
      <c r="H216" s="203">
        <v>30000</v>
      </c>
      <c r="I216" s="204"/>
      <c r="J216" s="205">
        <f t="shared" si="43"/>
        <v>0</v>
      </c>
      <c r="K216" s="205">
        <f t="shared" si="44"/>
        <v>0</v>
      </c>
      <c r="L216" s="319">
        <f t="shared" si="45"/>
        <v>0</v>
      </c>
      <c r="M216" s="336">
        <f t="shared" si="46"/>
        <v>0</v>
      </c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spans="1:26" ht="14.4">
      <c r="A217" s="326"/>
      <c r="B217" s="337" t="s">
        <v>316</v>
      </c>
      <c r="C217" s="227">
        <v>56</v>
      </c>
      <c r="D217" s="201"/>
      <c r="E217" s="201"/>
      <c r="F217" s="202">
        <f t="shared" si="42"/>
        <v>56</v>
      </c>
      <c r="G217" s="203">
        <v>6600</v>
      </c>
      <c r="H217" s="203">
        <v>7000</v>
      </c>
      <c r="I217" s="204"/>
      <c r="J217" s="205">
        <f t="shared" si="43"/>
        <v>0</v>
      </c>
      <c r="K217" s="205">
        <f t="shared" si="44"/>
        <v>0</v>
      </c>
      <c r="L217" s="319">
        <f t="shared" si="45"/>
        <v>369600</v>
      </c>
      <c r="M217" s="336">
        <f t="shared" si="46"/>
        <v>392000</v>
      </c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spans="1:26" ht="14.4">
      <c r="A218" s="326"/>
      <c r="B218" s="337" t="s">
        <v>317</v>
      </c>
      <c r="C218" s="227">
        <v>16</v>
      </c>
      <c r="D218" s="201"/>
      <c r="E218" s="201"/>
      <c r="F218" s="202">
        <f t="shared" si="42"/>
        <v>16</v>
      </c>
      <c r="G218" s="203">
        <v>15200</v>
      </c>
      <c r="H218" s="203">
        <v>19000</v>
      </c>
      <c r="I218" s="204"/>
      <c r="J218" s="205">
        <f t="shared" si="43"/>
        <v>0</v>
      </c>
      <c r="K218" s="205">
        <f t="shared" si="44"/>
        <v>0</v>
      </c>
      <c r="L218" s="319">
        <f t="shared" si="45"/>
        <v>243200</v>
      </c>
      <c r="M218" s="336">
        <f t="shared" si="46"/>
        <v>304000</v>
      </c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spans="1:26" ht="14.4">
      <c r="A219" s="326"/>
      <c r="B219" s="337" t="s">
        <v>318</v>
      </c>
      <c r="C219" s="227">
        <v>17</v>
      </c>
      <c r="D219" s="201"/>
      <c r="E219" s="201"/>
      <c r="F219" s="202">
        <f t="shared" si="42"/>
        <v>17</v>
      </c>
      <c r="G219" s="203">
        <v>38300</v>
      </c>
      <c r="H219" s="203">
        <v>45000</v>
      </c>
      <c r="I219" s="204"/>
      <c r="J219" s="205">
        <f t="shared" si="43"/>
        <v>0</v>
      </c>
      <c r="K219" s="205">
        <f t="shared" si="44"/>
        <v>0</v>
      </c>
      <c r="L219" s="319">
        <f t="shared" si="45"/>
        <v>651100</v>
      </c>
      <c r="M219" s="336">
        <f t="shared" si="46"/>
        <v>765000</v>
      </c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spans="1:26" ht="14.4">
      <c r="A220" s="326"/>
      <c r="B220" s="337" t="s">
        <v>319</v>
      </c>
      <c r="C220" s="229">
        <v>3</v>
      </c>
      <c r="D220" s="201"/>
      <c r="E220" s="201"/>
      <c r="F220" s="202">
        <f t="shared" si="42"/>
        <v>3</v>
      </c>
      <c r="G220" s="203">
        <v>34900</v>
      </c>
      <c r="H220" s="203">
        <v>40000</v>
      </c>
      <c r="I220" s="204"/>
      <c r="J220" s="205">
        <f t="shared" si="43"/>
        <v>0</v>
      </c>
      <c r="K220" s="205">
        <f t="shared" si="44"/>
        <v>0</v>
      </c>
      <c r="L220" s="319">
        <f t="shared" si="45"/>
        <v>104700</v>
      </c>
      <c r="M220" s="336">
        <f t="shared" si="46"/>
        <v>120000</v>
      </c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spans="1:26" ht="14.4">
      <c r="A221" s="326"/>
      <c r="B221" s="337" t="s">
        <v>320</v>
      </c>
      <c r="C221" s="227">
        <v>2.5</v>
      </c>
      <c r="D221" s="201"/>
      <c r="E221" s="201"/>
      <c r="F221" s="202">
        <f t="shared" si="42"/>
        <v>2.5</v>
      </c>
      <c r="G221" s="203">
        <v>28800</v>
      </c>
      <c r="H221" s="203">
        <v>36000</v>
      </c>
      <c r="I221" s="204"/>
      <c r="J221" s="205">
        <f t="shared" si="43"/>
        <v>0</v>
      </c>
      <c r="K221" s="205">
        <f t="shared" si="44"/>
        <v>0</v>
      </c>
      <c r="L221" s="319">
        <f t="shared" si="45"/>
        <v>72000</v>
      </c>
      <c r="M221" s="336">
        <f t="shared" si="46"/>
        <v>90000</v>
      </c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spans="1:26" ht="14.4">
      <c r="A222" s="326"/>
      <c r="B222" s="337" t="s">
        <v>321</v>
      </c>
      <c r="C222" s="227">
        <v>3</v>
      </c>
      <c r="D222" s="201"/>
      <c r="E222" s="201"/>
      <c r="F222" s="202">
        <f t="shared" si="42"/>
        <v>3</v>
      </c>
      <c r="G222" s="203">
        <v>11600</v>
      </c>
      <c r="H222" s="203">
        <v>15500</v>
      </c>
      <c r="I222" s="204"/>
      <c r="J222" s="205">
        <f t="shared" si="43"/>
        <v>0</v>
      </c>
      <c r="K222" s="205">
        <f t="shared" si="44"/>
        <v>0</v>
      </c>
      <c r="L222" s="319">
        <f t="shared" si="45"/>
        <v>34800</v>
      </c>
      <c r="M222" s="336">
        <f t="shared" si="46"/>
        <v>46500</v>
      </c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spans="1:26" ht="14.4">
      <c r="A223" s="326"/>
      <c r="B223" s="337" t="s">
        <v>322</v>
      </c>
      <c r="C223" s="229">
        <v>3</v>
      </c>
      <c r="D223" s="201"/>
      <c r="E223" s="201"/>
      <c r="F223" s="202">
        <f t="shared" si="42"/>
        <v>3</v>
      </c>
      <c r="G223" s="203">
        <v>31900</v>
      </c>
      <c r="H223" s="203">
        <v>40000</v>
      </c>
      <c r="I223" s="204"/>
      <c r="J223" s="205">
        <f t="shared" si="43"/>
        <v>0</v>
      </c>
      <c r="K223" s="205">
        <f t="shared" si="44"/>
        <v>0</v>
      </c>
      <c r="L223" s="319">
        <f t="shared" si="45"/>
        <v>95700</v>
      </c>
      <c r="M223" s="336">
        <f t="shared" si="46"/>
        <v>120000</v>
      </c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spans="1:26" ht="14.4">
      <c r="A224" s="326"/>
      <c r="B224" s="337" t="s">
        <v>323</v>
      </c>
      <c r="C224" s="227">
        <v>2.5</v>
      </c>
      <c r="D224" s="201"/>
      <c r="E224" s="201"/>
      <c r="F224" s="202">
        <f t="shared" si="42"/>
        <v>2.5</v>
      </c>
      <c r="G224" s="203">
        <v>50000</v>
      </c>
      <c r="H224" s="203">
        <v>62500</v>
      </c>
      <c r="I224" s="204"/>
      <c r="J224" s="205">
        <f t="shared" si="43"/>
        <v>0</v>
      </c>
      <c r="K224" s="205">
        <f t="shared" si="44"/>
        <v>0</v>
      </c>
      <c r="L224" s="319">
        <f t="shared" si="45"/>
        <v>125000</v>
      </c>
      <c r="M224" s="336">
        <f t="shared" si="46"/>
        <v>156250</v>
      </c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spans="1:26" ht="14.4">
      <c r="A225" s="326"/>
      <c r="B225" s="337" t="s">
        <v>324</v>
      </c>
      <c r="C225" s="227">
        <v>6</v>
      </c>
      <c r="D225" s="201"/>
      <c r="E225" s="201"/>
      <c r="F225" s="202">
        <f t="shared" si="42"/>
        <v>6</v>
      </c>
      <c r="G225" s="203">
        <v>20100</v>
      </c>
      <c r="H225" s="203">
        <v>25000</v>
      </c>
      <c r="I225" s="204"/>
      <c r="J225" s="205">
        <f t="shared" si="43"/>
        <v>0</v>
      </c>
      <c r="K225" s="205">
        <f t="shared" si="44"/>
        <v>0</v>
      </c>
      <c r="L225" s="319">
        <f t="shared" si="45"/>
        <v>120600</v>
      </c>
      <c r="M225" s="336">
        <f t="shared" si="46"/>
        <v>150000</v>
      </c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spans="1:26" ht="14.4">
      <c r="A226" s="326"/>
      <c r="B226" s="337" t="s">
        <v>325</v>
      </c>
      <c r="C226" s="227">
        <v>8</v>
      </c>
      <c r="D226" s="201"/>
      <c r="E226" s="201"/>
      <c r="F226" s="202">
        <f t="shared" si="42"/>
        <v>8</v>
      </c>
      <c r="G226" s="203">
        <v>20100</v>
      </c>
      <c r="H226" s="203">
        <v>25000</v>
      </c>
      <c r="I226" s="204"/>
      <c r="J226" s="205">
        <f t="shared" si="43"/>
        <v>0</v>
      </c>
      <c r="K226" s="205">
        <f t="shared" si="44"/>
        <v>0</v>
      </c>
      <c r="L226" s="319">
        <f t="shared" si="45"/>
        <v>160800</v>
      </c>
      <c r="M226" s="336">
        <f t="shared" si="46"/>
        <v>200000</v>
      </c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spans="1:26" ht="14.4">
      <c r="A227" s="326"/>
      <c r="B227" s="337" t="s">
        <v>326</v>
      </c>
      <c r="C227" s="227">
        <v>2.5</v>
      </c>
      <c r="D227" s="201"/>
      <c r="E227" s="201"/>
      <c r="F227" s="202">
        <f t="shared" si="42"/>
        <v>2.5</v>
      </c>
      <c r="G227" s="203">
        <v>43600</v>
      </c>
      <c r="H227" s="203">
        <v>50000</v>
      </c>
      <c r="I227" s="204"/>
      <c r="J227" s="205">
        <f t="shared" si="43"/>
        <v>0</v>
      </c>
      <c r="K227" s="205">
        <f t="shared" si="44"/>
        <v>0</v>
      </c>
      <c r="L227" s="319">
        <f t="shared" si="45"/>
        <v>109000</v>
      </c>
      <c r="M227" s="336">
        <f t="shared" si="46"/>
        <v>125000</v>
      </c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spans="1:26" ht="14.4">
      <c r="A228" s="326"/>
      <c r="B228" s="337" t="s">
        <v>327</v>
      </c>
      <c r="C228" s="227">
        <v>1</v>
      </c>
      <c r="D228" s="201"/>
      <c r="E228" s="201"/>
      <c r="F228" s="202">
        <f t="shared" si="42"/>
        <v>1</v>
      </c>
      <c r="G228" s="203">
        <v>34000</v>
      </c>
      <c r="H228" s="203">
        <v>40000</v>
      </c>
      <c r="I228" s="204"/>
      <c r="J228" s="205">
        <f t="shared" si="43"/>
        <v>0</v>
      </c>
      <c r="K228" s="205">
        <f t="shared" si="44"/>
        <v>0</v>
      </c>
      <c r="L228" s="319">
        <f t="shared" si="45"/>
        <v>34000</v>
      </c>
      <c r="M228" s="336">
        <f t="shared" si="46"/>
        <v>40000</v>
      </c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spans="1:26" ht="14.4">
      <c r="A229" s="326"/>
      <c r="B229" s="337" t="s">
        <v>328</v>
      </c>
      <c r="C229" s="229">
        <v>2</v>
      </c>
      <c r="D229" s="201"/>
      <c r="E229" s="201"/>
      <c r="F229" s="202">
        <f t="shared" si="42"/>
        <v>2</v>
      </c>
      <c r="G229" s="203">
        <v>25000</v>
      </c>
      <c r="H229" s="203">
        <v>28000</v>
      </c>
      <c r="I229" s="204"/>
      <c r="J229" s="205">
        <f t="shared" si="43"/>
        <v>0</v>
      </c>
      <c r="K229" s="205">
        <f t="shared" si="44"/>
        <v>0</v>
      </c>
      <c r="L229" s="319">
        <f t="shared" si="45"/>
        <v>50000</v>
      </c>
      <c r="M229" s="336">
        <f t="shared" si="46"/>
        <v>56000</v>
      </c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spans="1:26" ht="14.4">
      <c r="A230" s="326"/>
      <c r="B230" s="337" t="s">
        <v>329</v>
      </c>
      <c r="C230" s="227">
        <v>7</v>
      </c>
      <c r="D230" s="201"/>
      <c r="E230" s="201"/>
      <c r="F230" s="202">
        <f t="shared" si="42"/>
        <v>7</v>
      </c>
      <c r="G230" s="203">
        <v>20100</v>
      </c>
      <c r="H230" s="203">
        <v>25000</v>
      </c>
      <c r="I230" s="204"/>
      <c r="J230" s="205">
        <f t="shared" si="43"/>
        <v>0</v>
      </c>
      <c r="K230" s="205">
        <f t="shared" si="44"/>
        <v>0</v>
      </c>
      <c r="L230" s="319">
        <f t="shared" si="45"/>
        <v>140700</v>
      </c>
      <c r="M230" s="336">
        <f t="shared" si="46"/>
        <v>175000</v>
      </c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spans="1:26" ht="14.4">
      <c r="A231" s="326"/>
      <c r="B231" s="337" t="s">
        <v>330</v>
      </c>
      <c r="C231" s="227">
        <v>3</v>
      </c>
      <c r="D231" s="201"/>
      <c r="E231" s="201"/>
      <c r="F231" s="202">
        <f t="shared" si="42"/>
        <v>3</v>
      </c>
      <c r="G231" s="203">
        <v>50000</v>
      </c>
      <c r="H231" s="203">
        <v>62500</v>
      </c>
      <c r="I231" s="204"/>
      <c r="J231" s="205">
        <f t="shared" si="43"/>
        <v>0</v>
      </c>
      <c r="K231" s="205">
        <f t="shared" si="44"/>
        <v>0</v>
      </c>
      <c r="L231" s="319">
        <f t="shared" si="45"/>
        <v>150000</v>
      </c>
      <c r="M231" s="336">
        <f t="shared" si="46"/>
        <v>187500</v>
      </c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spans="1:26" ht="14.4">
      <c r="A232" s="326"/>
      <c r="B232" s="230" t="s">
        <v>331</v>
      </c>
      <c r="C232" s="227"/>
      <c r="D232" s="201"/>
      <c r="E232" s="201"/>
      <c r="F232" s="202">
        <f t="shared" si="42"/>
        <v>0</v>
      </c>
      <c r="G232" s="203">
        <v>6000</v>
      </c>
      <c r="H232" s="203">
        <v>8000</v>
      </c>
      <c r="I232" s="204"/>
      <c r="J232" s="205">
        <f t="shared" si="43"/>
        <v>0</v>
      </c>
      <c r="K232" s="205">
        <f t="shared" si="44"/>
        <v>0</v>
      </c>
      <c r="L232" s="319">
        <f t="shared" si="45"/>
        <v>0</v>
      </c>
      <c r="M232" s="336">
        <f t="shared" si="46"/>
        <v>0</v>
      </c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spans="1:26" ht="14.4">
      <c r="A233" s="326"/>
      <c r="B233" s="337" t="s">
        <v>332</v>
      </c>
      <c r="C233" s="227">
        <f>3</f>
        <v>3</v>
      </c>
      <c r="D233" s="201"/>
      <c r="E233" s="201"/>
      <c r="F233" s="202">
        <f t="shared" si="42"/>
        <v>3</v>
      </c>
      <c r="G233" s="203">
        <v>36000</v>
      </c>
      <c r="H233" s="203">
        <v>45000</v>
      </c>
      <c r="I233" s="204"/>
      <c r="J233" s="205">
        <f t="shared" si="43"/>
        <v>0</v>
      </c>
      <c r="K233" s="205">
        <f t="shared" si="44"/>
        <v>0</v>
      </c>
      <c r="L233" s="319">
        <f t="shared" si="45"/>
        <v>108000</v>
      </c>
      <c r="M233" s="336">
        <f t="shared" si="46"/>
        <v>135000</v>
      </c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spans="1:26" ht="14.4">
      <c r="A234" s="326"/>
      <c r="B234" s="337" t="s">
        <v>333</v>
      </c>
      <c r="C234" s="227">
        <v>1.5</v>
      </c>
      <c r="D234" s="201"/>
      <c r="E234" s="201"/>
      <c r="F234" s="202">
        <f t="shared" si="42"/>
        <v>1.5</v>
      </c>
      <c r="G234" s="203">
        <v>28800</v>
      </c>
      <c r="H234" s="203">
        <v>36000</v>
      </c>
      <c r="I234" s="204"/>
      <c r="J234" s="205">
        <f t="shared" si="43"/>
        <v>0</v>
      </c>
      <c r="K234" s="205">
        <f t="shared" si="44"/>
        <v>0</v>
      </c>
      <c r="L234" s="319">
        <f t="shared" si="45"/>
        <v>43200</v>
      </c>
      <c r="M234" s="336">
        <f t="shared" si="46"/>
        <v>54000</v>
      </c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spans="1:26" ht="14.4">
      <c r="A235" s="326"/>
      <c r="B235" s="337" t="s">
        <v>334</v>
      </c>
      <c r="C235" s="227">
        <v>3</v>
      </c>
      <c r="D235" s="201"/>
      <c r="E235" s="201"/>
      <c r="F235" s="202">
        <f t="shared" si="42"/>
        <v>3</v>
      </c>
      <c r="G235" s="203">
        <v>31900</v>
      </c>
      <c r="H235" s="203">
        <v>40000</v>
      </c>
      <c r="I235" s="204"/>
      <c r="J235" s="205">
        <f t="shared" si="43"/>
        <v>0</v>
      </c>
      <c r="K235" s="205">
        <f t="shared" si="44"/>
        <v>0</v>
      </c>
      <c r="L235" s="319">
        <f t="shared" si="45"/>
        <v>95700</v>
      </c>
      <c r="M235" s="336">
        <f t="shared" si="46"/>
        <v>120000</v>
      </c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spans="1:26" ht="14.4">
      <c r="A236" s="326"/>
      <c r="B236" s="337" t="s">
        <v>335</v>
      </c>
      <c r="C236" s="227">
        <v>1.5</v>
      </c>
      <c r="D236" s="201"/>
      <c r="E236" s="201"/>
      <c r="F236" s="202">
        <f t="shared" si="42"/>
        <v>1.5</v>
      </c>
      <c r="G236" s="203">
        <v>50000</v>
      </c>
      <c r="H236" s="203">
        <v>62500</v>
      </c>
      <c r="I236" s="204"/>
      <c r="J236" s="205">
        <f t="shared" si="43"/>
        <v>0</v>
      </c>
      <c r="K236" s="205">
        <f t="shared" si="44"/>
        <v>0</v>
      </c>
      <c r="L236" s="319">
        <f t="shared" si="45"/>
        <v>75000</v>
      </c>
      <c r="M236" s="336">
        <f t="shared" si="46"/>
        <v>93750</v>
      </c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spans="1:26" ht="14.4">
      <c r="A237" s="326"/>
      <c r="B237" s="337" t="s">
        <v>336</v>
      </c>
      <c r="C237" s="227">
        <v>1</v>
      </c>
      <c r="D237" s="201"/>
      <c r="E237" s="201"/>
      <c r="F237" s="202">
        <f t="shared" si="42"/>
        <v>1</v>
      </c>
      <c r="G237" s="203">
        <v>16400</v>
      </c>
      <c r="H237" s="203">
        <v>25000</v>
      </c>
      <c r="I237" s="204"/>
      <c r="J237" s="205">
        <f t="shared" si="43"/>
        <v>0</v>
      </c>
      <c r="K237" s="205">
        <f t="shared" si="44"/>
        <v>0</v>
      </c>
      <c r="L237" s="319">
        <f t="shared" si="45"/>
        <v>16400</v>
      </c>
      <c r="M237" s="336">
        <f t="shared" si="46"/>
        <v>25000</v>
      </c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spans="1:26" ht="14.4">
      <c r="A238" s="326"/>
      <c r="B238" s="337" t="s">
        <v>337</v>
      </c>
      <c r="C238" s="227">
        <v>4</v>
      </c>
      <c r="D238" s="201"/>
      <c r="E238" s="201"/>
      <c r="F238" s="202">
        <f t="shared" si="42"/>
        <v>4</v>
      </c>
      <c r="G238" s="203">
        <v>38300</v>
      </c>
      <c r="H238" s="203">
        <v>45000</v>
      </c>
      <c r="I238" s="204"/>
      <c r="J238" s="205">
        <f t="shared" si="43"/>
        <v>0</v>
      </c>
      <c r="K238" s="205">
        <f t="shared" si="44"/>
        <v>0</v>
      </c>
      <c r="L238" s="319">
        <f t="shared" si="45"/>
        <v>153200</v>
      </c>
      <c r="M238" s="336">
        <f t="shared" si="46"/>
        <v>180000</v>
      </c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spans="1:26" ht="14.4">
      <c r="A239" s="326"/>
      <c r="B239" s="337" t="s">
        <v>338</v>
      </c>
      <c r="C239" s="227"/>
      <c r="D239" s="201"/>
      <c r="E239" s="201"/>
      <c r="F239" s="202">
        <f t="shared" si="42"/>
        <v>0</v>
      </c>
      <c r="G239" s="203">
        <v>10500</v>
      </c>
      <c r="H239" s="338">
        <v>15000</v>
      </c>
      <c r="I239" s="204"/>
      <c r="J239" s="205">
        <f t="shared" si="43"/>
        <v>0</v>
      </c>
      <c r="K239" s="205">
        <f t="shared" si="44"/>
        <v>0</v>
      </c>
      <c r="L239" s="319">
        <f t="shared" si="45"/>
        <v>0</v>
      </c>
      <c r="M239" s="336">
        <f t="shared" si="46"/>
        <v>0</v>
      </c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spans="1:26" ht="14.4">
      <c r="A240" s="326"/>
      <c r="B240" s="337" t="s">
        <v>339</v>
      </c>
      <c r="C240" s="227">
        <v>2</v>
      </c>
      <c r="D240" s="201"/>
      <c r="E240" s="201"/>
      <c r="F240" s="202">
        <f t="shared" si="42"/>
        <v>2</v>
      </c>
      <c r="G240" s="338">
        <v>14000</v>
      </c>
      <c r="H240" s="338">
        <v>20000</v>
      </c>
      <c r="I240" s="204"/>
      <c r="J240" s="205">
        <f t="shared" si="43"/>
        <v>0</v>
      </c>
      <c r="K240" s="205">
        <f t="shared" si="44"/>
        <v>0</v>
      </c>
      <c r="L240" s="319">
        <f t="shared" si="45"/>
        <v>28000</v>
      </c>
      <c r="M240" s="336">
        <f t="shared" si="46"/>
        <v>40000</v>
      </c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spans="1:26" ht="14.4">
      <c r="A241" s="326"/>
      <c r="B241" s="337" t="s">
        <v>340</v>
      </c>
      <c r="C241" s="227">
        <v>1.5</v>
      </c>
      <c r="D241" s="201"/>
      <c r="E241" s="201"/>
      <c r="F241" s="202">
        <f t="shared" si="42"/>
        <v>1.5</v>
      </c>
      <c r="G241" s="239">
        <v>34900</v>
      </c>
      <c r="H241" s="239">
        <v>37500</v>
      </c>
      <c r="I241" s="213"/>
      <c r="J241" s="205">
        <f t="shared" si="43"/>
        <v>0</v>
      </c>
      <c r="K241" s="205">
        <f t="shared" si="44"/>
        <v>0</v>
      </c>
      <c r="L241" s="319">
        <f t="shared" si="45"/>
        <v>52350</v>
      </c>
      <c r="M241" s="336">
        <f t="shared" si="46"/>
        <v>56250</v>
      </c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spans="1:26" ht="14.4">
      <c r="A242" s="339"/>
      <c r="B242" s="340"/>
      <c r="C242" s="341"/>
      <c r="D242" s="341"/>
      <c r="E242" s="342">
        <f t="shared" ref="E242:H242" si="47">SUM(E176:E241)</f>
        <v>0</v>
      </c>
      <c r="F242" s="342">
        <f t="shared" si="47"/>
        <v>617</v>
      </c>
      <c r="G242" s="343">
        <f t="shared" si="47"/>
        <v>1770900</v>
      </c>
      <c r="H242" s="343">
        <f t="shared" si="47"/>
        <v>2106200</v>
      </c>
      <c r="I242" s="344"/>
      <c r="J242" s="345">
        <f t="shared" ref="J242:K242" si="48">SUM(J176:J241)</f>
        <v>0</v>
      </c>
      <c r="K242" s="345">
        <f t="shared" si="48"/>
        <v>0</v>
      </c>
      <c r="L242" s="346">
        <f>SUM(L182:L241)</f>
        <v>14761450</v>
      </c>
      <c r="M242" s="347">
        <f>SUM(M176:M241)</f>
        <v>19578525</v>
      </c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spans="1:26" ht="14.4">
      <c r="A243" s="671" t="s">
        <v>341</v>
      </c>
      <c r="B243" s="230" t="s">
        <v>342</v>
      </c>
      <c r="C243" s="229"/>
      <c r="D243" s="201"/>
      <c r="E243" s="321"/>
      <c r="F243" s="202">
        <f t="shared" ref="F243:F321" si="49">+C243+D243-E243</f>
        <v>0</v>
      </c>
      <c r="G243" s="203">
        <v>22400</v>
      </c>
      <c r="H243" s="203">
        <v>25000</v>
      </c>
      <c r="I243" s="224"/>
      <c r="J243" s="205">
        <f t="shared" ref="J243:J297" si="50">+I243*H243</f>
        <v>0</v>
      </c>
      <c r="K243" s="205">
        <f t="shared" ref="K243:K304" si="51">+(H243-G243)*I243</f>
        <v>0</v>
      </c>
      <c r="L243" s="323">
        <f t="shared" ref="L243:L304" si="52">+G243*F243</f>
        <v>0</v>
      </c>
      <c r="M243" s="348">
        <f t="shared" ref="M243:M304" si="53">F243*H243</f>
        <v>0</v>
      </c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spans="1:26" ht="14.4">
      <c r="A244" s="672"/>
      <c r="B244" s="230" t="s">
        <v>343</v>
      </c>
      <c r="C244" s="227">
        <v>5</v>
      </c>
      <c r="D244" s="201"/>
      <c r="E244" s="321"/>
      <c r="F244" s="202">
        <f t="shared" si="49"/>
        <v>5</v>
      </c>
      <c r="G244" s="203">
        <v>15000</v>
      </c>
      <c r="H244" s="203">
        <v>17000</v>
      </c>
      <c r="I244" s="204"/>
      <c r="J244" s="205">
        <f t="shared" si="50"/>
        <v>0</v>
      </c>
      <c r="K244" s="205">
        <f t="shared" si="51"/>
        <v>0</v>
      </c>
      <c r="L244" s="323">
        <f t="shared" si="52"/>
        <v>75000</v>
      </c>
      <c r="M244" s="348">
        <f t="shared" si="53"/>
        <v>85000</v>
      </c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spans="1:26" ht="14.4">
      <c r="A245" s="672"/>
      <c r="B245" s="211" t="s">
        <v>344</v>
      </c>
      <c r="C245" s="227">
        <v>3</v>
      </c>
      <c r="D245" s="201"/>
      <c r="E245" s="321"/>
      <c r="F245" s="202">
        <f t="shared" si="49"/>
        <v>3</v>
      </c>
      <c r="G245" s="203">
        <v>16920</v>
      </c>
      <c r="H245" s="203">
        <v>19000</v>
      </c>
      <c r="I245" s="204"/>
      <c r="J245" s="205">
        <f t="shared" si="50"/>
        <v>0</v>
      </c>
      <c r="K245" s="205">
        <f t="shared" si="51"/>
        <v>0</v>
      </c>
      <c r="L245" s="323">
        <f t="shared" si="52"/>
        <v>50760</v>
      </c>
      <c r="M245" s="348">
        <f t="shared" si="53"/>
        <v>57000</v>
      </c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spans="1:26" ht="14.4">
      <c r="A246" s="672"/>
      <c r="B246" s="211" t="s">
        <v>345</v>
      </c>
      <c r="C246" s="229"/>
      <c r="D246" s="201"/>
      <c r="E246" s="321"/>
      <c r="F246" s="202">
        <f t="shared" si="49"/>
        <v>0</v>
      </c>
      <c r="G246" s="203">
        <v>9000</v>
      </c>
      <c r="H246" s="203">
        <v>10000</v>
      </c>
      <c r="I246" s="204"/>
      <c r="J246" s="205">
        <f t="shared" si="50"/>
        <v>0</v>
      </c>
      <c r="K246" s="205">
        <f t="shared" si="51"/>
        <v>0</v>
      </c>
      <c r="L246" s="323">
        <f t="shared" si="52"/>
        <v>0</v>
      </c>
      <c r="M246" s="348">
        <f t="shared" si="53"/>
        <v>0</v>
      </c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spans="1:26" ht="14.4">
      <c r="A247" s="672"/>
      <c r="B247" s="230" t="s">
        <v>346</v>
      </c>
      <c r="C247" s="229"/>
      <c r="D247" s="201"/>
      <c r="E247" s="321"/>
      <c r="F247" s="202">
        <f t="shared" si="49"/>
        <v>0</v>
      </c>
      <c r="G247" s="203">
        <v>15600</v>
      </c>
      <c r="H247" s="203">
        <v>16500</v>
      </c>
      <c r="I247" s="204"/>
      <c r="J247" s="205">
        <f t="shared" si="50"/>
        <v>0</v>
      </c>
      <c r="K247" s="205">
        <f t="shared" si="51"/>
        <v>0</v>
      </c>
      <c r="L247" s="323">
        <f t="shared" si="52"/>
        <v>0</v>
      </c>
      <c r="M247" s="348">
        <f t="shared" si="53"/>
        <v>0</v>
      </c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spans="1:26" ht="14.4">
      <c r="A248" s="672"/>
      <c r="B248" s="230" t="s">
        <v>347</v>
      </c>
      <c r="C248" s="227">
        <v>6.5</v>
      </c>
      <c r="D248" s="201"/>
      <c r="E248" s="321"/>
      <c r="F248" s="202">
        <f t="shared" si="49"/>
        <v>6.5</v>
      </c>
      <c r="G248" s="203">
        <v>36000</v>
      </c>
      <c r="H248" s="203">
        <v>40600</v>
      </c>
      <c r="I248" s="204"/>
      <c r="J248" s="205">
        <f t="shared" si="50"/>
        <v>0</v>
      </c>
      <c r="K248" s="205">
        <f t="shared" si="51"/>
        <v>0</v>
      </c>
      <c r="L248" s="323">
        <f t="shared" si="52"/>
        <v>234000</v>
      </c>
      <c r="M248" s="348">
        <f t="shared" si="53"/>
        <v>263900</v>
      </c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spans="1:26" ht="14.4">
      <c r="A249" s="672"/>
      <c r="B249" s="230" t="s">
        <v>348</v>
      </c>
      <c r="C249" s="227">
        <v>17</v>
      </c>
      <c r="D249" s="201"/>
      <c r="E249" s="321"/>
      <c r="F249" s="202">
        <f t="shared" si="49"/>
        <v>17</v>
      </c>
      <c r="G249" s="203">
        <v>46000</v>
      </c>
      <c r="H249" s="203">
        <v>51000</v>
      </c>
      <c r="I249" s="204"/>
      <c r="J249" s="205">
        <f t="shared" si="50"/>
        <v>0</v>
      </c>
      <c r="K249" s="205">
        <f t="shared" si="51"/>
        <v>0</v>
      </c>
      <c r="L249" s="323">
        <f t="shared" si="52"/>
        <v>782000</v>
      </c>
      <c r="M249" s="348">
        <f t="shared" si="53"/>
        <v>867000</v>
      </c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spans="1:26" ht="14.4">
      <c r="A250" s="672"/>
      <c r="B250" s="349" t="s">
        <v>349</v>
      </c>
      <c r="C250" s="229">
        <v>4</v>
      </c>
      <c r="D250" s="201"/>
      <c r="E250" s="321"/>
      <c r="F250" s="202">
        <f t="shared" si="49"/>
        <v>4</v>
      </c>
      <c r="G250" s="203">
        <v>45000</v>
      </c>
      <c r="H250" s="203">
        <v>50000</v>
      </c>
      <c r="I250" s="204"/>
      <c r="J250" s="205">
        <f t="shared" si="50"/>
        <v>0</v>
      </c>
      <c r="K250" s="205">
        <f t="shared" si="51"/>
        <v>0</v>
      </c>
      <c r="L250" s="323">
        <f t="shared" si="52"/>
        <v>180000</v>
      </c>
      <c r="M250" s="348">
        <f t="shared" si="53"/>
        <v>200000</v>
      </c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spans="1:26" ht="14.4">
      <c r="A251" s="672"/>
      <c r="B251" s="230" t="s">
        <v>350</v>
      </c>
      <c r="C251" s="229"/>
      <c r="D251" s="201"/>
      <c r="E251" s="321"/>
      <c r="F251" s="202">
        <f t="shared" si="49"/>
        <v>0</v>
      </c>
      <c r="G251" s="203">
        <v>25000</v>
      </c>
      <c r="H251" s="203">
        <v>25000</v>
      </c>
      <c r="I251" s="204"/>
      <c r="J251" s="205">
        <f t="shared" si="50"/>
        <v>0</v>
      </c>
      <c r="K251" s="205">
        <f t="shared" si="51"/>
        <v>0</v>
      </c>
      <c r="L251" s="323">
        <f t="shared" si="52"/>
        <v>0</v>
      </c>
      <c r="M251" s="348">
        <f t="shared" si="53"/>
        <v>0</v>
      </c>
      <c r="N251" s="191" t="s">
        <v>351</v>
      </c>
      <c r="O251" s="191" t="s">
        <v>124</v>
      </c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spans="1:26" ht="14.4">
      <c r="A252" s="672"/>
      <c r="B252" s="230" t="s">
        <v>352</v>
      </c>
      <c r="C252" s="227">
        <v>5</v>
      </c>
      <c r="D252" s="201"/>
      <c r="E252" s="321"/>
      <c r="F252" s="202">
        <f t="shared" si="49"/>
        <v>5</v>
      </c>
      <c r="G252" s="203">
        <v>44000</v>
      </c>
      <c r="H252" s="203">
        <v>50000</v>
      </c>
      <c r="I252" s="204"/>
      <c r="J252" s="205">
        <f t="shared" si="50"/>
        <v>0</v>
      </c>
      <c r="K252" s="205">
        <f t="shared" si="51"/>
        <v>0</v>
      </c>
      <c r="L252" s="323">
        <f t="shared" si="52"/>
        <v>220000</v>
      </c>
      <c r="M252" s="348">
        <f t="shared" si="53"/>
        <v>250000</v>
      </c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spans="1:26" ht="14.4">
      <c r="A253" s="672"/>
      <c r="B253" s="211" t="s">
        <v>353</v>
      </c>
      <c r="C253" s="229"/>
      <c r="D253" s="201"/>
      <c r="E253" s="321"/>
      <c r="F253" s="202">
        <f t="shared" si="49"/>
        <v>0</v>
      </c>
      <c r="G253" s="203">
        <v>3333</v>
      </c>
      <c r="H253" s="203">
        <v>3500</v>
      </c>
      <c r="I253" s="204"/>
      <c r="J253" s="205">
        <f t="shared" si="50"/>
        <v>0</v>
      </c>
      <c r="K253" s="205">
        <f t="shared" si="51"/>
        <v>0</v>
      </c>
      <c r="L253" s="323">
        <f t="shared" si="52"/>
        <v>0</v>
      </c>
      <c r="M253" s="348">
        <f t="shared" si="53"/>
        <v>0</v>
      </c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spans="1:26" ht="14.4">
      <c r="A254" s="672"/>
      <c r="B254" s="230" t="s">
        <v>354</v>
      </c>
      <c r="C254" s="227">
        <v>15</v>
      </c>
      <c r="D254" s="201"/>
      <c r="E254" s="321"/>
      <c r="F254" s="202">
        <f t="shared" si="49"/>
        <v>15</v>
      </c>
      <c r="G254" s="203">
        <v>6500</v>
      </c>
      <c r="H254" s="203">
        <v>7500</v>
      </c>
      <c r="I254" s="204"/>
      <c r="J254" s="205">
        <f t="shared" si="50"/>
        <v>0</v>
      </c>
      <c r="K254" s="205">
        <f t="shared" si="51"/>
        <v>0</v>
      </c>
      <c r="L254" s="323">
        <f t="shared" si="52"/>
        <v>97500</v>
      </c>
      <c r="M254" s="348">
        <f t="shared" si="53"/>
        <v>112500</v>
      </c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spans="1:26" ht="14.4">
      <c r="A255" s="672"/>
      <c r="B255" s="230" t="s">
        <v>355</v>
      </c>
      <c r="C255" s="227"/>
      <c r="D255" s="201"/>
      <c r="E255" s="321"/>
      <c r="F255" s="202">
        <f t="shared" si="49"/>
        <v>0</v>
      </c>
      <c r="G255" s="203">
        <v>6700</v>
      </c>
      <c r="H255" s="203">
        <v>7500</v>
      </c>
      <c r="I255" s="204"/>
      <c r="J255" s="205">
        <f t="shared" si="50"/>
        <v>0</v>
      </c>
      <c r="K255" s="205">
        <f t="shared" si="51"/>
        <v>0</v>
      </c>
      <c r="L255" s="323">
        <f t="shared" si="52"/>
        <v>0</v>
      </c>
      <c r="M255" s="348">
        <f t="shared" si="53"/>
        <v>0</v>
      </c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spans="1:26" ht="14.4">
      <c r="A256" s="672"/>
      <c r="B256" s="230" t="s">
        <v>356</v>
      </c>
      <c r="C256" s="227">
        <v>33.5</v>
      </c>
      <c r="D256" s="201"/>
      <c r="E256" s="321"/>
      <c r="F256" s="202">
        <f t="shared" si="49"/>
        <v>33.5</v>
      </c>
      <c r="G256" s="203">
        <v>10800</v>
      </c>
      <c r="H256" s="203">
        <v>13000</v>
      </c>
      <c r="I256" s="204"/>
      <c r="J256" s="205">
        <f t="shared" si="50"/>
        <v>0</v>
      </c>
      <c r="K256" s="205">
        <f t="shared" si="51"/>
        <v>0</v>
      </c>
      <c r="L256" s="323">
        <f t="shared" si="52"/>
        <v>361800</v>
      </c>
      <c r="M256" s="348">
        <f t="shared" si="53"/>
        <v>435500</v>
      </c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 spans="1:26" ht="14.4">
      <c r="A257" s="672"/>
      <c r="B257" s="230" t="s">
        <v>357</v>
      </c>
      <c r="C257" s="227">
        <f>62+8</f>
        <v>70</v>
      </c>
      <c r="D257" s="201"/>
      <c r="E257" s="321"/>
      <c r="F257" s="202">
        <f t="shared" si="49"/>
        <v>70</v>
      </c>
      <c r="G257" s="203">
        <v>2000</v>
      </c>
      <c r="H257" s="203">
        <v>3000</v>
      </c>
      <c r="I257" s="204"/>
      <c r="J257" s="205">
        <f t="shared" si="50"/>
        <v>0</v>
      </c>
      <c r="K257" s="205">
        <f t="shared" si="51"/>
        <v>0</v>
      </c>
      <c r="L257" s="323">
        <f t="shared" si="52"/>
        <v>140000</v>
      </c>
      <c r="M257" s="348">
        <f t="shared" si="53"/>
        <v>210000</v>
      </c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 spans="1:26" ht="14.4">
      <c r="A258" s="672"/>
      <c r="B258" s="230" t="s">
        <v>358</v>
      </c>
      <c r="C258" s="227">
        <f>39+37</f>
        <v>76</v>
      </c>
      <c r="D258" s="201"/>
      <c r="E258" s="321"/>
      <c r="F258" s="202">
        <f t="shared" si="49"/>
        <v>76</v>
      </c>
      <c r="G258" s="203">
        <v>24000</v>
      </c>
      <c r="H258" s="203">
        <v>27700</v>
      </c>
      <c r="I258" s="204"/>
      <c r="J258" s="205">
        <f t="shared" si="50"/>
        <v>0</v>
      </c>
      <c r="K258" s="205">
        <f t="shared" si="51"/>
        <v>0</v>
      </c>
      <c r="L258" s="323">
        <f t="shared" si="52"/>
        <v>1824000</v>
      </c>
      <c r="M258" s="348">
        <f t="shared" si="53"/>
        <v>2105200</v>
      </c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 spans="1:26" ht="14.4">
      <c r="A259" s="672"/>
      <c r="B259" s="350" t="s">
        <v>359</v>
      </c>
      <c r="C259" s="227">
        <v>25</v>
      </c>
      <c r="D259" s="201"/>
      <c r="E259" s="321"/>
      <c r="F259" s="202">
        <f t="shared" si="49"/>
        <v>25</v>
      </c>
      <c r="G259" s="351">
        <v>27000</v>
      </c>
      <c r="H259" s="351">
        <v>32000</v>
      </c>
      <c r="I259" s="204"/>
      <c r="J259" s="205">
        <f t="shared" si="50"/>
        <v>0</v>
      </c>
      <c r="K259" s="205">
        <f t="shared" si="51"/>
        <v>0</v>
      </c>
      <c r="L259" s="323">
        <f t="shared" si="52"/>
        <v>675000</v>
      </c>
      <c r="M259" s="348">
        <f t="shared" si="53"/>
        <v>800000</v>
      </c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 spans="1:26" ht="14.4">
      <c r="A260" s="672"/>
      <c r="B260" s="230" t="s">
        <v>360</v>
      </c>
      <c r="C260" s="227">
        <v>5</v>
      </c>
      <c r="D260" s="201"/>
      <c r="E260" s="321"/>
      <c r="F260" s="202">
        <f t="shared" si="49"/>
        <v>5</v>
      </c>
      <c r="G260" s="203">
        <v>18000</v>
      </c>
      <c r="H260" s="203">
        <v>20000</v>
      </c>
      <c r="I260" s="204"/>
      <c r="J260" s="205">
        <f t="shared" si="50"/>
        <v>0</v>
      </c>
      <c r="K260" s="205">
        <f t="shared" si="51"/>
        <v>0</v>
      </c>
      <c r="L260" s="323">
        <f t="shared" si="52"/>
        <v>90000</v>
      </c>
      <c r="M260" s="348">
        <f t="shared" si="53"/>
        <v>100000</v>
      </c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 spans="1:26" ht="14.4">
      <c r="A261" s="672"/>
      <c r="B261" s="230" t="s">
        <v>96</v>
      </c>
      <c r="C261" s="227">
        <v>5</v>
      </c>
      <c r="D261" s="201"/>
      <c r="E261" s="321"/>
      <c r="F261" s="202">
        <f t="shared" si="49"/>
        <v>5</v>
      </c>
      <c r="G261" s="203">
        <v>12000</v>
      </c>
      <c r="H261" s="203">
        <v>13500</v>
      </c>
      <c r="I261" s="204"/>
      <c r="J261" s="205">
        <f t="shared" si="50"/>
        <v>0</v>
      </c>
      <c r="K261" s="205">
        <f t="shared" si="51"/>
        <v>0</v>
      </c>
      <c r="L261" s="323">
        <f t="shared" si="52"/>
        <v>60000</v>
      </c>
      <c r="M261" s="348">
        <f t="shared" si="53"/>
        <v>67500</v>
      </c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spans="1:26" ht="14.4">
      <c r="A262" s="672"/>
      <c r="B262" s="230" t="s">
        <v>361</v>
      </c>
      <c r="C262" s="229">
        <f>34+24</f>
        <v>58</v>
      </c>
      <c r="D262" s="201"/>
      <c r="E262" s="321"/>
      <c r="F262" s="202">
        <f t="shared" si="49"/>
        <v>58</v>
      </c>
      <c r="G262" s="203">
        <v>40000</v>
      </c>
      <c r="H262" s="203">
        <v>46000</v>
      </c>
      <c r="I262" s="204"/>
      <c r="J262" s="205">
        <f t="shared" si="50"/>
        <v>0</v>
      </c>
      <c r="K262" s="205">
        <f t="shared" si="51"/>
        <v>0</v>
      </c>
      <c r="L262" s="323">
        <f t="shared" si="52"/>
        <v>2320000</v>
      </c>
      <c r="M262" s="348">
        <f t="shared" si="53"/>
        <v>2668000</v>
      </c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spans="1:26" ht="14.4">
      <c r="A263" s="672"/>
      <c r="B263" s="230" t="s">
        <v>362</v>
      </c>
      <c r="C263" s="227">
        <v>14</v>
      </c>
      <c r="D263" s="201"/>
      <c r="E263" s="321"/>
      <c r="F263" s="202">
        <f t="shared" si="49"/>
        <v>14</v>
      </c>
      <c r="G263" s="203">
        <v>18000</v>
      </c>
      <c r="H263" s="203">
        <v>20000</v>
      </c>
      <c r="I263" s="204"/>
      <c r="J263" s="205">
        <f t="shared" si="50"/>
        <v>0</v>
      </c>
      <c r="K263" s="205">
        <f t="shared" si="51"/>
        <v>0</v>
      </c>
      <c r="L263" s="323">
        <f t="shared" si="52"/>
        <v>252000</v>
      </c>
      <c r="M263" s="348">
        <f t="shared" si="53"/>
        <v>280000</v>
      </c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spans="1:26" ht="14.4">
      <c r="A264" s="672"/>
      <c r="B264" s="230" t="s">
        <v>363</v>
      </c>
      <c r="C264" s="229">
        <v>36</v>
      </c>
      <c r="D264" s="201"/>
      <c r="E264" s="321"/>
      <c r="F264" s="202">
        <f t="shared" si="49"/>
        <v>36</v>
      </c>
      <c r="G264" s="203">
        <v>10400</v>
      </c>
      <c r="H264" s="203">
        <v>12000</v>
      </c>
      <c r="I264" s="204"/>
      <c r="J264" s="205">
        <f t="shared" si="50"/>
        <v>0</v>
      </c>
      <c r="K264" s="205">
        <f t="shared" si="51"/>
        <v>0</v>
      </c>
      <c r="L264" s="323">
        <f t="shared" si="52"/>
        <v>374400</v>
      </c>
      <c r="M264" s="348">
        <f t="shared" si="53"/>
        <v>432000</v>
      </c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spans="1:26" ht="14.4">
      <c r="A265" s="672"/>
      <c r="B265" s="230" t="s">
        <v>364</v>
      </c>
      <c r="C265" s="227">
        <v>18</v>
      </c>
      <c r="D265" s="201"/>
      <c r="E265" s="321"/>
      <c r="F265" s="202">
        <f t="shared" si="49"/>
        <v>18</v>
      </c>
      <c r="G265" s="203">
        <v>31400</v>
      </c>
      <c r="H265" s="203">
        <v>35000</v>
      </c>
      <c r="I265" s="204"/>
      <c r="J265" s="205">
        <f t="shared" si="50"/>
        <v>0</v>
      </c>
      <c r="K265" s="205">
        <f t="shared" si="51"/>
        <v>0</v>
      </c>
      <c r="L265" s="323">
        <f t="shared" si="52"/>
        <v>565200</v>
      </c>
      <c r="M265" s="348">
        <f t="shared" si="53"/>
        <v>630000</v>
      </c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spans="1:26" ht="14.4">
      <c r="A266" s="672"/>
      <c r="B266" s="352" t="s">
        <v>365</v>
      </c>
      <c r="C266" s="227">
        <v>106</v>
      </c>
      <c r="D266" s="201"/>
      <c r="E266" s="321"/>
      <c r="F266" s="202">
        <f t="shared" si="49"/>
        <v>106</v>
      </c>
      <c r="G266" s="203">
        <v>32000</v>
      </c>
      <c r="H266" s="203">
        <v>37000</v>
      </c>
      <c r="I266" s="204"/>
      <c r="J266" s="205">
        <f t="shared" si="50"/>
        <v>0</v>
      </c>
      <c r="K266" s="205">
        <f t="shared" si="51"/>
        <v>0</v>
      </c>
      <c r="L266" s="323">
        <f t="shared" si="52"/>
        <v>3392000</v>
      </c>
      <c r="M266" s="348">
        <f t="shared" si="53"/>
        <v>3922000</v>
      </c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spans="1:26" ht="14.4">
      <c r="A267" s="672"/>
      <c r="B267" s="230" t="s">
        <v>366</v>
      </c>
      <c r="C267" s="229">
        <v>2</v>
      </c>
      <c r="D267" s="201"/>
      <c r="E267" s="321"/>
      <c r="F267" s="202">
        <f t="shared" si="49"/>
        <v>2</v>
      </c>
      <c r="G267" s="203">
        <v>40000</v>
      </c>
      <c r="H267" s="203">
        <v>45000</v>
      </c>
      <c r="I267" s="204"/>
      <c r="J267" s="205">
        <f t="shared" si="50"/>
        <v>0</v>
      </c>
      <c r="K267" s="205">
        <f t="shared" si="51"/>
        <v>0</v>
      </c>
      <c r="L267" s="323">
        <f t="shared" si="52"/>
        <v>80000</v>
      </c>
      <c r="M267" s="348">
        <f t="shared" si="53"/>
        <v>90000</v>
      </c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 spans="1:26" ht="14.4">
      <c r="A268" s="672"/>
      <c r="B268" s="230" t="s">
        <v>367</v>
      </c>
      <c r="C268" s="227">
        <v>4</v>
      </c>
      <c r="D268" s="201"/>
      <c r="E268" s="321"/>
      <c r="F268" s="202">
        <f t="shared" si="49"/>
        <v>4</v>
      </c>
      <c r="G268" s="203">
        <v>11000</v>
      </c>
      <c r="H268" s="203">
        <v>12000</v>
      </c>
      <c r="I268" s="204"/>
      <c r="J268" s="205">
        <f t="shared" si="50"/>
        <v>0</v>
      </c>
      <c r="K268" s="205">
        <f t="shared" si="51"/>
        <v>0</v>
      </c>
      <c r="L268" s="323">
        <f t="shared" si="52"/>
        <v>44000</v>
      </c>
      <c r="M268" s="348">
        <f t="shared" si="53"/>
        <v>48000</v>
      </c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 spans="1:26" ht="14.4">
      <c r="A269" s="672"/>
      <c r="B269" s="211" t="s">
        <v>368</v>
      </c>
      <c r="C269" s="229">
        <v>2</v>
      </c>
      <c r="D269" s="201"/>
      <c r="E269" s="321"/>
      <c r="F269" s="202">
        <f t="shared" si="49"/>
        <v>2</v>
      </c>
      <c r="G269" s="203">
        <v>15600</v>
      </c>
      <c r="H269" s="203">
        <v>17600</v>
      </c>
      <c r="I269" s="204"/>
      <c r="J269" s="205">
        <f t="shared" si="50"/>
        <v>0</v>
      </c>
      <c r="K269" s="205">
        <f t="shared" si="51"/>
        <v>0</v>
      </c>
      <c r="L269" s="323">
        <f t="shared" si="52"/>
        <v>31200</v>
      </c>
      <c r="M269" s="348">
        <f t="shared" si="53"/>
        <v>35200</v>
      </c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 spans="1:26" ht="14.4">
      <c r="A270" s="672"/>
      <c r="B270" s="211" t="s">
        <v>369</v>
      </c>
      <c r="C270" s="229">
        <v>4</v>
      </c>
      <c r="D270" s="201"/>
      <c r="E270" s="321"/>
      <c r="F270" s="202">
        <f t="shared" si="49"/>
        <v>4</v>
      </c>
      <c r="G270" s="203">
        <v>20700</v>
      </c>
      <c r="H270" s="203">
        <v>21700</v>
      </c>
      <c r="I270" s="204"/>
      <c r="J270" s="205">
        <f t="shared" si="50"/>
        <v>0</v>
      </c>
      <c r="K270" s="205">
        <f t="shared" si="51"/>
        <v>0</v>
      </c>
      <c r="L270" s="323">
        <f t="shared" si="52"/>
        <v>82800</v>
      </c>
      <c r="M270" s="348">
        <f t="shared" si="53"/>
        <v>86800</v>
      </c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 spans="1:26" ht="14.4">
      <c r="A271" s="672"/>
      <c r="B271" s="230" t="s">
        <v>370</v>
      </c>
      <c r="C271" s="227">
        <v>4</v>
      </c>
      <c r="D271" s="201"/>
      <c r="E271" s="321"/>
      <c r="F271" s="202">
        <f t="shared" si="49"/>
        <v>4</v>
      </c>
      <c r="G271" s="203">
        <v>36000</v>
      </c>
      <c r="H271" s="203">
        <v>40000</v>
      </c>
      <c r="I271" s="204"/>
      <c r="J271" s="205">
        <f t="shared" si="50"/>
        <v>0</v>
      </c>
      <c r="K271" s="205">
        <f t="shared" si="51"/>
        <v>0</v>
      </c>
      <c r="L271" s="323">
        <f t="shared" si="52"/>
        <v>144000</v>
      </c>
      <c r="M271" s="348">
        <f t="shared" si="53"/>
        <v>160000</v>
      </c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 spans="1:26" ht="14.4">
      <c r="A272" s="672"/>
      <c r="B272" s="230" t="s">
        <v>371</v>
      </c>
      <c r="C272" s="227">
        <v>2.5</v>
      </c>
      <c r="D272" s="201"/>
      <c r="E272" s="321"/>
      <c r="F272" s="202">
        <f t="shared" si="49"/>
        <v>2.5</v>
      </c>
      <c r="G272" s="203">
        <v>22000</v>
      </c>
      <c r="H272" s="203">
        <v>24000</v>
      </c>
      <c r="I272" s="204"/>
      <c r="J272" s="205">
        <f t="shared" si="50"/>
        <v>0</v>
      </c>
      <c r="K272" s="205">
        <f t="shared" si="51"/>
        <v>0</v>
      </c>
      <c r="L272" s="323">
        <f t="shared" si="52"/>
        <v>55000</v>
      </c>
      <c r="M272" s="348">
        <f t="shared" si="53"/>
        <v>60000</v>
      </c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 spans="1:26" ht="14.4">
      <c r="A273" s="672"/>
      <c r="B273" s="230" t="s">
        <v>372</v>
      </c>
      <c r="C273" s="227">
        <v>0.5</v>
      </c>
      <c r="D273" s="201"/>
      <c r="E273" s="321"/>
      <c r="F273" s="202">
        <f t="shared" si="49"/>
        <v>0.5</v>
      </c>
      <c r="G273" s="203">
        <v>34100</v>
      </c>
      <c r="H273" s="203">
        <v>37000</v>
      </c>
      <c r="I273" s="204"/>
      <c r="J273" s="205">
        <f t="shared" si="50"/>
        <v>0</v>
      </c>
      <c r="K273" s="205">
        <f t="shared" si="51"/>
        <v>0</v>
      </c>
      <c r="L273" s="323">
        <f t="shared" si="52"/>
        <v>17050</v>
      </c>
      <c r="M273" s="348">
        <f t="shared" si="53"/>
        <v>18500</v>
      </c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 spans="1:26" ht="14.4">
      <c r="A274" s="672"/>
      <c r="B274" s="230" t="s">
        <v>88</v>
      </c>
      <c r="C274" s="229">
        <v>6</v>
      </c>
      <c r="D274" s="201"/>
      <c r="E274" s="321"/>
      <c r="F274" s="202">
        <f t="shared" si="49"/>
        <v>6</v>
      </c>
      <c r="G274" s="203">
        <v>16000</v>
      </c>
      <c r="H274" s="203">
        <v>20000</v>
      </c>
      <c r="I274" s="204"/>
      <c r="J274" s="205">
        <f t="shared" si="50"/>
        <v>0</v>
      </c>
      <c r="K274" s="205">
        <f t="shared" si="51"/>
        <v>0</v>
      </c>
      <c r="L274" s="323">
        <f t="shared" si="52"/>
        <v>96000</v>
      </c>
      <c r="M274" s="348">
        <f t="shared" si="53"/>
        <v>120000</v>
      </c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 spans="1:26" ht="14.4">
      <c r="A275" s="672"/>
      <c r="B275" s="230" t="s">
        <v>86</v>
      </c>
      <c r="C275" s="227">
        <v>17.25</v>
      </c>
      <c r="D275" s="201"/>
      <c r="E275" s="321"/>
      <c r="F275" s="202">
        <f t="shared" si="49"/>
        <v>17.25</v>
      </c>
      <c r="G275" s="203">
        <v>51818</v>
      </c>
      <c r="H275" s="203">
        <v>57000</v>
      </c>
      <c r="I275" s="204"/>
      <c r="J275" s="205">
        <f t="shared" si="50"/>
        <v>0</v>
      </c>
      <c r="K275" s="205">
        <f t="shared" si="51"/>
        <v>0</v>
      </c>
      <c r="L275" s="323">
        <f t="shared" si="52"/>
        <v>893860.5</v>
      </c>
      <c r="M275" s="348">
        <f t="shared" si="53"/>
        <v>983250</v>
      </c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1:26" ht="14.4">
      <c r="A276" s="672"/>
      <c r="B276" s="230" t="s">
        <v>87</v>
      </c>
      <c r="C276" s="227">
        <v>74</v>
      </c>
      <c r="D276" s="201"/>
      <c r="E276" s="321"/>
      <c r="F276" s="202">
        <f t="shared" si="49"/>
        <v>74</v>
      </c>
      <c r="G276" s="203">
        <v>22000</v>
      </c>
      <c r="H276" s="203">
        <v>28000</v>
      </c>
      <c r="I276" s="204"/>
      <c r="J276" s="205">
        <f t="shared" si="50"/>
        <v>0</v>
      </c>
      <c r="K276" s="205">
        <f t="shared" si="51"/>
        <v>0</v>
      </c>
      <c r="L276" s="323">
        <f t="shared" si="52"/>
        <v>1628000</v>
      </c>
      <c r="M276" s="348">
        <f t="shared" si="53"/>
        <v>2072000</v>
      </c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1:26" ht="14.4">
      <c r="A277" s="672"/>
      <c r="B277" s="230" t="s">
        <v>373</v>
      </c>
      <c r="C277" s="227">
        <v>35</v>
      </c>
      <c r="D277" s="201"/>
      <c r="E277" s="321"/>
      <c r="F277" s="202">
        <f t="shared" si="49"/>
        <v>35</v>
      </c>
      <c r="G277" s="203">
        <v>3716</v>
      </c>
      <c r="H277" s="203">
        <v>4000</v>
      </c>
      <c r="I277" s="204"/>
      <c r="J277" s="205">
        <f t="shared" si="50"/>
        <v>0</v>
      </c>
      <c r="K277" s="205">
        <f t="shared" si="51"/>
        <v>0</v>
      </c>
      <c r="L277" s="323">
        <f t="shared" si="52"/>
        <v>130060</v>
      </c>
      <c r="M277" s="348">
        <f t="shared" si="53"/>
        <v>140000</v>
      </c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1:26" ht="14.4">
      <c r="A278" s="672"/>
      <c r="B278" s="230" t="s">
        <v>374</v>
      </c>
      <c r="C278" s="227">
        <v>36.5</v>
      </c>
      <c r="D278" s="201"/>
      <c r="E278" s="321"/>
      <c r="F278" s="202">
        <f t="shared" si="49"/>
        <v>36.5</v>
      </c>
      <c r="G278" s="203">
        <v>22000</v>
      </c>
      <c r="H278" s="203">
        <v>28000</v>
      </c>
      <c r="I278" s="204"/>
      <c r="J278" s="205">
        <f t="shared" si="50"/>
        <v>0</v>
      </c>
      <c r="K278" s="205">
        <f t="shared" si="51"/>
        <v>0</v>
      </c>
      <c r="L278" s="323">
        <f t="shared" si="52"/>
        <v>803000</v>
      </c>
      <c r="M278" s="348">
        <f t="shared" si="53"/>
        <v>1022000</v>
      </c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1:26" ht="14.4">
      <c r="A279" s="672"/>
      <c r="B279" s="230" t="s">
        <v>375</v>
      </c>
      <c r="C279" s="227">
        <v>6.5</v>
      </c>
      <c r="D279" s="201"/>
      <c r="E279" s="321"/>
      <c r="F279" s="202">
        <f t="shared" si="49"/>
        <v>6.5</v>
      </c>
      <c r="G279" s="203">
        <v>28000</v>
      </c>
      <c r="H279" s="203">
        <v>30000</v>
      </c>
      <c r="I279" s="204"/>
      <c r="J279" s="205">
        <f t="shared" si="50"/>
        <v>0</v>
      </c>
      <c r="K279" s="205">
        <f t="shared" si="51"/>
        <v>0</v>
      </c>
      <c r="L279" s="323">
        <f t="shared" si="52"/>
        <v>182000</v>
      </c>
      <c r="M279" s="348">
        <f t="shared" si="53"/>
        <v>195000</v>
      </c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1:26" ht="14.4">
      <c r="A280" s="672"/>
      <c r="B280" s="230" t="s">
        <v>376</v>
      </c>
      <c r="C280" s="227">
        <v>9</v>
      </c>
      <c r="D280" s="201"/>
      <c r="E280" s="321"/>
      <c r="F280" s="202">
        <f t="shared" si="49"/>
        <v>9</v>
      </c>
      <c r="G280" s="203">
        <v>22000</v>
      </c>
      <c r="H280" s="203">
        <v>25000</v>
      </c>
      <c r="I280" s="204"/>
      <c r="J280" s="205">
        <f t="shared" si="50"/>
        <v>0</v>
      </c>
      <c r="K280" s="205">
        <f t="shared" si="51"/>
        <v>0</v>
      </c>
      <c r="L280" s="323">
        <f t="shared" si="52"/>
        <v>198000</v>
      </c>
      <c r="M280" s="348">
        <f t="shared" si="53"/>
        <v>225000</v>
      </c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 spans="1:26" ht="14.4">
      <c r="A281" s="672"/>
      <c r="B281" s="211" t="s">
        <v>277</v>
      </c>
      <c r="C281" s="227"/>
      <c r="D281" s="201"/>
      <c r="E281" s="321"/>
      <c r="F281" s="202">
        <f t="shared" si="49"/>
        <v>0</v>
      </c>
      <c r="G281" s="203">
        <v>2500</v>
      </c>
      <c r="H281" s="203">
        <v>3000</v>
      </c>
      <c r="I281" s="204"/>
      <c r="J281" s="205">
        <f t="shared" si="50"/>
        <v>0</v>
      </c>
      <c r="K281" s="205">
        <f t="shared" si="51"/>
        <v>0</v>
      </c>
      <c r="L281" s="323">
        <f t="shared" si="52"/>
        <v>0</v>
      </c>
      <c r="M281" s="348">
        <f t="shared" si="53"/>
        <v>0</v>
      </c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 spans="1:26" ht="14.4">
      <c r="A282" s="672"/>
      <c r="B282" s="230" t="s">
        <v>377</v>
      </c>
      <c r="C282" s="227">
        <f>6.5+27.5</f>
        <v>34</v>
      </c>
      <c r="D282" s="201"/>
      <c r="E282" s="321"/>
      <c r="F282" s="202">
        <f t="shared" si="49"/>
        <v>34</v>
      </c>
      <c r="G282" s="203">
        <v>22500</v>
      </c>
      <c r="H282" s="203">
        <v>25000</v>
      </c>
      <c r="I282" s="204"/>
      <c r="J282" s="205">
        <f t="shared" si="50"/>
        <v>0</v>
      </c>
      <c r="K282" s="205">
        <f t="shared" si="51"/>
        <v>0</v>
      </c>
      <c r="L282" s="323">
        <f t="shared" si="52"/>
        <v>765000</v>
      </c>
      <c r="M282" s="348">
        <f t="shared" si="53"/>
        <v>850000</v>
      </c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 spans="1:26" ht="14.4">
      <c r="A283" s="672"/>
      <c r="B283" s="230" t="s">
        <v>378</v>
      </c>
      <c r="C283" s="227"/>
      <c r="D283" s="201"/>
      <c r="E283" s="321"/>
      <c r="F283" s="202">
        <f t="shared" si="49"/>
        <v>0</v>
      </c>
      <c r="G283" s="203">
        <v>13500</v>
      </c>
      <c r="H283" s="203">
        <v>15000</v>
      </c>
      <c r="I283" s="204"/>
      <c r="J283" s="205">
        <f t="shared" si="50"/>
        <v>0</v>
      </c>
      <c r="K283" s="205">
        <f t="shared" si="51"/>
        <v>0</v>
      </c>
      <c r="L283" s="323">
        <f t="shared" si="52"/>
        <v>0</v>
      </c>
      <c r="M283" s="348">
        <f t="shared" si="53"/>
        <v>0</v>
      </c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 spans="1:26" ht="14.4">
      <c r="A284" s="672"/>
      <c r="B284" s="230" t="s">
        <v>83</v>
      </c>
      <c r="C284" s="227">
        <f>2.5+19</f>
        <v>21.5</v>
      </c>
      <c r="D284" s="201"/>
      <c r="E284" s="321"/>
      <c r="F284" s="202">
        <f t="shared" si="49"/>
        <v>21.5</v>
      </c>
      <c r="G284" s="203">
        <v>46000</v>
      </c>
      <c r="H284" s="203">
        <v>52000</v>
      </c>
      <c r="I284" s="204"/>
      <c r="J284" s="205">
        <f t="shared" si="50"/>
        <v>0</v>
      </c>
      <c r="K284" s="205">
        <f t="shared" si="51"/>
        <v>0</v>
      </c>
      <c r="L284" s="323">
        <f t="shared" si="52"/>
        <v>989000</v>
      </c>
      <c r="M284" s="348">
        <f t="shared" si="53"/>
        <v>1118000</v>
      </c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 spans="1:26" ht="14.4">
      <c r="A285" s="672"/>
      <c r="B285" s="230" t="s">
        <v>379</v>
      </c>
      <c r="C285" s="227">
        <f>6+39</f>
        <v>45</v>
      </c>
      <c r="D285" s="201"/>
      <c r="E285" s="321"/>
      <c r="F285" s="202">
        <f t="shared" si="49"/>
        <v>45</v>
      </c>
      <c r="G285" s="203">
        <v>28500</v>
      </c>
      <c r="H285" s="203">
        <v>31000</v>
      </c>
      <c r="I285" s="204"/>
      <c r="J285" s="205">
        <f t="shared" si="50"/>
        <v>0</v>
      </c>
      <c r="K285" s="205">
        <f t="shared" si="51"/>
        <v>0</v>
      </c>
      <c r="L285" s="323">
        <f t="shared" si="52"/>
        <v>1282500</v>
      </c>
      <c r="M285" s="348">
        <f t="shared" si="53"/>
        <v>1395000</v>
      </c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 spans="1:26" ht="14.4">
      <c r="A286" s="672"/>
      <c r="B286" s="230" t="s">
        <v>380</v>
      </c>
      <c r="C286" s="227"/>
      <c r="D286" s="201"/>
      <c r="E286" s="321"/>
      <c r="F286" s="202">
        <f t="shared" si="49"/>
        <v>0</v>
      </c>
      <c r="G286" s="203">
        <v>28500</v>
      </c>
      <c r="H286" s="203">
        <v>31000</v>
      </c>
      <c r="I286" s="204"/>
      <c r="J286" s="205">
        <f t="shared" si="50"/>
        <v>0</v>
      </c>
      <c r="K286" s="205">
        <f t="shared" si="51"/>
        <v>0</v>
      </c>
      <c r="L286" s="323">
        <f t="shared" si="52"/>
        <v>0</v>
      </c>
      <c r="M286" s="348">
        <f t="shared" si="53"/>
        <v>0</v>
      </c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 spans="1:26" ht="14.4">
      <c r="A287" s="672"/>
      <c r="B287" s="230" t="s">
        <v>381</v>
      </c>
      <c r="C287" s="227">
        <v>34</v>
      </c>
      <c r="D287" s="201"/>
      <c r="E287" s="321"/>
      <c r="F287" s="202">
        <f t="shared" si="49"/>
        <v>34</v>
      </c>
      <c r="G287" s="239">
        <v>37500</v>
      </c>
      <c r="H287" s="239">
        <v>45000</v>
      </c>
      <c r="I287" s="213"/>
      <c r="J287" s="205">
        <f t="shared" si="50"/>
        <v>0</v>
      </c>
      <c r="K287" s="205">
        <f t="shared" si="51"/>
        <v>0</v>
      </c>
      <c r="L287" s="323">
        <f t="shared" si="52"/>
        <v>1275000</v>
      </c>
      <c r="M287" s="348">
        <f t="shared" si="53"/>
        <v>1530000</v>
      </c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 spans="1:26" ht="14.4">
      <c r="A288" s="672"/>
      <c r="B288" s="353" t="s">
        <v>382</v>
      </c>
      <c r="C288" s="227">
        <f>7.75</f>
        <v>7.75</v>
      </c>
      <c r="D288" s="201"/>
      <c r="E288" s="321"/>
      <c r="F288" s="202">
        <f t="shared" si="49"/>
        <v>7.75</v>
      </c>
      <c r="G288" s="354">
        <v>26000</v>
      </c>
      <c r="H288" s="354">
        <v>30000</v>
      </c>
      <c r="I288" s="355"/>
      <c r="J288" s="356">
        <f t="shared" si="50"/>
        <v>0</v>
      </c>
      <c r="K288" s="356">
        <f t="shared" si="51"/>
        <v>0</v>
      </c>
      <c r="L288" s="357">
        <f t="shared" si="52"/>
        <v>201500</v>
      </c>
      <c r="M288" s="348">
        <f t="shared" si="53"/>
        <v>232500</v>
      </c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 spans="1:26" ht="14.4">
      <c r="A289" s="672"/>
      <c r="B289" s="230" t="s">
        <v>383</v>
      </c>
      <c r="C289" s="227">
        <v>52</v>
      </c>
      <c r="D289" s="201"/>
      <c r="E289" s="321"/>
      <c r="F289" s="202">
        <f t="shared" si="49"/>
        <v>52</v>
      </c>
      <c r="G289" s="203">
        <v>32000</v>
      </c>
      <c r="H289" s="203">
        <v>36000</v>
      </c>
      <c r="I289" s="204"/>
      <c r="J289" s="205">
        <f t="shared" si="50"/>
        <v>0</v>
      </c>
      <c r="K289" s="205">
        <f t="shared" si="51"/>
        <v>0</v>
      </c>
      <c r="L289" s="323">
        <f t="shared" si="52"/>
        <v>1664000</v>
      </c>
      <c r="M289" s="348">
        <f t="shared" si="53"/>
        <v>1872000</v>
      </c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 spans="1:26" ht="14.4">
      <c r="A290" s="672"/>
      <c r="B290" s="230" t="s">
        <v>384</v>
      </c>
      <c r="C290" s="227">
        <v>37</v>
      </c>
      <c r="D290" s="201"/>
      <c r="E290" s="321"/>
      <c r="F290" s="202">
        <f t="shared" si="49"/>
        <v>37</v>
      </c>
      <c r="G290" s="203">
        <v>32000</v>
      </c>
      <c r="H290" s="203">
        <v>36000</v>
      </c>
      <c r="I290" s="204"/>
      <c r="J290" s="205">
        <f t="shared" si="50"/>
        <v>0</v>
      </c>
      <c r="K290" s="205">
        <f t="shared" si="51"/>
        <v>0</v>
      </c>
      <c r="L290" s="323">
        <f t="shared" si="52"/>
        <v>1184000</v>
      </c>
      <c r="M290" s="348">
        <f t="shared" si="53"/>
        <v>1332000</v>
      </c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 spans="1:26" ht="14.4">
      <c r="A291" s="672"/>
      <c r="B291" s="358" t="s">
        <v>385</v>
      </c>
      <c r="C291" s="227">
        <v>13</v>
      </c>
      <c r="D291" s="201"/>
      <c r="E291" s="321"/>
      <c r="F291" s="202">
        <f t="shared" si="49"/>
        <v>13</v>
      </c>
      <c r="G291" s="203">
        <v>9000</v>
      </c>
      <c r="H291" s="203">
        <v>10000</v>
      </c>
      <c r="I291" s="204"/>
      <c r="J291" s="205">
        <f t="shared" si="50"/>
        <v>0</v>
      </c>
      <c r="K291" s="205">
        <f t="shared" si="51"/>
        <v>0</v>
      </c>
      <c r="L291" s="323">
        <f t="shared" si="52"/>
        <v>117000</v>
      </c>
      <c r="M291" s="348">
        <f t="shared" si="53"/>
        <v>130000</v>
      </c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 spans="1:26" ht="14.4">
      <c r="A292" s="672"/>
      <c r="B292" s="230" t="s">
        <v>386</v>
      </c>
      <c r="C292" s="227">
        <v>28</v>
      </c>
      <c r="D292" s="201"/>
      <c r="E292" s="321"/>
      <c r="F292" s="202">
        <f t="shared" si="49"/>
        <v>28</v>
      </c>
      <c r="G292" s="203">
        <v>33000</v>
      </c>
      <c r="H292" s="203">
        <v>36000</v>
      </c>
      <c r="I292" s="204"/>
      <c r="J292" s="205">
        <f t="shared" si="50"/>
        <v>0</v>
      </c>
      <c r="K292" s="205">
        <f t="shared" si="51"/>
        <v>0</v>
      </c>
      <c r="L292" s="323">
        <f t="shared" si="52"/>
        <v>924000</v>
      </c>
      <c r="M292" s="348">
        <f t="shared" si="53"/>
        <v>1008000</v>
      </c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 spans="1:26" ht="14.4">
      <c r="A293" s="672"/>
      <c r="B293" s="230" t="s">
        <v>387</v>
      </c>
      <c r="C293" s="229"/>
      <c r="D293" s="201"/>
      <c r="E293" s="321"/>
      <c r="F293" s="202">
        <f t="shared" si="49"/>
        <v>0</v>
      </c>
      <c r="G293" s="203">
        <v>21500</v>
      </c>
      <c r="H293" s="203">
        <v>28000</v>
      </c>
      <c r="I293" s="204"/>
      <c r="J293" s="205">
        <f t="shared" si="50"/>
        <v>0</v>
      </c>
      <c r="K293" s="205">
        <f t="shared" si="51"/>
        <v>0</v>
      </c>
      <c r="L293" s="323">
        <f t="shared" si="52"/>
        <v>0</v>
      </c>
      <c r="M293" s="348">
        <f t="shared" si="53"/>
        <v>0</v>
      </c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 spans="1:26" ht="14.4">
      <c r="A294" s="672"/>
      <c r="B294" s="230" t="s">
        <v>388</v>
      </c>
      <c r="C294" s="229"/>
      <c r="D294" s="201"/>
      <c r="E294" s="321"/>
      <c r="F294" s="202">
        <f t="shared" si="49"/>
        <v>0</v>
      </c>
      <c r="G294" s="203">
        <v>5300</v>
      </c>
      <c r="H294" s="203">
        <v>7000</v>
      </c>
      <c r="I294" s="204"/>
      <c r="J294" s="205">
        <f t="shared" si="50"/>
        <v>0</v>
      </c>
      <c r="K294" s="205">
        <f t="shared" si="51"/>
        <v>0</v>
      </c>
      <c r="L294" s="323">
        <f t="shared" si="52"/>
        <v>0</v>
      </c>
      <c r="M294" s="348">
        <f t="shared" si="53"/>
        <v>0</v>
      </c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 spans="1:26" ht="14.4">
      <c r="A295" s="672"/>
      <c r="B295" s="359" t="s">
        <v>389</v>
      </c>
      <c r="C295" s="227">
        <v>21</v>
      </c>
      <c r="D295" s="201"/>
      <c r="E295" s="321"/>
      <c r="F295" s="202">
        <f t="shared" si="49"/>
        <v>21</v>
      </c>
      <c r="G295" s="360">
        <v>13500</v>
      </c>
      <c r="H295" s="360">
        <v>15000</v>
      </c>
      <c r="I295" s="361"/>
      <c r="J295" s="362">
        <f t="shared" si="50"/>
        <v>0</v>
      </c>
      <c r="K295" s="362">
        <f t="shared" si="51"/>
        <v>0</v>
      </c>
      <c r="L295" s="363">
        <f t="shared" si="52"/>
        <v>283500</v>
      </c>
      <c r="M295" s="348">
        <f t="shared" si="53"/>
        <v>315000</v>
      </c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 spans="1:26" ht="14.4">
      <c r="A296" s="672"/>
      <c r="B296" s="230" t="s">
        <v>390</v>
      </c>
      <c r="C296" s="227">
        <v>1</v>
      </c>
      <c r="D296" s="201"/>
      <c r="E296" s="321"/>
      <c r="F296" s="202">
        <f t="shared" si="49"/>
        <v>1</v>
      </c>
      <c r="G296" s="203">
        <v>26000</v>
      </c>
      <c r="H296" s="203">
        <v>30000</v>
      </c>
      <c r="I296" s="204"/>
      <c r="J296" s="205">
        <f t="shared" si="50"/>
        <v>0</v>
      </c>
      <c r="K296" s="205">
        <f t="shared" si="51"/>
        <v>0</v>
      </c>
      <c r="L296" s="323">
        <f t="shared" si="52"/>
        <v>26000</v>
      </c>
      <c r="M296" s="348">
        <f t="shared" si="53"/>
        <v>30000</v>
      </c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 spans="1:26" ht="14.4">
      <c r="A297" s="672"/>
      <c r="B297" s="230" t="s">
        <v>391</v>
      </c>
      <c r="C297" s="229"/>
      <c r="D297" s="201"/>
      <c r="E297" s="321"/>
      <c r="F297" s="202">
        <f t="shared" si="49"/>
        <v>0</v>
      </c>
      <c r="G297" s="203">
        <v>32000</v>
      </c>
      <c r="H297" s="203">
        <v>35000</v>
      </c>
      <c r="I297" s="204"/>
      <c r="J297" s="205">
        <f t="shared" si="50"/>
        <v>0</v>
      </c>
      <c r="K297" s="205">
        <f t="shared" si="51"/>
        <v>0</v>
      </c>
      <c r="L297" s="323">
        <f t="shared" si="52"/>
        <v>0</v>
      </c>
      <c r="M297" s="348">
        <f t="shared" si="53"/>
        <v>0</v>
      </c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 spans="1:26" ht="14.4">
      <c r="A298" s="672"/>
      <c r="B298" s="211" t="s">
        <v>392</v>
      </c>
      <c r="C298" s="229">
        <v>1</v>
      </c>
      <c r="D298" s="201"/>
      <c r="E298" s="321"/>
      <c r="F298" s="202">
        <f t="shared" si="49"/>
        <v>1</v>
      </c>
      <c r="G298" s="203">
        <v>22000</v>
      </c>
      <c r="H298" s="203">
        <v>25000</v>
      </c>
      <c r="I298" s="204"/>
      <c r="J298" s="205">
        <f>+I298*F114</f>
        <v>0</v>
      </c>
      <c r="K298" s="205">
        <f t="shared" si="51"/>
        <v>0</v>
      </c>
      <c r="L298" s="323">
        <f t="shared" si="52"/>
        <v>22000</v>
      </c>
      <c r="M298" s="348">
        <f t="shared" si="53"/>
        <v>25000</v>
      </c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 spans="1:26" ht="14.4">
      <c r="A299" s="672"/>
      <c r="B299" s="230" t="s">
        <v>393</v>
      </c>
      <c r="C299" s="227"/>
      <c r="D299" s="201"/>
      <c r="E299" s="321"/>
      <c r="F299" s="202">
        <f t="shared" si="49"/>
        <v>0</v>
      </c>
      <c r="G299" s="203">
        <v>22000</v>
      </c>
      <c r="H299" s="203">
        <v>25000</v>
      </c>
      <c r="I299" s="204"/>
      <c r="J299" s="205">
        <f t="shared" ref="J299:J304" si="54">+I299*H299</f>
        <v>0</v>
      </c>
      <c r="K299" s="205">
        <f t="shared" si="51"/>
        <v>0</v>
      </c>
      <c r="L299" s="323">
        <f t="shared" si="52"/>
        <v>0</v>
      </c>
      <c r="M299" s="348">
        <f t="shared" si="53"/>
        <v>0</v>
      </c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 spans="1:26" ht="14.4">
      <c r="A300" s="672"/>
      <c r="B300" s="230" t="s">
        <v>394</v>
      </c>
      <c r="C300" s="227">
        <v>12</v>
      </c>
      <c r="D300" s="201"/>
      <c r="E300" s="321"/>
      <c r="F300" s="202">
        <f t="shared" si="49"/>
        <v>12</v>
      </c>
      <c r="G300" s="203">
        <v>13500</v>
      </c>
      <c r="H300" s="203">
        <v>15000</v>
      </c>
      <c r="I300" s="204"/>
      <c r="J300" s="205">
        <f t="shared" si="54"/>
        <v>0</v>
      </c>
      <c r="K300" s="205">
        <f t="shared" si="51"/>
        <v>0</v>
      </c>
      <c r="L300" s="323">
        <f t="shared" si="52"/>
        <v>162000</v>
      </c>
      <c r="M300" s="348">
        <f t="shared" si="53"/>
        <v>180000</v>
      </c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 spans="1:26" ht="14.4">
      <c r="A301" s="672"/>
      <c r="B301" s="230" t="s">
        <v>395</v>
      </c>
      <c r="C301" s="227">
        <f>5</f>
        <v>5</v>
      </c>
      <c r="D301" s="201"/>
      <c r="E301" s="321"/>
      <c r="F301" s="202">
        <f t="shared" si="49"/>
        <v>5</v>
      </c>
      <c r="G301" s="203">
        <v>31300</v>
      </c>
      <c r="H301" s="203">
        <v>35000</v>
      </c>
      <c r="I301" s="204"/>
      <c r="J301" s="205">
        <f t="shared" si="54"/>
        <v>0</v>
      </c>
      <c r="K301" s="205">
        <f t="shared" si="51"/>
        <v>0</v>
      </c>
      <c r="L301" s="323">
        <f t="shared" si="52"/>
        <v>156500</v>
      </c>
      <c r="M301" s="348">
        <f t="shared" si="53"/>
        <v>175000</v>
      </c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 spans="1:26" ht="14.4">
      <c r="A302" s="672"/>
      <c r="B302" s="230" t="s">
        <v>396</v>
      </c>
      <c r="C302" s="229">
        <v>3</v>
      </c>
      <c r="D302" s="201"/>
      <c r="E302" s="321"/>
      <c r="F302" s="202">
        <f t="shared" si="49"/>
        <v>3</v>
      </c>
      <c r="G302" s="203">
        <v>17000</v>
      </c>
      <c r="H302" s="203">
        <v>18700</v>
      </c>
      <c r="I302" s="204"/>
      <c r="J302" s="205">
        <f t="shared" si="54"/>
        <v>0</v>
      </c>
      <c r="K302" s="205">
        <f t="shared" si="51"/>
        <v>0</v>
      </c>
      <c r="L302" s="323">
        <f t="shared" si="52"/>
        <v>51000</v>
      </c>
      <c r="M302" s="348">
        <f t="shared" si="53"/>
        <v>56100</v>
      </c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 spans="1:26" ht="14.4">
      <c r="A303" s="672"/>
      <c r="B303" s="230" t="s">
        <v>397</v>
      </c>
      <c r="C303" s="229">
        <v>3</v>
      </c>
      <c r="D303" s="201"/>
      <c r="E303" s="321"/>
      <c r="F303" s="202">
        <f t="shared" si="49"/>
        <v>3</v>
      </c>
      <c r="G303" s="203">
        <v>11000</v>
      </c>
      <c r="H303" s="203">
        <v>12000</v>
      </c>
      <c r="I303" s="204"/>
      <c r="J303" s="205">
        <f t="shared" si="54"/>
        <v>0</v>
      </c>
      <c r="K303" s="205">
        <f t="shared" si="51"/>
        <v>0</v>
      </c>
      <c r="L303" s="323">
        <f t="shared" si="52"/>
        <v>33000</v>
      </c>
      <c r="M303" s="348">
        <f t="shared" si="53"/>
        <v>36000</v>
      </c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 spans="1:26" ht="14.4">
      <c r="A304" s="672"/>
      <c r="B304" s="230" t="s">
        <v>398</v>
      </c>
      <c r="C304" s="229">
        <v>2</v>
      </c>
      <c r="D304" s="201"/>
      <c r="E304" s="321"/>
      <c r="F304" s="202">
        <f t="shared" si="49"/>
        <v>2</v>
      </c>
      <c r="G304" s="203">
        <v>31300</v>
      </c>
      <c r="H304" s="203">
        <v>35000</v>
      </c>
      <c r="I304" s="204"/>
      <c r="J304" s="205">
        <f t="shared" si="54"/>
        <v>0</v>
      </c>
      <c r="K304" s="205">
        <f t="shared" si="51"/>
        <v>0</v>
      </c>
      <c r="L304" s="323">
        <f t="shared" si="52"/>
        <v>62600</v>
      </c>
      <c r="M304" s="348">
        <f t="shared" si="53"/>
        <v>70000</v>
      </c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 spans="1:26" ht="14.4">
      <c r="A305" s="673"/>
      <c r="B305" s="364"/>
      <c r="C305" s="365"/>
      <c r="D305" s="365"/>
      <c r="E305" s="366">
        <f>SUM(E243:E300)</f>
        <v>0</v>
      </c>
      <c r="F305" s="367">
        <f t="shared" si="49"/>
        <v>0</v>
      </c>
      <c r="G305" s="368">
        <f t="shared" ref="G305:H305" si="55">SUM(G243:G300)</f>
        <v>1328787</v>
      </c>
      <c r="H305" s="369">
        <f t="shared" si="55"/>
        <v>1501100</v>
      </c>
      <c r="I305" s="370"/>
      <c r="J305" s="371">
        <f>SUM(J243:J304)</f>
        <v>0</v>
      </c>
      <c r="K305" s="371">
        <f>SUM(K243:K300)</f>
        <v>0</v>
      </c>
      <c r="L305" s="372">
        <f t="shared" ref="L305:M305" si="56">SUM(L243:L304)</f>
        <v>25277230.5</v>
      </c>
      <c r="M305" s="372">
        <f t="shared" si="56"/>
        <v>29095950</v>
      </c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 spans="1:26" ht="14.4">
      <c r="A306" s="674" t="s">
        <v>399</v>
      </c>
      <c r="B306" s="211" t="s">
        <v>105</v>
      </c>
      <c r="C306" s="238">
        <v>257</v>
      </c>
      <c r="D306" s="321"/>
      <c r="E306" s="321"/>
      <c r="F306" s="373">
        <f t="shared" si="49"/>
        <v>257</v>
      </c>
      <c r="G306" s="203">
        <v>5750</v>
      </c>
      <c r="H306" s="203">
        <v>6200</v>
      </c>
      <c r="I306" s="224"/>
      <c r="J306" s="205">
        <f t="shared" ref="J306:J321" si="57">+H306*I306</f>
        <v>0</v>
      </c>
      <c r="K306" s="205">
        <f t="shared" ref="K306:K321" si="58">+(H306-G306)*I306</f>
        <v>0</v>
      </c>
      <c r="L306" s="374">
        <f t="shared" ref="L306:L321" si="59">+G306*F306</f>
        <v>1477750</v>
      </c>
      <c r="M306" s="375">
        <f t="shared" ref="M306:M321" si="60">F306*H306</f>
        <v>1593400</v>
      </c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 spans="1:26" ht="14.4">
      <c r="A307" s="675"/>
      <c r="B307" s="211" t="s">
        <v>106</v>
      </c>
      <c r="C307" s="227">
        <v>52</v>
      </c>
      <c r="D307" s="321"/>
      <c r="E307" s="321"/>
      <c r="F307" s="373">
        <f t="shared" si="49"/>
        <v>52</v>
      </c>
      <c r="G307" s="203">
        <v>11500</v>
      </c>
      <c r="H307" s="203">
        <v>11300</v>
      </c>
      <c r="I307" s="204"/>
      <c r="J307" s="205">
        <f t="shared" si="57"/>
        <v>0</v>
      </c>
      <c r="K307" s="205">
        <f t="shared" si="58"/>
        <v>0</v>
      </c>
      <c r="L307" s="374">
        <f t="shared" si="59"/>
        <v>598000</v>
      </c>
      <c r="M307" s="375">
        <f t="shared" si="60"/>
        <v>587600</v>
      </c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 spans="1:26" ht="14.4">
      <c r="A308" s="675"/>
      <c r="B308" s="211" t="s">
        <v>400</v>
      </c>
      <c r="C308" s="229">
        <v>7</v>
      </c>
      <c r="D308" s="321"/>
      <c r="E308" s="321"/>
      <c r="F308" s="373">
        <f t="shared" si="49"/>
        <v>7</v>
      </c>
      <c r="G308" s="203">
        <v>8800</v>
      </c>
      <c r="H308" s="203">
        <v>8000</v>
      </c>
      <c r="I308" s="204"/>
      <c r="J308" s="205">
        <f t="shared" si="57"/>
        <v>0</v>
      </c>
      <c r="K308" s="205">
        <f t="shared" si="58"/>
        <v>0</v>
      </c>
      <c r="L308" s="374">
        <f t="shared" si="59"/>
        <v>61600</v>
      </c>
      <c r="M308" s="375">
        <f t="shared" si="60"/>
        <v>56000</v>
      </c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 spans="1:26" ht="14.4">
      <c r="A309" s="675"/>
      <c r="B309" s="211" t="s">
        <v>401</v>
      </c>
      <c r="C309" s="227"/>
      <c r="D309" s="321"/>
      <c r="E309" s="321"/>
      <c r="F309" s="373">
        <f t="shared" si="49"/>
        <v>0</v>
      </c>
      <c r="G309" s="203">
        <v>4400</v>
      </c>
      <c r="H309" s="203">
        <v>4700</v>
      </c>
      <c r="I309" s="204"/>
      <c r="J309" s="205">
        <f t="shared" si="57"/>
        <v>0</v>
      </c>
      <c r="K309" s="205">
        <f t="shared" si="58"/>
        <v>0</v>
      </c>
      <c r="L309" s="374">
        <f t="shared" si="59"/>
        <v>0</v>
      </c>
      <c r="M309" s="375">
        <f t="shared" si="60"/>
        <v>0</v>
      </c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 spans="1:26" ht="14.4">
      <c r="A310" s="675"/>
      <c r="B310" s="211" t="s">
        <v>402</v>
      </c>
      <c r="C310" s="227">
        <v>8</v>
      </c>
      <c r="D310" s="321"/>
      <c r="E310" s="321"/>
      <c r="F310" s="373">
        <f t="shared" si="49"/>
        <v>8</v>
      </c>
      <c r="G310" s="203">
        <v>4400</v>
      </c>
      <c r="H310" s="203">
        <v>4700</v>
      </c>
      <c r="I310" s="204"/>
      <c r="J310" s="205">
        <f t="shared" si="57"/>
        <v>0</v>
      </c>
      <c r="K310" s="205">
        <f t="shared" si="58"/>
        <v>0</v>
      </c>
      <c r="L310" s="374">
        <f t="shared" si="59"/>
        <v>35200</v>
      </c>
      <c r="M310" s="375">
        <f t="shared" si="60"/>
        <v>37600</v>
      </c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 spans="1:26" ht="14.4">
      <c r="A311" s="675"/>
      <c r="B311" s="211" t="s">
        <v>403</v>
      </c>
      <c r="C311" s="238">
        <v>206</v>
      </c>
      <c r="D311" s="321"/>
      <c r="E311" s="321"/>
      <c r="F311" s="373">
        <f t="shared" si="49"/>
        <v>206</v>
      </c>
      <c r="G311" s="203">
        <v>6800</v>
      </c>
      <c r="H311" s="203">
        <v>7200</v>
      </c>
      <c r="I311" s="204"/>
      <c r="J311" s="205">
        <f t="shared" si="57"/>
        <v>0</v>
      </c>
      <c r="K311" s="205">
        <f t="shared" si="58"/>
        <v>0</v>
      </c>
      <c r="L311" s="374">
        <f t="shared" si="59"/>
        <v>1400800</v>
      </c>
      <c r="M311" s="375">
        <f t="shared" si="60"/>
        <v>1483200</v>
      </c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 spans="1:26" ht="14.4">
      <c r="A312" s="675"/>
      <c r="B312" s="211" t="s">
        <v>404</v>
      </c>
      <c r="C312" s="227">
        <v>14</v>
      </c>
      <c r="D312" s="321"/>
      <c r="E312" s="321"/>
      <c r="F312" s="373">
        <f t="shared" si="49"/>
        <v>14</v>
      </c>
      <c r="G312" s="203">
        <v>13600</v>
      </c>
      <c r="H312" s="203">
        <v>14400</v>
      </c>
      <c r="I312" s="204"/>
      <c r="J312" s="205">
        <f t="shared" si="57"/>
        <v>0</v>
      </c>
      <c r="K312" s="205">
        <f t="shared" si="58"/>
        <v>0</v>
      </c>
      <c r="L312" s="374">
        <f t="shared" si="59"/>
        <v>190400</v>
      </c>
      <c r="M312" s="375">
        <f t="shared" si="60"/>
        <v>201600</v>
      </c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 spans="1:26" ht="14.4">
      <c r="A313" s="675"/>
      <c r="B313" s="230" t="s">
        <v>405</v>
      </c>
      <c r="C313" s="238">
        <v>46</v>
      </c>
      <c r="D313" s="321"/>
      <c r="E313" s="321"/>
      <c r="F313" s="373">
        <f t="shared" si="49"/>
        <v>46</v>
      </c>
      <c r="G313" s="203">
        <v>3571</v>
      </c>
      <c r="H313" s="203">
        <v>4000</v>
      </c>
      <c r="I313" s="204"/>
      <c r="J313" s="205">
        <f t="shared" si="57"/>
        <v>0</v>
      </c>
      <c r="K313" s="205">
        <f t="shared" si="58"/>
        <v>0</v>
      </c>
      <c r="L313" s="374">
        <f t="shared" si="59"/>
        <v>164266</v>
      </c>
      <c r="M313" s="375">
        <f t="shared" si="60"/>
        <v>184000</v>
      </c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 spans="1:26" ht="14.4">
      <c r="A314" s="675"/>
      <c r="B314" s="230" t="s">
        <v>406</v>
      </c>
      <c r="C314" s="227">
        <v>5</v>
      </c>
      <c r="D314" s="321"/>
      <c r="E314" s="321"/>
      <c r="F314" s="373">
        <f t="shared" si="49"/>
        <v>5</v>
      </c>
      <c r="G314" s="203">
        <v>7141</v>
      </c>
      <c r="H314" s="203">
        <v>8000</v>
      </c>
      <c r="I314" s="204"/>
      <c r="J314" s="205">
        <f t="shared" si="57"/>
        <v>0</v>
      </c>
      <c r="K314" s="205">
        <f t="shared" si="58"/>
        <v>0</v>
      </c>
      <c r="L314" s="374">
        <f t="shared" si="59"/>
        <v>35705</v>
      </c>
      <c r="M314" s="375">
        <f t="shared" si="60"/>
        <v>40000</v>
      </c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 spans="1:26" ht="14.4">
      <c r="A315" s="675"/>
      <c r="B315" s="230" t="s">
        <v>407</v>
      </c>
      <c r="C315" s="238">
        <v>68</v>
      </c>
      <c r="D315" s="321"/>
      <c r="E315" s="321"/>
      <c r="F315" s="373">
        <f t="shared" si="49"/>
        <v>68</v>
      </c>
      <c r="G315" s="203">
        <v>5251</v>
      </c>
      <c r="H315" s="203">
        <v>5800</v>
      </c>
      <c r="I315" s="204"/>
      <c r="J315" s="205">
        <f t="shared" si="57"/>
        <v>0</v>
      </c>
      <c r="K315" s="205">
        <f t="shared" si="58"/>
        <v>0</v>
      </c>
      <c r="L315" s="374">
        <f t="shared" si="59"/>
        <v>357068</v>
      </c>
      <c r="M315" s="375">
        <f t="shared" si="60"/>
        <v>394400</v>
      </c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 spans="1:26" ht="14.4">
      <c r="A316" s="675"/>
      <c r="B316" s="230" t="s">
        <v>408</v>
      </c>
      <c r="C316" s="238">
        <v>10</v>
      </c>
      <c r="D316" s="321"/>
      <c r="E316" s="321"/>
      <c r="F316" s="373">
        <f t="shared" si="49"/>
        <v>10</v>
      </c>
      <c r="G316" s="203">
        <v>10521</v>
      </c>
      <c r="H316" s="203">
        <v>11600</v>
      </c>
      <c r="I316" s="204"/>
      <c r="J316" s="205">
        <f t="shared" si="57"/>
        <v>0</v>
      </c>
      <c r="K316" s="205">
        <f t="shared" si="58"/>
        <v>0</v>
      </c>
      <c r="L316" s="374">
        <f t="shared" si="59"/>
        <v>105210</v>
      </c>
      <c r="M316" s="375">
        <f t="shared" si="60"/>
        <v>116000</v>
      </c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 spans="1:26" ht="14.4">
      <c r="A317" s="675"/>
      <c r="B317" s="230" t="s">
        <v>409</v>
      </c>
      <c r="C317" s="227"/>
      <c r="D317" s="321"/>
      <c r="E317" s="321"/>
      <c r="F317" s="373">
        <f t="shared" si="49"/>
        <v>0</v>
      </c>
      <c r="G317" s="203">
        <v>7552</v>
      </c>
      <c r="H317" s="203">
        <v>8000</v>
      </c>
      <c r="I317" s="224"/>
      <c r="J317" s="205">
        <f t="shared" si="57"/>
        <v>0</v>
      </c>
      <c r="K317" s="205">
        <f t="shared" si="58"/>
        <v>0</v>
      </c>
      <c r="L317" s="374">
        <f t="shared" si="59"/>
        <v>0</v>
      </c>
      <c r="M317" s="375">
        <f t="shared" si="60"/>
        <v>0</v>
      </c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 spans="1:26" ht="14.4">
      <c r="A318" s="675"/>
      <c r="B318" s="230" t="s">
        <v>410</v>
      </c>
      <c r="C318" s="238">
        <v>8</v>
      </c>
      <c r="D318" s="321"/>
      <c r="E318" s="321"/>
      <c r="F318" s="373">
        <f t="shared" si="49"/>
        <v>8</v>
      </c>
      <c r="G318" s="203">
        <v>7521</v>
      </c>
      <c r="H318" s="203">
        <v>8000</v>
      </c>
      <c r="I318" s="204"/>
      <c r="J318" s="205">
        <f t="shared" si="57"/>
        <v>0</v>
      </c>
      <c r="K318" s="205">
        <f t="shared" si="58"/>
        <v>0</v>
      </c>
      <c r="L318" s="374">
        <f t="shared" si="59"/>
        <v>60168</v>
      </c>
      <c r="M318" s="375">
        <f t="shared" si="60"/>
        <v>64000</v>
      </c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 spans="1:26" ht="14.4">
      <c r="A319" s="675"/>
      <c r="B319" s="230" t="s">
        <v>411</v>
      </c>
      <c r="C319" s="227">
        <v>47</v>
      </c>
      <c r="D319" s="321"/>
      <c r="E319" s="321"/>
      <c r="F319" s="373">
        <f t="shared" si="49"/>
        <v>47</v>
      </c>
      <c r="G319" s="203">
        <v>800</v>
      </c>
      <c r="H319" s="203">
        <v>1200</v>
      </c>
      <c r="I319" s="204"/>
      <c r="J319" s="205">
        <f t="shared" si="57"/>
        <v>0</v>
      </c>
      <c r="K319" s="205">
        <f t="shared" si="58"/>
        <v>0</v>
      </c>
      <c r="L319" s="374">
        <f t="shared" si="59"/>
        <v>37600</v>
      </c>
      <c r="M319" s="375">
        <f t="shared" si="60"/>
        <v>56400</v>
      </c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 spans="1:26" ht="14.4">
      <c r="A320" s="675"/>
      <c r="B320" s="230" t="s">
        <v>412</v>
      </c>
      <c r="C320" s="227"/>
      <c r="D320" s="321"/>
      <c r="E320" s="321"/>
      <c r="F320" s="373">
        <f t="shared" si="49"/>
        <v>0</v>
      </c>
      <c r="G320" s="203">
        <v>2480</v>
      </c>
      <c r="H320" s="203">
        <v>3000</v>
      </c>
      <c r="I320" s="204"/>
      <c r="J320" s="205">
        <f t="shared" si="57"/>
        <v>0</v>
      </c>
      <c r="K320" s="205">
        <f t="shared" si="58"/>
        <v>0</v>
      </c>
      <c r="L320" s="374">
        <f t="shared" si="59"/>
        <v>0</v>
      </c>
      <c r="M320" s="375">
        <f t="shared" si="60"/>
        <v>0</v>
      </c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 spans="1:26" ht="14.4">
      <c r="A321" s="675"/>
      <c r="B321" s="230" t="s">
        <v>413</v>
      </c>
      <c r="C321" s="227">
        <v>22</v>
      </c>
      <c r="D321" s="321"/>
      <c r="E321" s="321"/>
      <c r="F321" s="373">
        <f t="shared" si="49"/>
        <v>22</v>
      </c>
      <c r="G321" s="239">
        <v>2100</v>
      </c>
      <c r="H321" s="239">
        <v>2500</v>
      </c>
      <c r="I321" s="213"/>
      <c r="J321" s="205">
        <f t="shared" si="57"/>
        <v>0</v>
      </c>
      <c r="K321" s="205">
        <f t="shared" si="58"/>
        <v>0</v>
      </c>
      <c r="L321" s="374">
        <f t="shared" si="59"/>
        <v>46200</v>
      </c>
      <c r="M321" s="375">
        <f t="shared" si="60"/>
        <v>55000</v>
      </c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 spans="1:26" ht="14.4">
      <c r="A322" s="676"/>
      <c r="B322" s="376"/>
      <c r="C322" s="377">
        <f t="shared" ref="C322:I322" si="61">SUM(C306:C318)</f>
        <v>681</v>
      </c>
      <c r="D322" s="378">
        <f t="shared" si="61"/>
        <v>0</v>
      </c>
      <c r="E322" s="379">
        <f t="shared" si="61"/>
        <v>0</v>
      </c>
      <c r="F322" s="379">
        <f t="shared" si="61"/>
        <v>681</v>
      </c>
      <c r="G322" s="380">
        <f t="shared" si="61"/>
        <v>96807</v>
      </c>
      <c r="H322" s="380">
        <f t="shared" si="61"/>
        <v>101900</v>
      </c>
      <c r="I322" s="381">
        <f t="shared" si="61"/>
        <v>0</v>
      </c>
      <c r="J322" s="382">
        <f>SUM(J306:J321)</f>
        <v>0</v>
      </c>
      <c r="K322" s="382">
        <f>SUM(K306:K318)</f>
        <v>0</v>
      </c>
      <c r="L322" s="382">
        <f t="shared" ref="L322:M322" si="62">SUM(L306:L321)</f>
        <v>4569967</v>
      </c>
      <c r="M322" s="382">
        <f t="shared" si="62"/>
        <v>4869200</v>
      </c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 spans="1:26" ht="14.4">
      <c r="A323" s="191"/>
      <c r="B323" s="383"/>
      <c r="C323" s="384"/>
      <c r="D323" s="385"/>
      <c r="E323" s="191"/>
      <c r="F323" s="191"/>
      <c r="G323" s="386"/>
      <c r="H323" s="386"/>
      <c r="I323" s="386"/>
      <c r="J323" s="387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 spans="1:26" ht="14.4">
      <c r="A324" s="191"/>
      <c r="B324" s="387"/>
      <c r="C324" s="388"/>
      <c r="D324" s="389" t="s">
        <v>118</v>
      </c>
      <c r="E324" s="389" t="s">
        <v>131</v>
      </c>
      <c r="F324" s="389" t="s">
        <v>414</v>
      </c>
      <c r="G324" s="386"/>
      <c r="H324" s="677" t="s">
        <v>415</v>
      </c>
      <c r="I324" s="678"/>
      <c r="J324" s="387"/>
      <c r="K324" s="677" t="s">
        <v>416</v>
      </c>
      <c r="L324" s="678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 spans="1:26" ht="14.4">
      <c r="A325" s="191"/>
      <c r="B325" s="390" t="s">
        <v>3</v>
      </c>
      <c r="C325" s="391"/>
      <c r="D325" s="392">
        <f t="shared" ref="D325:F325" si="63">+J22</f>
        <v>0</v>
      </c>
      <c r="E325" s="392">
        <f t="shared" si="63"/>
        <v>0</v>
      </c>
      <c r="F325" s="392">
        <f t="shared" si="63"/>
        <v>70422951</v>
      </c>
      <c r="G325" s="386"/>
      <c r="H325" s="393" t="s">
        <v>120</v>
      </c>
      <c r="I325" s="394"/>
      <c r="J325" s="387"/>
      <c r="K325" s="393" t="s">
        <v>417</v>
      </c>
      <c r="L325" s="394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 spans="1:26" ht="14.4">
      <c r="A326" s="191"/>
      <c r="B326" s="390" t="s">
        <v>418</v>
      </c>
      <c r="C326" s="391"/>
      <c r="D326" s="392">
        <f t="shared" ref="D326:F326" si="64">+J60</f>
        <v>0</v>
      </c>
      <c r="E326" s="392">
        <f t="shared" si="64"/>
        <v>0</v>
      </c>
      <c r="F326" s="392">
        <f t="shared" si="64"/>
        <v>109380780</v>
      </c>
      <c r="G326" s="386"/>
      <c r="H326" s="395" t="s">
        <v>419</v>
      </c>
      <c r="I326" s="396">
        <v>20000000</v>
      </c>
      <c r="J326" s="387" t="s">
        <v>420</v>
      </c>
      <c r="K326" s="395" t="s">
        <v>421</v>
      </c>
      <c r="L326" s="396">
        <v>460000</v>
      </c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 spans="1:26" ht="14.4">
      <c r="A327" s="191"/>
      <c r="B327" s="390" t="s">
        <v>422</v>
      </c>
      <c r="C327" s="391"/>
      <c r="D327" s="392">
        <f t="shared" ref="D327:F327" si="65">+J87</f>
        <v>0</v>
      </c>
      <c r="E327" s="392">
        <f t="shared" si="65"/>
        <v>0</v>
      </c>
      <c r="F327" s="392">
        <f t="shared" si="65"/>
        <v>23814736.25</v>
      </c>
      <c r="G327" s="386"/>
      <c r="H327" s="395" t="s">
        <v>423</v>
      </c>
      <c r="I327" s="396"/>
      <c r="J327" s="387"/>
      <c r="K327" s="395"/>
      <c r="L327" s="396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 spans="1:26" ht="14.4">
      <c r="A328" s="191"/>
      <c r="B328" s="390" t="s">
        <v>424</v>
      </c>
      <c r="C328" s="391"/>
      <c r="D328" s="392">
        <f t="shared" ref="D328:F328" si="66">+J146</f>
        <v>0</v>
      </c>
      <c r="E328" s="392">
        <f t="shared" si="66"/>
        <v>0</v>
      </c>
      <c r="F328" s="392">
        <f t="shared" si="66"/>
        <v>11250488</v>
      </c>
      <c r="G328" s="386"/>
      <c r="H328" s="395"/>
      <c r="I328" s="396"/>
      <c r="J328" s="387"/>
      <c r="K328" s="395"/>
      <c r="L328" s="396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 spans="1:26" ht="14.4">
      <c r="A329" s="191"/>
      <c r="B329" s="390" t="s">
        <v>425</v>
      </c>
      <c r="C329" s="391"/>
      <c r="D329" s="392">
        <f t="shared" ref="D329:F329" si="67">+J158</f>
        <v>0</v>
      </c>
      <c r="E329" s="392">
        <f t="shared" si="67"/>
        <v>0</v>
      </c>
      <c r="F329" s="392">
        <f t="shared" si="67"/>
        <v>17894100</v>
      </c>
      <c r="G329" s="386"/>
      <c r="H329" s="395"/>
      <c r="I329" s="396"/>
      <c r="J329" s="387"/>
      <c r="K329" s="395"/>
      <c r="L329" s="396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 spans="1:26" ht="14.4">
      <c r="A330" s="191"/>
      <c r="B330" s="390" t="s">
        <v>426</v>
      </c>
      <c r="C330" s="391"/>
      <c r="D330" s="392">
        <f t="shared" ref="D330:E330" si="68">+J242</f>
        <v>0</v>
      </c>
      <c r="E330" s="392">
        <f t="shared" si="68"/>
        <v>0</v>
      </c>
      <c r="F330" s="392">
        <f>+L242+L181</f>
        <v>16686450</v>
      </c>
      <c r="G330" s="386"/>
      <c r="H330" s="395"/>
      <c r="I330" s="396"/>
      <c r="J330" s="387"/>
      <c r="K330" s="395"/>
      <c r="L330" s="396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 spans="1:26" ht="14.4">
      <c r="A331" s="191"/>
      <c r="B331" s="390" t="s">
        <v>427</v>
      </c>
      <c r="C331" s="391"/>
      <c r="D331" s="392">
        <f t="shared" ref="D331:E331" si="69">+J305</f>
        <v>0</v>
      </c>
      <c r="E331" s="392">
        <f t="shared" si="69"/>
        <v>0</v>
      </c>
      <c r="F331" s="397">
        <f>L305</f>
        <v>25277230.5</v>
      </c>
      <c r="G331" s="386"/>
      <c r="H331" s="395"/>
      <c r="I331" s="396"/>
      <c r="J331" s="387"/>
      <c r="K331" s="395"/>
      <c r="L331" s="396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 spans="1:26" ht="14.4">
      <c r="A332" s="191"/>
      <c r="B332" s="390" t="s">
        <v>428</v>
      </c>
      <c r="C332" s="391"/>
      <c r="D332" s="392">
        <f t="shared" ref="D332:F332" si="70">+J322</f>
        <v>0</v>
      </c>
      <c r="E332" s="392">
        <f t="shared" si="70"/>
        <v>0</v>
      </c>
      <c r="F332" s="392">
        <f t="shared" si="70"/>
        <v>4569967</v>
      </c>
      <c r="G332" s="386"/>
      <c r="H332" s="395"/>
      <c r="I332" s="396"/>
      <c r="J332" s="387"/>
      <c r="K332" s="395"/>
      <c r="L332" s="396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 spans="1:26" ht="14.4">
      <c r="A333" s="191"/>
      <c r="B333" s="390" t="s">
        <v>429</v>
      </c>
      <c r="C333" s="391"/>
      <c r="D333" s="392">
        <f t="shared" ref="D333:F333" si="71">J565</f>
        <v>0</v>
      </c>
      <c r="E333" s="392">
        <f t="shared" si="71"/>
        <v>0</v>
      </c>
      <c r="F333" s="392">
        <f t="shared" si="71"/>
        <v>33554528.75</v>
      </c>
      <c r="G333" s="386"/>
      <c r="H333" s="395"/>
      <c r="I333" s="396"/>
      <c r="J333" s="387"/>
      <c r="K333" s="395"/>
      <c r="L333" s="396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 spans="1:26" ht="15.6">
      <c r="A334" s="191"/>
      <c r="B334" s="398" t="s">
        <v>430</v>
      </c>
      <c r="C334" s="399"/>
      <c r="D334" s="400">
        <f t="shared" ref="D334:E334" si="72">SUM(D325:D333)</f>
        <v>0</v>
      </c>
      <c r="E334" s="400">
        <f t="shared" si="72"/>
        <v>0</v>
      </c>
      <c r="F334" s="401">
        <f>SUM(F325:F333)+F335+F336</f>
        <v>336851231.5</v>
      </c>
      <c r="G334" s="386"/>
      <c r="H334" s="395" t="s">
        <v>431</v>
      </c>
      <c r="I334" s="396"/>
      <c r="J334" s="387"/>
      <c r="K334" s="395"/>
      <c r="L334" s="396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 spans="1:26" ht="15.6">
      <c r="A335" s="191"/>
      <c r="B335" s="402" t="s">
        <v>432</v>
      </c>
      <c r="C335" s="403"/>
      <c r="D335" s="404"/>
      <c r="E335" s="405"/>
      <c r="F335" s="406">
        <v>11000000</v>
      </c>
      <c r="G335" s="386"/>
      <c r="H335" s="395" t="s">
        <v>433</v>
      </c>
      <c r="I335" s="407"/>
      <c r="J335" s="387"/>
      <c r="K335" s="395"/>
      <c r="L335" s="407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 spans="1:26" ht="14.4">
      <c r="A336" s="191"/>
      <c r="B336" s="408" t="s">
        <v>112</v>
      </c>
      <c r="C336" s="409"/>
      <c r="D336" s="410"/>
      <c r="E336" s="411"/>
      <c r="F336" s="412">
        <v>13000000</v>
      </c>
      <c r="G336" s="386"/>
      <c r="H336" s="386"/>
      <c r="I336" s="413">
        <f>SUM(I325:I335)</f>
        <v>20000000</v>
      </c>
      <c r="J336" s="387"/>
      <c r="K336" s="386"/>
      <c r="L336" s="413">
        <f>SUM(L325:L335)</f>
        <v>460000</v>
      </c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 spans="1:26" ht="17.399999999999999">
      <c r="A337" s="191"/>
      <c r="B337" s="414" t="s">
        <v>434</v>
      </c>
      <c r="C337" s="415"/>
      <c r="D337" s="416"/>
      <c r="E337" s="411"/>
      <c r="F337" s="417"/>
      <c r="G337" s="418" t="s">
        <v>435</v>
      </c>
      <c r="H337" s="419">
        <f>F334-I336+L336</f>
        <v>317311231.5</v>
      </c>
      <c r="I337" s="387"/>
      <c r="J337" s="387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 spans="1:26" ht="14.4">
      <c r="A338" s="420"/>
      <c r="B338" s="420"/>
      <c r="C338" s="20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 spans="1:26" ht="14.4">
      <c r="A339" s="420"/>
      <c r="B339" s="420"/>
      <c r="C339" s="20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 spans="1:26" ht="28.8">
      <c r="A340" s="679">
        <v>24</v>
      </c>
      <c r="B340" s="680"/>
      <c r="C340" s="421" t="s">
        <v>125</v>
      </c>
      <c r="D340" s="422" t="s">
        <v>126</v>
      </c>
      <c r="E340" s="422" t="s">
        <v>127</v>
      </c>
      <c r="F340" s="423" t="s">
        <v>0</v>
      </c>
      <c r="G340" s="424" t="s">
        <v>436</v>
      </c>
      <c r="H340" s="425" t="s">
        <v>437</v>
      </c>
      <c r="I340" s="426" t="s">
        <v>438</v>
      </c>
      <c r="J340" s="422" t="s">
        <v>130</v>
      </c>
      <c r="K340" s="422" t="s">
        <v>131</v>
      </c>
      <c r="L340" s="422" t="s">
        <v>2</v>
      </c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 spans="1:26" ht="14.4">
      <c r="A341" s="427"/>
      <c r="B341" s="428" t="s">
        <v>439</v>
      </c>
      <c r="C341" s="321">
        <v>2</v>
      </c>
      <c r="D341" s="321"/>
      <c r="E341" s="321"/>
      <c r="F341" s="429">
        <f t="shared" ref="F341:F415" si="73">+C341+D341-E341</f>
        <v>2</v>
      </c>
      <c r="G341" s="203">
        <v>213600</v>
      </c>
      <c r="H341" s="203">
        <v>220000</v>
      </c>
      <c r="I341" s="204"/>
      <c r="J341" s="205">
        <f t="shared" ref="J341:J361" si="74">+H341*I341</f>
        <v>0</v>
      </c>
      <c r="K341" s="205">
        <f t="shared" ref="K341:K415" si="75">+(H341-G341)*I341</f>
        <v>0</v>
      </c>
      <c r="L341" s="430">
        <f t="shared" ref="L341:L415" si="76">+G341*F341</f>
        <v>427200</v>
      </c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 spans="1:26" ht="14.4">
      <c r="A342" s="427"/>
      <c r="B342" s="428" t="s">
        <v>440</v>
      </c>
      <c r="C342" s="431">
        <v>9</v>
      </c>
      <c r="D342" s="321"/>
      <c r="E342" s="321"/>
      <c r="F342" s="429">
        <f t="shared" si="73"/>
        <v>9</v>
      </c>
      <c r="G342" s="203">
        <v>166772</v>
      </c>
      <c r="H342" s="203">
        <v>180000</v>
      </c>
      <c r="I342" s="204"/>
      <c r="J342" s="205">
        <f t="shared" si="74"/>
        <v>0</v>
      </c>
      <c r="K342" s="205">
        <f t="shared" si="75"/>
        <v>0</v>
      </c>
      <c r="L342" s="430">
        <f t="shared" si="76"/>
        <v>1500948</v>
      </c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 spans="1:26" ht="14.4">
      <c r="A343" s="427"/>
      <c r="B343" s="428" t="s">
        <v>441</v>
      </c>
      <c r="C343" s="431">
        <v>1</v>
      </c>
      <c r="D343" s="321"/>
      <c r="E343" s="321"/>
      <c r="F343" s="429">
        <f t="shared" si="73"/>
        <v>1</v>
      </c>
      <c r="G343" s="203">
        <v>176484</v>
      </c>
      <c r="H343" s="203">
        <v>190000</v>
      </c>
      <c r="I343" s="204"/>
      <c r="J343" s="205">
        <f t="shared" si="74"/>
        <v>0</v>
      </c>
      <c r="K343" s="205">
        <f t="shared" si="75"/>
        <v>0</v>
      </c>
      <c r="L343" s="430">
        <f t="shared" si="76"/>
        <v>176484</v>
      </c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 spans="1:26" ht="14.4">
      <c r="A344" s="427"/>
      <c r="B344" s="428" t="s">
        <v>442</v>
      </c>
      <c r="C344" s="431">
        <v>3</v>
      </c>
      <c r="D344" s="321"/>
      <c r="E344" s="321"/>
      <c r="F344" s="429">
        <f t="shared" si="73"/>
        <v>3</v>
      </c>
      <c r="G344" s="203">
        <v>181000</v>
      </c>
      <c r="H344" s="203">
        <v>196000</v>
      </c>
      <c r="I344" s="204"/>
      <c r="J344" s="205">
        <f t="shared" si="74"/>
        <v>0</v>
      </c>
      <c r="K344" s="205">
        <f t="shared" si="75"/>
        <v>0</v>
      </c>
      <c r="L344" s="430">
        <f t="shared" si="76"/>
        <v>543000</v>
      </c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spans="1:26" ht="14.4">
      <c r="A345" s="427"/>
      <c r="B345" s="428" t="s">
        <v>443</v>
      </c>
      <c r="C345" s="431">
        <v>9</v>
      </c>
      <c r="D345" s="321"/>
      <c r="E345" s="321"/>
      <c r="F345" s="429">
        <f t="shared" si="73"/>
        <v>9</v>
      </c>
      <c r="G345" s="203">
        <v>141931</v>
      </c>
      <c r="H345" s="203">
        <v>155000</v>
      </c>
      <c r="I345" s="204"/>
      <c r="J345" s="205">
        <f t="shared" si="74"/>
        <v>0</v>
      </c>
      <c r="K345" s="205">
        <f t="shared" si="75"/>
        <v>0</v>
      </c>
      <c r="L345" s="430">
        <f t="shared" si="76"/>
        <v>1277379</v>
      </c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spans="1:26" ht="14.4">
      <c r="A346" s="427"/>
      <c r="B346" s="428" t="s">
        <v>444</v>
      </c>
      <c r="C346" s="321">
        <v>2</v>
      </c>
      <c r="D346" s="321"/>
      <c r="E346" s="321"/>
      <c r="F346" s="429">
        <f t="shared" si="73"/>
        <v>2</v>
      </c>
      <c r="G346" s="203">
        <v>81350</v>
      </c>
      <c r="H346" s="203">
        <v>93000</v>
      </c>
      <c r="I346" s="204"/>
      <c r="J346" s="205">
        <f t="shared" si="74"/>
        <v>0</v>
      </c>
      <c r="K346" s="205">
        <f t="shared" si="75"/>
        <v>0</v>
      </c>
      <c r="L346" s="430">
        <f t="shared" si="76"/>
        <v>162700</v>
      </c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spans="1:26" ht="14.4">
      <c r="A347" s="427"/>
      <c r="B347" s="428" t="s">
        <v>445</v>
      </c>
      <c r="C347" s="321">
        <v>7</v>
      </c>
      <c r="D347" s="321"/>
      <c r="E347" s="321"/>
      <c r="F347" s="429">
        <f t="shared" si="73"/>
        <v>7</v>
      </c>
      <c r="G347" s="203">
        <v>41000</v>
      </c>
      <c r="H347" s="203">
        <v>43000</v>
      </c>
      <c r="I347" s="204"/>
      <c r="J347" s="205">
        <f t="shared" si="74"/>
        <v>0</v>
      </c>
      <c r="K347" s="205">
        <f t="shared" si="75"/>
        <v>0</v>
      </c>
      <c r="L347" s="430">
        <f t="shared" si="76"/>
        <v>287000</v>
      </c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spans="1:26" ht="14.4">
      <c r="A348" s="427"/>
      <c r="B348" s="428" t="s">
        <v>446</v>
      </c>
      <c r="C348" s="431">
        <v>1</v>
      </c>
      <c r="D348" s="321"/>
      <c r="E348" s="321"/>
      <c r="F348" s="429">
        <f t="shared" si="73"/>
        <v>1</v>
      </c>
      <c r="G348" s="203">
        <v>160857</v>
      </c>
      <c r="H348" s="203">
        <v>170000</v>
      </c>
      <c r="I348" s="204"/>
      <c r="J348" s="205">
        <f t="shared" si="74"/>
        <v>0</v>
      </c>
      <c r="K348" s="205">
        <f t="shared" si="75"/>
        <v>0</v>
      </c>
      <c r="L348" s="430">
        <f t="shared" si="76"/>
        <v>160857</v>
      </c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spans="1:26" ht="14.4">
      <c r="A349" s="427"/>
      <c r="B349" s="428" t="s">
        <v>447</v>
      </c>
      <c r="C349" s="431">
        <v>1</v>
      </c>
      <c r="D349" s="321"/>
      <c r="E349" s="321"/>
      <c r="F349" s="429">
        <f t="shared" si="73"/>
        <v>1</v>
      </c>
      <c r="G349" s="203">
        <v>128000</v>
      </c>
      <c r="H349" s="203">
        <v>140000</v>
      </c>
      <c r="I349" s="204"/>
      <c r="J349" s="205">
        <f t="shared" si="74"/>
        <v>0</v>
      </c>
      <c r="K349" s="205">
        <f t="shared" si="75"/>
        <v>0</v>
      </c>
      <c r="L349" s="430">
        <f t="shared" si="76"/>
        <v>128000</v>
      </c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spans="1:26" ht="14.4">
      <c r="A350" s="427"/>
      <c r="B350" s="428" t="s">
        <v>448</v>
      </c>
      <c r="C350" s="431">
        <v>1</v>
      </c>
      <c r="D350" s="321"/>
      <c r="E350" s="321"/>
      <c r="F350" s="429">
        <f t="shared" si="73"/>
        <v>1</v>
      </c>
      <c r="G350" s="203">
        <v>90814</v>
      </c>
      <c r="H350" s="203">
        <v>99000</v>
      </c>
      <c r="I350" s="204"/>
      <c r="J350" s="205">
        <f t="shared" si="74"/>
        <v>0</v>
      </c>
      <c r="K350" s="205">
        <f t="shared" si="75"/>
        <v>0</v>
      </c>
      <c r="L350" s="430">
        <f t="shared" si="76"/>
        <v>90814</v>
      </c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spans="1:26" ht="14.4">
      <c r="A351" s="427"/>
      <c r="B351" s="428" t="s">
        <v>449</v>
      </c>
      <c r="C351" s="431">
        <v>1</v>
      </c>
      <c r="D351" s="321"/>
      <c r="E351" s="321"/>
      <c r="F351" s="429">
        <f t="shared" si="73"/>
        <v>1</v>
      </c>
      <c r="G351" s="203">
        <v>160312</v>
      </c>
      <c r="H351" s="203">
        <v>170000</v>
      </c>
      <c r="I351" s="204"/>
      <c r="J351" s="205">
        <f t="shared" si="74"/>
        <v>0</v>
      </c>
      <c r="K351" s="205">
        <f t="shared" si="75"/>
        <v>0</v>
      </c>
      <c r="L351" s="430">
        <f t="shared" si="76"/>
        <v>160312</v>
      </c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spans="1:26" ht="14.4">
      <c r="A352" s="427"/>
      <c r="B352" s="428" t="s">
        <v>450</v>
      </c>
      <c r="C352" s="321">
        <v>1</v>
      </c>
      <c r="D352" s="321"/>
      <c r="E352" s="321"/>
      <c r="F352" s="429">
        <f t="shared" si="73"/>
        <v>1</v>
      </c>
      <c r="G352" s="203">
        <v>166740</v>
      </c>
      <c r="H352" s="203">
        <v>172000</v>
      </c>
      <c r="I352" s="204"/>
      <c r="J352" s="205">
        <f t="shared" si="74"/>
        <v>0</v>
      </c>
      <c r="K352" s="205">
        <f t="shared" si="75"/>
        <v>0</v>
      </c>
      <c r="L352" s="430">
        <f t="shared" si="76"/>
        <v>166740</v>
      </c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spans="1:26" ht="14.4">
      <c r="A353" s="427"/>
      <c r="B353" s="428" t="s">
        <v>451</v>
      </c>
      <c r="C353" s="431">
        <v>2</v>
      </c>
      <c r="D353" s="321"/>
      <c r="E353" s="321"/>
      <c r="F353" s="429">
        <f t="shared" si="73"/>
        <v>2</v>
      </c>
      <c r="G353" s="203">
        <v>129841</v>
      </c>
      <c r="H353" s="203">
        <v>142000</v>
      </c>
      <c r="I353" s="204"/>
      <c r="J353" s="205">
        <f t="shared" si="74"/>
        <v>0</v>
      </c>
      <c r="K353" s="205">
        <f t="shared" si="75"/>
        <v>0</v>
      </c>
      <c r="L353" s="430">
        <f t="shared" si="76"/>
        <v>259682</v>
      </c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 spans="1:26" ht="14.4">
      <c r="A354" s="427"/>
      <c r="B354" s="428" t="s">
        <v>452</v>
      </c>
      <c r="C354" s="321">
        <v>2</v>
      </c>
      <c r="D354" s="321"/>
      <c r="E354" s="321"/>
      <c r="F354" s="429">
        <f t="shared" si="73"/>
        <v>2</v>
      </c>
      <c r="G354" s="203">
        <v>69534</v>
      </c>
      <c r="H354" s="203">
        <v>72000</v>
      </c>
      <c r="I354" s="204"/>
      <c r="J354" s="205">
        <f t="shared" si="74"/>
        <v>0</v>
      </c>
      <c r="K354" s="205">
        <f t="shared" si="75"/>
        <v>0</v>
      </c>
      <c r="L354" s="430">
        <f t="shared" si="76"/>
        <v>139068</v>
      </c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 spans="1:26" ht="14.4">
      <c r="A355" s="427"/>
      <c r="B355" s="428" t="s">
        <v>453</v>
      </c>
      <c r="C355" s="431">
        <v>7</v>
      </c>
      <c r="D355" s="321"/>
      <c r="E355" s="321"/>
      <c r="F355" s="429">
        <f t="shared" si="73"/>
        <v>7</v>
      </c>
      <c r="G355" s="203">
        <v>82080</v>
      </c>
      <c r="H355" s="203">
        <v>89000</v>
      </c>
      <c r="I355" s="204"/>
      <c r="J355" s="205">
        <f t="shared" si="74"/>
        <v>0</v>
      </c>
      <c r="K355" s="205">
        <f t="shared" si="75"/>
        <v>0</v>
      </c>
      <c r="L355" s="430">
        <f t="shared" si="76"/>
        <v>574560</v>
      </c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 spans="1:26" ht="14.4">
      <c r="A356" s="427"/>
      <c r="B356" s="428" t="s">
        <v>454</v>
      </c>
      <c r="C356" s="431">
        <v>2</v>
      </c>
      <c r="D356" s="321"/>
      <c r="E356" s="321"/>
      <c r="F356" s="429">
        <f t="shared" si="73"/>
        <v>2</v>
      </c>
      <c r="G356" s="203">
        <v>62646</v>
      </c>
      <c r="H356" s="203">
        <v>69000</v>
      </c>
      <c r="I356" s="204"/>
      <c r="J356" s="205">
        <f t="shared" si="74"/>
        <v>0</v>
      </c>
      <c r="K356" s="205">
        <f t="shared" si="75"/>
        <v>0</v>
      </c>
      <c r="L356" s="430">
        <f t="shared" si="76"/>
        <v>125292</v>
      </c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 spans="1:26" ht="14.4">
      <c r="A357" s="427"/>
      <c r="B357" s="428" t="s">
        <v>455</v>
      </c>
      <c r="C357" s="321">
        <v>2</v>
      </c>
      <c r="D357" s="321"/>
      <c r="E357" s="321"/>
      <c r="F357" s="429">
        <f t="shared" si="73"/>
        <v>2</v>
      </c>
      <c r="G357" s="203">
        <v>39970</v>
      </c>
      <c r="H357" s="203">
        <v>44000</v>
      </c>
      <c r="I357" s="204"/>
      <c r="J357" s="205">
        <f t="shared" si="74"/>
        <v>0</v>
      </c>
      <c r="K357" s="205">
        <f t="shared" si="75"/>
        <v>0</v>
      </c>
      <c r="L357" s="430">
        <f t="shared" si="76"/>
        <v>79940</v>
      </c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 spans="1:26" ht="14.4">
      <c r="A358" s="427"/>
      <c r="B358" s="428" t="s">
        <v>456</v>
      </c>
      <c r="C358" s="431">
        <v>0</v>
      </c>
      <c r="D358" s="321"/>
      <c r="E358" s="321"/>
      <c r="F358" s="429">
        <f t="shared" si="73"/>
        <v>0</v>
      </c>
      <c r="G358" s="203">
        <v>18300</v>
      </c>
      <c r="H358" s="203">
        <v>21000</v>
      </c>
      <c r="I358" s="204"/>
      <c r="J358" s="205">
        <f t="shared" si="74"/>
        <v>0</v>
      </c>
      <c r="K358" s="205">
        <f t="shared" si="75"/>
        <v>0</v>
      </c>
      <c r="L358" s="430">
        <f t="shared" si="76"/>
        <v>0</v>
      </c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 spans="1:26" ht="14.4">
      <c r="A359" s="427"/>
      <c r="B359" s="428" t="s">
        <v>457</v>
      </c>
      <c r="C359" s="431">
        <v>0</v>
      </c>
      <c r="D359" s="321"/>
      <c r="E359" s="321"/>
      <c r="F359" s="429">
        <f t="shared" si="73"/>
        <v>0</v>
      </c>
      <c r="G359" s="203">
        <v>286000</v>
      </c>
      <c r="H359" s="203">
        <v>320000</v>
      </c>
      <c r="I359" s="204"/>
      <c r="J359" s="205">
        <f t="shared" si="74"/>
        <v>0</v>
      </c>
      <c r="K359" s="205">
        <f t="shared" si="75"/>
        <v>0</v>
      </c>
      <c r="L359" s="430">
        <f t="shared" si="76"/>
        <v>0</v>
      </c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 spans="1:26" ht="14.4">
      <c r="A360" s="427"/>
      <c r="B360" s="428" t="s">
        <v>458</v>
      </c>
      <c r="C360" s="431">
        <v>2</v>
      </c>
      <c r="D360" s="321"/>
      <c r="E360" s="321"/>
      <c r="F360" s="429">
        <f t="shared" si="73"/>
        <v>2</v>
      </c>
      <c r="G360" s="203">
        <v>132000</v>
      </c>
      <c r="H360" s="203">
        <v>145000</v>
      </c>
      <c r="I360" s="204"/>
      <c r="J360" s="205">
        <f t="shared" si="74"/>
        <v>0</v>
      </c>
      <c r="K360" s="205">
        <f t="shared" si="75"/>
        <v>0</v>
      </c>
      <c r="L360" s="430">
        <f t="shared" si="76"/>
        <v>264000</v>
      </c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 spans="1:26" ht="14.4">
      <c r="A361" s="427"/>
      <c r="B361" s="428" t="s">
        <v>459</v>
      </c>
      <c r="C361" s="431">
        <v>0</v>
      </c>
      <c r="D361" s="321"/>
      <c r="E361" s="321"/>
      <c r="F361" s="429">
        <f t="shared" si="73"/>
        <v>0</v>
      </c>
      <c r="G361" s="203">
        <v>36200</v>
      </c>
      <c r="H361" s="203">
        <v>39000</v>
      </c>
      <c r="I361" s="204"/>
      <c r="J361" s="205">
        <f t="shared" si="74"/>
        <v>0</v>
      </c>
      <c r="K361" s="205">
        <f t="shared" si="75"/>
        <v>0</v>
      </c>
      <c r="L361" s="430">
        <f t="shared" si="76"/>
        <v>0</v>
      </c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 spans="1:26" ht="14.4">
      <c r="A362" s="427"/>
      <c r="B362" s="428" t="s">
        <v>460</v>
      </c>
      <c r="C362" s="431">
        <v>0</v>
      </c>
      <c r="D362" s="321"/>
      <c r="E362" s="321"/>
      <c r="F362" s="429">
        <f t="shared" si="73"/>
        <v>0</v>
      </c>
      <c r="G362" s="203">
        <v>75300</v>
      </c>
      <c r="H362" s="203">
        <v>78000</v>
      </c>
      <c r="I362" s="204"/>
      <c r="J362" s="205">
        <f t="shared" ref="J362:J415" si="77">+I362*H362</f>
        <v>0</v>
      </c>
      <c r="K362" s="205">
        <f t="shared" si="75"/>
        <v>0</v>
      </c>
      <c r="L362" s="430">
        <f t="shared" si="76"/>
        <v>0</v>
      </c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 spans="1:26" ht="14.4">
      <c r="A363" s="427"/>
      <c r="B363" s="428" t="s">
        <v>461</v>
      </c>
      <c r="C363" s="431"/>
      <c r="D363" s="321"/>
      <c r="E363" s="321"/>
      <c r="F363" s="429">
        <f t="shared" si="73"/>
        <v>0</v>
      </c>
      <c r="G363" s="203">
        <v>156500</v>
      </c>
      <c r="H363" s="203">
        <v>160000</v>
      </c>
      <c r="I363" s="204"/>
      <c r="J363" s="205">
        <f t="shared" si="77"/>
        <v>0</v>
      </c>
      <c r="K363" s="205">
        <f t="shared" si="75"/>
        <v>0</v>
      </c>
      <c r="L363" s="430">
        <f t="shared" si="76"/>
        <v>0</v>
      </c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 spans="1:26" ht="14.4">
      <c r="A364" s="427"/>
      <c r="B364" s="428" t="s">
        <v>462</v>
      </c>
      <c r="C364" s="431">
        <v>2</v>
      </c>
      <c r="D364" s="321"/>
      <c r="E364" s="321"/>
      <c r="F364" s="429">
        <f t="shared" si="73"/>
        <v>2</v>
      </c>
      <c r="G364" s="203">
        <v>124500</v>
      </c>
      <c r="H364" s="203">
        <v>127000</v>
      </c>
      <c r="I364" s="204"/>
      <c r="J364" s="205">
        <f t="shared" si="77"/>
        <v>0</v>
      </c>
      <c r="K364" s="205">
        <f t="shared" si="75"/>
        <v>0</v>
      </c>
      <c r="L364" s="430">
        <f t="shared" si="76"/>
        <v>249000</v>
      </c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 spans="1:26" ht="14.4">
      <c r="A365" s="427"/>
      <c r="B365" s="428" t="s">
        <v>463</v>
      </c>
      <c r="C365" s="431">
        <v>0</v>
      </c>
      <c r="D365" s="321"/>
      <c r="E365" s="321"/>
      <c r="F365" s="429">
        <f t="shared" si="73"/>
        <v>0</v>
      </c>
      <c r="G365" s="203">
        <v>74300</v>
      </c>
      <c r="H365" s="203">
        <v>78000</v>
      </c>
      <c r="I365" s="204"/>
      <c r="J365" s="205">
        <f t="shared" si="77"/>
        <v>0</v>
      </c>
      <c r="K365" s="205">
        <f t="shared" si="75"/>
        <v>0</v>
      </c>
      <c r="L365" s="430">
        <f t="shared" si="76"/>
        <v>0</v>
      </c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 spans="1:26" ht="14.4">
      <c r="A366" s="427"/>
      <c r="B366" s="428" t="s">
        <v>464</v>
      </c>
      <c r="C366" s="431">
        <v>1</v>
      </c>
      <c r="D366" s="321"/>
      <c r="E366" s="321"/>
      <c r="F366" s="429">
        <f t="shared" si="73"/>
        <v>1</v>
      </c>
      <c r="G366" s="203">
        <v>290000</v>
      </c>
      <c r="H366" s="203">
        <v>330000</v>
      </c>
      <c r="I366" s="204"/>
      <c r="J366" s="205">
        <f t="shared" si="77"/>
        <v>0</v>
      </c>
      <c r="K366" s="205">
        <f t="shared" si="75"/>
        <v>0</v>
      </c>
      <c r="L366" s="430">
        <f t="shared" si="76"/>
        <v>290000</v>
      </c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 spans="1:26" ht="14.4">
      <c r="A367" s="427"/>
      <c r="B367" s="428" t="s">
        <v>465</v>
      </c>
      <c r="C367" s="431">
        <v>2</v>
      </c>
      <c r="D367" s="321"/>
      <c r="E367" s="321"/>
      <c r="F367" s="429">
        <f t="shared" si="73"/>
        <v>2</v>
      </c>
      <c r="G367" s="203">
        <v>47725</v>
      </c>
      <c r="H367" s="203">
        <v>53000</v>
      </c>
      <c r="I367" s="204"/>
      <c r="J367" s="205">
        <f t="shared" si="77"/>
        <v>0</v>
      </c>
      <c r="K367" s="205">
        <f t="shared" si="75"/>
        <v>0</v>
      </c>
      <c r="L367" s="430">
        <f t="shared" si="76"/>
        <v>95450</v>
      </c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 spans="1:26" ht="14.4">
      <c r="A368" s="427"/>
      <c r="B368" s="428" t="s">
        <v>466</v>
      </c>
      <c r="C368" s="431">
        <v>2</v>
      </c>
      <c r="D368" s="321"/>
      <c r="E368" s="321"/>
      <c r="F368" s="429">
        <f t="shared" si="73"/>
        <v>2</v>
      </c>
      <c r="G368" s="203">
        <v>25888</v>
      </c>
      <c r="H368" s="203">
        <v>28500</v>
      </c>
      <c r="I368" s="204"/>
      <c r="J368" s="205">
        <f t="shared" si="77"/>
        <v>0</v>
      </c>
      <c r="K368" s="205">
        <f t="shared" si="75"/>
        <v>0</v>
      </c>
      <c r="L368" s="430">
        <f t="shared" si="76"/>
        <v>51776</v>
      </c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 spans="1:26" ht="14.4">
      <c r="A369" s="427"/>
      <c r="B369" s="428" t="s">
        <v>467</v>
      </c>
      <c r="C369" s="431">
        <v>1</v>
      </c>
      <c r="D369" s="321"/>
      <c r="E369" s="321"/>
      <c r="F369" s="429">
        <f t="shared" si="73"/>
        <v>1</v>
      </c>
      <c r="G369" s="203">
        <v>158300</v>
      </c>
      <c r="H369" s="203">
        <v>167000</v>
      </c>
      <c r="I369" s="204"/>
      <c r="J369" s="205">
        <f t="shared" si="77"/>
        <v>0</v>
      </c>
      <c r="K369" s="205">
        <f t="shared" si="75"/>
        <v>0</v>
      </c>
      <c r="L369" s="430">
        <f t="shared" si="76"/>
        <v>158300</v>
      </c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 spans="1:26" ht="14.4">
      <c r="A370" s="427"/>
      <c r="B370" s="428" t="s">
        <v>468</v>
      </c>
      <c r="C370" s="431">
        <v>3</v>
      </c>
      <c r="D370" s="321"/>
      <c r="E370" s="321"/>
      <c r="F370" s="429">
        <f t="shared" si="73"/>
        <v>3</v>
      </c>
      <c r="G370" s="203">
        <v>129000</v>
      </c>
      <c r="H370" s="203">
        <v>136000</v>
      </c>
      <c r="I370" s="204"/>
      <c r="J370" s="205">
        <f t="shared" si="77"/>
        <v>0</v>
      </c>
      <c r="K370" s="205">
        <f t="shared" si="75"/>
        <v>0</v>
      </c>
      <c r="L370" s="430">
        <f t="shared" si="76"/>
        <v>387000</v>
      </c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 spans="1:26" ht="14.4">
      <c r="A371" s="427"/>
      <c r="B371" s="428" t="s">
        <v>469</v>
      </c>
      <c r="C371" s="431">
        <v>15</v>
      </c>
      <c r="D371" s="321"/>
      <c r="E371" s="321"/>
      <c r="F371" s="429">
        <f t="shared" si="73"/>
        <v>15</v>
      </c>
      <c r="G371" s="203">
        <v>129000</v>
      </c>
      <c r="H371" s="203">
        <v>131000</v>
      </c>
      <c r="I371" s="204"/>
      <c r="J371" s="205">
        <f t="shared" si="77"/>
        <v>0</v>
      </c>
      <c r="K371" s="205">
        <f t="shared" si="75"/>
        <v>0</v>
      </c>
      <c r="L371" s="430">
        <f t="shared" si="76"/>
        <v>1935000</v>
      </c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 spans="1:26" ht="14.4">
      <c r="A372" s="427"/>
      <c r="B372" s="428" t="s">
        <v>470</v>
      </c>
      <c r="C372" s="431">
        <v>6</v>
      </c>
      <c r="D372" s="321"/>
      <c r="E372" s="321"/>
      <c r="F372" s="429">
        <f t="shared" si="73"/>
        <v>6</v>
      </c>
      <c r="G372" s="203">
        <v>128000</v>
      </c>
      <c r="H372" s="203">
        <v>131000</v>
      </c>
      <c r="I372" s="204"/>
      <c r="J372" s="205">
        <f t="shared" si="77"/>
        <v>0</v>
      </c>
      <c r="K372" s="205">
        <f t="shared" si="75"/>
        <v>0</v>
      </c>
      <c r="L372" s="430">
        <f t="shared" si="76"/>
        <v>768000</v>
      </c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 spans="1:26" ht="14.4">
      <c r="A373" s="427"/>
      <c r="B373" s="428" t="s">
        <v>471</v>
      </c>
      <c r="C373" s="431">
        <v>8</v>
      </c>
      <c r="D373" s="321"/>
      <c r="E373" s="321"/>
      <c r="F373" s="429">
        <f t="shared" si="73"/>
        <v>8</v>
      </c>
      <c r="G373" s="203">
        <v>128000</v>
      </c>
      <c r="H373" s="203">
        <v>131000</v>
      </c>
      <c r="I373" s="204"/>
      <c r="J373" s="205">
        <f t="shared" si="77"/>
        <v>0</v>
      </c>
      <c r="K373" s="205">
        <f t="shared" si="75"/>
        <v>0</v>
      </c>
      <c r="L373" s="430">
        <f t="shared" si="76"/>
        <v>1024000</v>
      </c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 spans="1:26" ht="14.4">
      <c r="A374" s="427"/>
      <c r="B374" s="428" t="s">
        <v>472</v>
      </c>
      <c r="C374" s="431">
        <v>4</v>
      </c>
      <c r="D374" s="321"/>
      <c r="E374" s="321"/>
      <c r="F374" s="429">
        <f t="shared" si="73"/>
        <v>4</v>
      </c>
      <c r="G374" s="203">
        <v>72000</v>
      </c>
      <c r="H374" s="203">
        <v>78000</v>
      </c>
      <c r="I374" s="204"/>
      <c r="J374" s="205">
        <f t="shared" si="77"/>
        <v>0</v>
      </c>
      <c r="K374" s="205">
        <f t="shared" si="75"/>
        <v>0</v>
      </c>
      <c r="L374" s="430">
        <f t="shared" si="76"/>
        <v>288000</v>
      </c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 spans="1:26" ht="14.4">
      <c r="A375" s="427"/>
      <c r="B375" s="428" t="s">
        <v>473</v>
      </c>
      <c r="C375" s="431">
        <v>6</v>
      </c>
      <c r="D375" s="321"/>
      <c r="E375" s="321"/>
      <c r="F375" s="429">
        <f t="shared" si="73"/>
        <v>6</v>
      </c>
      <c r="G375" s="203">
        <v>16500</v>
      </c>
      <c r="H375" s="203">
        <v>19000</v>
      </c>
      <c r="I375" s="204"/>
      <c r="J375" s="205">
        <f t="shared" si="77"/>
        <v>0</v>
      </c>
      <c r="K375" s="205">
        <f t="shared" si="75"/>
        <v>0</v>
      </c>
      <c r="L375" s="430">
        <f t="shared" si="76"/>
        <v>99000</v>
      </c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 spans="1:26" ht="14.4">
      <c r="A376" s="427"/>
      <c r="B376" s="428" t="s">
        <v>474</v>
      </c>
      <c r="C376" s="431"/>
      <c r="D376" s="321"/>
      <c r="E376" s="321"/>
      <c r="F376" s="429">
        <f t="shared" si="73"/>
        <v>0</v>
      </c>
      <c r="G376" s="203">
        <v>71500</v>
      </c>
      <c r="H376" s="203">
        <v>75500</v>
      </c>
      <c r="I376" s="204"/>
      <c r="J376" s="205">
        <f t="shared" si="77"/>
        <v>0</v>
      </c>
      <c r="K376" s="205">
        <f t="shared" si="75"/>
        <v>0</v>
      </c>
      <c r="L376" s="430">
        <f t="shared" si="76"/>
        <v>0</v>
      </c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 spans="1:26" ht="14.4">
      <c r="A377" s="427"/>
      <c r="B377" s="428" t="s">
        <v>475</v>
      </c>
      <c r="C377" s="431">
        <v>6</v>
      </c>
      <c r="D377" s="321"/>
      <c r="E377" s="321"/>
      <c r="F377" s="429">
        <f t="shared" si="73"/>
        <v>6</v>
      </c>
      <c r="G377" s="203">
        <v>61227</v>
      </c>
      <c r="H377" s="203">
        <v>65000</v>
      </c>
      <c r="I377" s="204"/>
      <c r="J377" s="205">
        <f t="shared" si="77"/>
        <v>0</v>
      </c>
      <c r="K377" s="205">
        <f t="shared" si="75"/>
        <v>0</v>
      </c>
      <c r="L377" s="430">
        <f t="shared" si="76"/>
        <v>367362</v>
      </c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 spans="1:26" ht="14.4">
      <c r="A378" s="427"/>
      <c r="B378" s="428" t="s">
        <v>476</v>
      </c>
      <c r="C378" s="321"/>
      <c r="D378" s="321"/>
      <c r="E378" s="321"/>
      <c r="F378" s="429">
        <f t="shared" si="73"/>
        <v>0</v>
      </c>
      <c r="G378" s="203">
        <v>30000</v>
      </c>
      <c r="H378" s="203">
        <v>33000</v>
      </c>
      <c r="I378" s="204"/>
      <c r="J378" s="205">
        <f t="shared" si="77"/>
        <v>0</v>
      </c>
      <c r="K378" s="205">
        <f t="shared" si="75"/>
        <v>0</v>
      </c>
      <c r="L378" s="430">
        <f t="shared" si="76"/>
        <v>0</v>
      </c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 spans="1:26" ht="14.4">
      <c r="A379" s="427"/>
      <c r="B379" s="428" t="s">
        <v>477</v>
      </c>
      <c r="C379" s="321"/>
      <c r="D379" s="321"/>
      <c r="E379" s="321"/>
      <c r="F379" s="429">
        <f t="shared" si="73"/>
        <v>0</v>
      </c>
      <c r="G379" s="203">
        <v>18100</v>
      </c>
      <c r="H379" s="203">
        <v>20000</v>
      </c>
      <c r="I379" s="204"/>
      <c r="J379" s="205">
        <f t="shared" si="77"/>
        <v>0</v>
      </c>
      <c r="K379" s="205">
        <f t="shared" si="75"/>
        <v>0</v>
      </c>
      <c r="L379" s="430">
        <f t="shared" si="76"/>
        <v>0</v>
      </c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 spans="1:26" ht="14.4">
      <c r="A380" s="427"/>
      <c r="B380" s="428" t="s">
        <v>478</v>
      </c>
      <c r="C380" s="431"/>
      <c r="D380" s="321"/>
      <c r="E380" s="321"/>
      <c r="F380" s="429">
        <f t="shared" si="73"/>
        <v>0</v>
      </c>
      <c r="G380" s="203">
        <v>67624</v>
      </c>
      <c r="H380" s="203">
        <v>72000</v>
      </c>
      <c r="I380" s="204"/>
      <c r="J380" s="205">
        <f t="shared" si="77"/>
        <v>0</v>
      </c>
      <c r="K380" s="205">
        <f t="shared" si="75"/>
        <v>0</v>
      </c>
      <c r="L380" s="430">
        <f t="shared" si="76"/>
        <v>0</v>
      </c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 spans="1:26" ht="14.4">
      <c r="A381" s="427"/>
      <c r="B381" s="428" t="s">
        <v>479</v>
      </c>
      <c r="C381" s="431"/>
      <c r="D381" s="321"/>
      <c r="E381" s="321"/>
      <c r="F381" s="429">
        <f t="shared" si="73"/>
        <v>0</v>
      </c>
      <c r="G381" s="203">
        <v>90000</v>
      </c>
      <c r="H381" s="203">
        <v>99000</v>
      </c>
      <c r="I381" s="204"/>
      <c r="J381" s="205">
        <f t="shared" si="77"/>
        <v>0</v>
      </c>
      <c r="K381" s="205">
        <f t="shared" si="75"/>
        <v>0</v>
      </c>
      <c r="L381" s="430">
        <f t="shared" si="76"/>
        <v>0</v>
      </c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 spans="1:26" ht="14.4">
      <c r="A382" s="427"/>
      <c r="B382" s="428" t="s">
        <v>480</v>
      </c>
      <c r="C382" s="321">
        <v>4</v>
      </c>
      <c r="D382" s="321"/>
      <c r="E382" s="321"/>
      <c r="F382" s="429">
        <f t="shared" si="73"/>
        <v>4</v>
      </c>
      <c r="G382" s="203">
        <v>50092</v>
      </c>
      <c r="H382" s="203">
        <v>55000</v>
      </c>
      <c r="I382" s="204"/>
      <c r="J382" s="205">
        <f t="shared" si="77"/>
        <v>0</v>
      </c>
      <c r="K382" s="205">
        <f t="shared" si="75"/>
        <v>0</v>
      </c>
      <c r="L382" s="430">
        <f t="shared" si="76"/>
        <v>200368</v>
      </c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 spans="1:26" ht="14.4">
      <c r="A383" s="427"/>
      <c r="B383" s="428" t="s">
        <v>481</v>
      </c>
      <c r="C383" s="431">
        <v>6</v>
      </c>
      <c r="D383" s="321"/>
      <c r="E383" s="321"/>
      <c r="F383" s="429">
        <f t="shared" si="73"/>
        <v>6</v>
      </c>
      <c r="G383" s="203">
        <v>27239</v>
      </c>
      <c r="H383" s="203">
        <v>30000</v>
      </c>
      <c r="I383" s="204"/>
      <c r="J383" s="205">
        <f t="shared" si="77"/>
        <v>0</v>
      </c>
      <c r="K383" s="205">
        <f t="shared" si="75"/>
        <v>0</v>
      </c>
      <c r="L383" s="430">
        <f t="shared" si="76"/>
        <v>163434</v>
      </c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 spans="1:26" ht="14.4">
      <c r="A384" s="427"/>
      <c r="B384" s="428" t="s">
        <v>482</v>
      </c>
      <c r="C384" s="431">
        <v>0</v>
      </c>
      <c r="D384" s="321"/>
      <c r="E384" s="321"/>
      <c r="F384" s="429">
        <f t="shared" si="73"/>
        <v>0</v>
      </c>
      <c r="G384" s="203">
        <v>13838</v>
      </c>
      <c r="H384" s="203">
        <v>16000</v>
      </c>
      <c r="I384" s="204"/>
      <c r="J384" s="205">
        <f t="shared" si="77"/>
        <v>0</v>
      </c>
      <c r="K384" s="205">
        <f t="shared" si="75"/>
        <v>0</v>
      </c>
      <c r="L384" s="430">
        <f t="shared" si="76"/>
        <v>0</v>
      </c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 spans="1:26" ht="14.4">
      <c r="A385" s="427"/>
      <c r="B385" s="428" t="s">
        <v>483</v>
      </c>
      <c r="C385" s="321">
        <v>12</v>
      </c>
      <c r="D385" s="321"/>
      <c r="E385" s="321"/>
      <c r="F385" s="429">
        <f t="shared" si="73"/>
        <v>12</v>
      </c>
      <c r="G385" s="203">
        <v>79800</v>
      </c>
      <c r="H385" s="203">
        <v>84000</v>
      </c>
      <c r="I385" s="204"/>
      <c r="J385" s="205">
        <f t="shared" si="77"/>
        <v>0</v>
      </c>
      <c r="K385" s="205">
        <f t="shared" si="75"/>
        <v>0</v>
      </c>
      <c r="L385" s="430">
        <f t="shared" si="76"/>
        <v>957600</v>
      </c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 spans="1:26" ht="14.4">
      <c r="A386" s="427"/>
      <c r="B386" s="428" t="s">
        <v>484</v>
      </c>
      <c r="C386" s="431">
        <v>12</v>
      </c>
      <c r="D386" s="321"/>
      <c r="E386" s="321"/>
      <c r="F386" s="429">
        <f t="shared" si="73"/>
        <v>12</v>
      </c>
      <c r="G386" s="203">
        <v>60000</v>
      </c>
      <c r="H386" s="203">
        <v>65000</v>
      </c>
      <c r="I386" s="204"/>
      <c r="J386" s="205">
        <f t="shared" si="77"/>
        <v>0</v>
      </c>
      <c r="K386" s="205">
        <f t="shared" si="75"/>
        <v>0</v>
      </c>
      <c r="L386" s="430">
        <f t="shared" si="76"/>
        <v>720000</v>
      </c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 spans="1:26" ht="14.4">
      <c r="A387" s="427"/>
      <c r="B387" s="428" t="s">
        <v>485</v>
      </c>
      <c r="C387" s="431">
        <v>2</v>
      </c>
      <c r="D387" s="321"/>
      <c r="E387" s="321"/>
      <c r="F387" s="429">
        <f t="shared" si="73"/>
        <v>2</v>
      </c>
      <c r="G387" s="203">
        <v>38000</v>
      </c>
      <c r="H387" s="203">
        <v>41000</v>
      </c>
      <c r="I387" s="204"/>
      <c r="J387" s="205">
        <f t="shared" si="77"/>
        <v>0</v>
      </c>
      <c r="K387" s="205">
        <f t="shared" si="75"/>
        <v>0</v>
      </c>
      <c r="L387" s="430">
        <f t="shared" si="76"/>
        <v>76000</v>
      </c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 spans="1:26" ht="14.4">
      <c r="A388" s="427"/>
      <c r="B388" s="428" t="s">
        <v>486</v>
      </c>
      <c r="C388" s="431"/>
      <c r="D388" s="321"/>
      <c r="E388" s="321"/>
      <c r="F388" s="429">
        <f t="shared" si="73"/>
        <v>0</v>
      </c>
      <c r="G388" s="203">
        <v>19000</v>
      </c>
      <c r="H388" s="203">
        <v>22000</v>
      </c>
      <c r="I388" s="204"/>
      <c r="J388" s="205">
        <f t="shared" si="77"/>
        <v>0</v>
      </c>
      <c r="K388" s="205">
        <f t="shared" si="75"/>
        <v>0</v>
      </c>
      <c r="L388" s="430">
        <f t="shared" si="76"/>
        <v>0</v>
      </c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 spans="1:26" ht="14.4">
      <c r="A389" s="427"/>
      <c r="B389" s="428" t="s">
        <v>487</v>
      </c>
      <c r="C389" s="431">
        <v>0</v>
      </c>
      <c r="D389" s="321"/>
      <c r="E389" s="321"/>
      <c r="F389" s="429">
        <f t="shared" si="73"/>
        <v>0</v>
      </c>
      <c r="G389" s="203">
        <v>59500</v>
      </c>
      <c r="H389" s="203">
        <v>63000</v>
      </c>
      <c r="I389" s="204"/>
      <c r="J389" s="205">
        <f t="shared" si="77"/>
        <v>0</v>
      </c>
      <c r="K389" s="205">
        <f t="shared" si="75"/>
        <v>0</v>
      </c>
      <c r="L389" s="430">
        <f t="shared" si="76"/>
        <v>0</v>
      </c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 spans="1:26" ht="14.4">
      <c r="A390" s="427"/>
      <c r="B390" s="428" t="s">
        <v>488</v>
      </c>
      <c r="C390" s="431"/>
      <c r="D390" s="321"/>
      <c r="E390" s="321"/>
      <c r="F390" s="429">
        <f t="shared" si="73"/>
        <v>0</v>
      </c>
      <c r="G390" s="203">
        <v>44800</v>
      </c>
      <c r="H390" s="203">
        <v>48000</v>
      </c>
      <c r="I390" s="204"/>
      <c r="J390" s="205">
        <f t="shared" si="77"/>
        <v>0</v>
      </c>
      <c r="K390" s="205">
        <f t="shared" si="75"/>
        <v>0</v>
      </c>
      <c r="L390" s="430">
        <f t="shared" si="76"/>
        <v>0</v>
      </c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 spans="1:26" ht="14.4">
      <c r="A391" s="427"/>
      <c r="B391" s="428" t="s">
        <v>489</v>
      </c>
      <c r="C391" s="431">
        <v>0</v>
      </c>
      <c r="D391" s="321"/>
      <c r="E391" s="321"/>
      <c r="F391" s="429">
        <f t="shared" si="73"/>
        <v>0</v>
      </c>
      <c r="G391" s="203">
        <v>26800</v>
      </c>
      <c r="H391" s="203">
        <v>30000</v>
      </c>
      <c r="I391" s="204"/>
      <c r="J391" s="205">
        <f t="shared" si="77"/>
        <v>0</v>
      </c>
      <c r="K391" s="205">
        <f t="shared" si="75"/>
        <v>0</v>
      </c>
      <c r="L391" s="430">
        <f t="shared" si="76"/>
        <v>0</v>
      </c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 spans="1:26" ht="14.4">
      <c r="A392" s="427"/>
      <c r="B392" s="428" t="s">
        <v>490</v>
      </c>
      <c r="C392" s="431">
        <v>3</v>
      </c>
      <c r="D392" s="321"/>
      <c r="E392" s="321"/>
      <c r="F392" s="429">
        <f t="shared" si="73"/>
        <v>3</v>
      </c>
      <c r="G392" s="203">
        <v>13000</v>
      </c>
      <c r="H392" s="203">
        <v>15000</v>
      </c>
      <c r="I392" s="204"/>
      <c r="J392" s="205">
        <f t="shared" si="77"/>
        <v>0</v>
      </c>
      <c r="K392" s="205">
        <f t="shared" si="75"/>
        <v>0</v>
      </c>
      <c r="L392" s="430">
        <f t="shared" si="76"/>
        <v>39000</v>
      </c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 spans="1:26" ht="14.4">
      <c r="A393" s="427"/>
      <c r="B393" s="428" t="s">
        <v>491</v>
      </c>
      <c r="C393" s="431">
        <v>4</v>
      </c>
      <c r="D393" s="321"/>
      <c r="E393" s="321"/>
      <c r="F393" s="429">
        <f t="shared" si="73"/>
        <v>4</v>
      </c>
      <c r="G393" s="203">
        <v>39200</v>
      </c>
      <c r="H393" s="203">
        <v>45000</v>
      </c>
      <c r="I393" s="204"/>
      <c r="J393" s="205">
        <f t="shared" si="77"/>
        <v>0</v>
      </c>
      <c r="K393" s="205">
        <f t="shared" si="75"/>
        <v>0</v>
      </c>
      <c r="L393" s="430">
        <f t="shared" si="76"/>
        <v>156800</v>
      </c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 spans="1:26" ht="14.4">
      <c r="A394" s="427"/>
      <c r="B394" s="428" t="s">
        <v>492</v>
      </c>
      <c r="C394" s="431">
        <v>19</v>
      </c>
      <c r="D394" s="321"/>
      <c r="E394" s="321"/>
      <c r="F394" s="429">
        <f t="shared" si="73"/>
        <v>19</v>
      </c>
      <c r="G394" s="203">
        <v>42000</v>
      </c>
      <c r="H394" s="203">
        <v>45000</v>
      </c>
      <c r="I394" s="204"/>
      <c r="J394" s="205">
        <f t="shared" si="77"/>
        <v>0</v>
      </c>
      <c r="K394" s="205">
        <f t="shared" si="75"/>
        <v>0</v>
      </c>
      <c r="L394" s="430">
        <f t="shared" si="76"/>
        <v>798000</v>
      </c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 spans="1:26" ht="14.4">
      <c r="A395" s="427"/>
      <c r="B395" s="428" t="s">
        <v>493</v>
      </c>
      <c r="C395" s="431">
        <v>12</v>
      </c>
      <c r="D395" s="321"/>
      <c r="E395" s="321"/>
      <c r="F395" s="429">
        <f t="shared" si="73"/>
        <v>12</v>
      </c>
      <c r="G395" s="203">
        <v>23100</v>
      </c>
      <c r="H395" s="203">
        <v>25000</v>
      </c>
      <c r="I395" s="204"/>
      <c r="J395" s="205">
        <f t="shared" si="77"/>
        <v>0</v>
      </c>
      <c r="K395" s="205">
        <f t="shared" si="75"/>
        <v>0</v>
      </c>
      <c r="L395" s="430">
        <f t="shared" si="76"/>
        <v>277200</v>
      </c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 spans="1:26" ht="14.4">
      <c r="A396" s="427"/>
      <c r="B396" s="428" t="s">
        <v>494</v>
      </c>
      <c r="C396" s="431">
        <v>3</v>
      </c>
      <c r="D396" s="321"/>
      <c r="E396" s="321"/>
      <c r="F396" s="429">
        <f t="shared" si="73"/>
        <v>3</v>
      </c>
      <c r="G396" s="203">
        <v>25400</v>
      </c>
      <c r="H396" s="203">
        <v>27000</v>
      </c>
      <c r="I396" s="204"/>
      <c r="J396" s="205">
        <f t="shared" si="77"/>
        <v>0</v>
      </c>
      <c r="K396" s="205">
        <f t="shared" si="75"/>
        <v>0</v>
      </c>
      <c r="L396" s="430">
        <f t="shared" si="76"/>
        <v>76200</v>
      </c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 spans="1:26" ht="14.4">
      <c r="A397" s="427"/>
      <c r="B397" s="428" t="s">
        <v>495</v>
      </c>
      <c r="C397" s="431">
        <v>0</v>
      </c>
      <c r="D397" s="321"/>
      <c r="E397" s="321"/>
      <c r="F397" s="429">
        <f t="shared" si="73"/>
        <v>0</v>
      </c>
      <c r="G397" s="203">
        <v>47400</v>
      </c>
      <c r="H397" s="203">
        <v>48000</v>
      </c>
      <c r="I397" s="204"/>
      <c r="J397" s="205">
        <f t="shared" si="77"/>
        <v>0</v>
      </c>
      <c r="K397" s="205">
        <f t="shared" si="75"/>
        <v>0</v>
      </c>
      <c r="L397" s="430">
        <f t="shared" si="76"/>
        <v>0</v>
      </c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 spans="1:26" ht="14.4">
      <c r="A398" s="427"/>
      <c r="B398" s="428" t="s">
        <v>496</v>
      </c>
      <c r="C398" s="431">
        <v>1</v>
      </c>
      <c r="D398" s="321"/>
      <c r="E398" s="321"/>
      <c r="F398" s="429">
        <f t="shared" si="73"/>
        <v>1</v>
      </c>
      <c r="G398" s="203">
        <v>93900</v>
      </c>
      <c r="H398" s="203">
        <v>98000</v>
      </c>
      <c r="I398" s="204"/>
      <c r="J398" s="205">
        <f t="shared" si="77"/>
        <v>0</v>
      </c>
      <c r="K398" s="205">
        <f t="shared" si="75"/>
        <v>0</v>
      </c>
      <c r="L398" s="430">
        <f t="shared" si="76"/>
        <v>93900</v>
      </c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 spans="1:26" ht="14.4">
      <c r="A399" s="427"/>
      <c r="B399" s="428" t="s">
        <v>497</v>
      </c>
      <c r="C399" s="431">
        <v>2</v>
      </c>
      <c r="D399" s="321"/>
      <c r="E399" s="321"/>
      <c r="F399" s="429">
        <f t="shared" si="73"/>
        <v>2</v>
      </c>
      <c r="G399" s="203">
        <v>45400</v>
      </c>
      <c r="H399" s="203">
        <v>50000</v>
      </c>
      <c r="I399" s="204"/>
      <c r="J399" s="205">
        <f t="shared" si="77"/>
        <v>0</v>
      </c>
      <c r="K399" s="205">
        <f t="shared" si="75"/>
        <v>0</v>
      </c>
      <c r="L399" s="430">
        <f t="shared" si="76"/>
        <v>90800</v>
      </c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 spans="1:26" ht="14.4">
      <c r="A400" s="427"/>
      <c r="B400" s="428" t="s">
        <v>498</v>
      </c>
      <c r="C400" s="431">
        <v>1</v>
      </c>
      <c r="D400" s="321"/>
      <c r="E400" s="321"/>
      <c r="F400" s="429">
        <f t="shared" si="73"/>
        <v>1</v>
      </c>
      <c r="G400" s="203">
        <v>42800</v>
      </c>
      <c r="H400" s="203">
        <v>46000</v>
      </c>
      <c r="I400" s="204"/>
      <c r="J400" s="205">
        <f t="shared" si="77"/>
        <v>0</v>
      </c>
      <c r="K400" s="205">
        <f t="shared" si="75"/>
        <v>0</v>
      </c>
      <c r="L400" s="430">
        <f t="shared" si="76"/>
        <v>42800</v>
      </c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 spans="1:26" ht="14.4">
      <c r="A401" s="427"/>
      <c r="B401" s="428" t="s">
        <v>499</v>
      </c>
      <c r="C401" s="431">
        <v>1</v>
      </c>
      <c r="D401" s="321"/>
      <c r="E401" s="321"/>
      <c r="F401" s="429">
        <f t="shared" si="73"/>
        <v>1</v>
      </c>
      <c r="G401" s="203">
        <v>28000</v>
      </c>
      <c r="H401" s="203">
        <v>30000</v>
      </c>
      <c r="I401" s="204"/>
      <c r="J401" s="205">
        <f t="shared" si="77"/>
        <v>0</v>
      </c>
      <c r="K401" s="205">
        <f t="shared" si="75"/>
        <v>0</v>
      </c>
      <c r="L401" s="430">
        <f t="shared" si="76"/>
        <v>28000</v>
      </c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 spans="1:26" ht="14.4">
      <c r="A402" s="427"/>
      <c r="B402" s="428" t="s">
        <v>500</v>
      </c>
      <c r="C402" s="431">
        <v>3</v>
      </c>
      <c r="D402" s="321"/>
      <c r="E402" s="321"/>
      <c r="F402" s="429">
        <f t="shared" si="73"/>
        <v>3</v>
      </c>
      <c r="G402" s="203">
        <v>34400</v>
      </c>
      <c r="H402" s="203">
        <v>37000</v>
      </c>
      <c r="I402" s="204"/>
      <c r="J402" s="205">
        <f t="shared" si="77"/>
        <v>0</v>
      </c>
      <c r="K402" s="205">
        <f t="shared" si="75"/>
        <v>0</v>
      </c>
      <c r="L402" s="430">
        <f t="shared" si="76"/>
        <v>103200</v>
      </c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 spans="1:26" ht="14.4">
      <c r="A403" s="427"/>
      <c r="B403" s="428" t="s">
        <v>501</v>
      </c>
      <c r="C403" s="431">
        <v>3</v>
      </c>
      <c r="D403" s="321"/>
      <c r="E403" s="321"/>
      <c r="F403" s="429">
        <f t="shared" si="73"/>
        <v>3</v>
      </c>
      <c r="G403" s="203">
        <v>123000</v>
      </c>
      <c r="H403" s="203">
        <v>135000</v>
      </c>
      <c r="I403" s="204"/>
      <c r="J403" s="205">
        <f t="shared" si="77"/>
        <v>0</v>
      </c>
      <c r="K403" s="205">
        <f t="shared" si="75"/>
        <v>0</v>
      </c>
      <c r="L403" s="430">
        <f t="shared" si="76"/>
        <v>369000</v>
      </c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 spans="1:26" ht="14.4">
      <c r="A404" s="427"/>
      <c r="B404" s="428" t="s">
        <v>502</v>
      </c>
      <c r="C404" s="321"/>
      <c r="D404" s="321"/>
      <c r="E404" s="321"/>
      <c r="F404" s="429">
        <f t="shared" si="73"/>
        <v>0</v>
      </c>
      <c r="G404" s="203">
        <v>76000</v>
      </c>
      <c r="H404" s="203">
        <v>84000</v>
      </c>
      <c r="I404" s="213"/>
      <c r="J404" s="205">
        <f t="shared" si="77"/>
        <v>0</v>
      </c>
      <c r="K404" s="205">
        <f t="shared" si="75"/>
        <v>0</v>
      </c>
      <c r="L404" s="430">
        <f t="shared" si="76"/>
        <v>0</v>
      </c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 spans="1:26" ht="14.4">
      <c r="A405" s="427"/>
      <c r="B405" s="428" t="s">
        <v>503</v>
      </c>
      <c r="C405" s="431">
        <v>1</v>
      </c>
      <c r="D405" s="321"/>
      <c r="E405" s="321"/>
      <c r="F405" s="429">
        <f t="shared" si="73"/>
        <v>1</v>
      </c>
      <c r="G405" s="203">
        <v>57000</v>
      </c>
      <c r="H405" s="432">
        <v>63000</v>
      </c>
      <c r="I405" s="433"/>
      <c r="J405" s="205">
        <f t="shared" si="77"/>
        <v>0</v>
      </c>
      <c r="K405" s="205">
        <f t="shared" si="75"/>
        <v>0</v>
      </c>
      <c r="L405" s="430">
        <f t="shared" si="76"/>
        <v>57000</v>
      </c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 spans="1:26" ht="14.4">
      <c r="A406" s="427"/>
      <c r="B406" s="428" t="s">
        <v>504</v>
      </c>
      <c r="C406" s="431">
        <v>2</v>
      </c>
      <c r="D406" s="321"/>
      <c r="E406" s="321"/>
      <c r="F406" s="429">
        <f t="shared" si="73"/>
        <v>2</v>
      </c>
      <c r="G406" s="203">
        <v>32000</v>
      </c>
      <c r="H406" s="203">
        <v>34000</v>
      </c>
      <c r="I406" s="224"/>
      <c r="J406" s="205">
        <f t="shared" si="77"/>
        <v>0</v>
      </c>
      <c r="K406" s="205">
        <f t="shared" si="75"/>
        <v>0</v>
      </c>
      <c r="L406" s="430">
        <f t="shared" si="76"/>
        <v>64000</v>
      </c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 spans="1:26" ht="14.4">
      <c r="A407" s="427"/>
      <c r="B407" s="428" t="s">
        <v>505</v>
      </c>
      <c r="C407" s="431">
        <v>1</v>
      </c>
      <c r="D407" s="321"/>
      <c r="E407" s="321"/>
      <c r="F407" s="429">
        <f t="shared" si="73"/>
        <v>1</v>
      </c>
      <c r="G407" s="203">
        <v>19000</v>
      </c>
      <c r="H407" s="203">
        <v>22000</v>
      </c>
      <c r="I407" s="204"/>
      <c r="J407" s="205">
        <f t="shared" si="77"/>
        <v>0</v>
      </c>
      <c r="K407" s="205">
        <f t="shared" si="75"/>
        <v>0</v>
      </c>
      <c r="L407" s="430">
        <f t="shared" si="76"/>
        <v>19000</v>
      </c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 spans="1:26" ht="14.4">
      <c r="A408" s="427"/>
      <c r="B408" s="428" t="s">
        <v>506</v>
      </c>
      <c r="C408" s="431">
        <v>1</v>
      </c>
      <c r="D408" s="321"/>
      <c r="E408" s="321"/>
      <c r="F408" s="429">
        <f t="shared" si="73"/>
        <v>1</v>
      </c>
      <c r="G408" s="203">
        <v>139000</v>
      </c>
      <c r="H408" s="203">
        <v>145000</v>
      </c>
      <c r="I408" s="204"/>
      <c r="J408" s="205">
        <f t="shared" si="77"/>
        <v>0</v>
      </c>
      <c r="K408" s="205">
        <f t="shared" si="75"/>
        <v>0</v>
      </c>
      <c r="L408" s="430">
        <f t="shared" si="76"/>
        <v>139000</v>
      </c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 spans="1:26" ht="14.4">
      <c r="A409" s="427"/>
      <c r="B409" s="428" t="s">
        <v>507</v>
      </c>
      <c r="C409" s="431"/>
      <c r="D409" s="321"/>
      <c r="E409" s="321"/>
      <c r="F409" s="429">
        <f t="shared" si="73"/>
        <v>0</v>
      </c>
      <c r="G409" s="203">
        <v>60000</v>
      </c>
      <c r="H409" s="203">
        <v>65000</v>
      </c>
      <c r="I409" s="204"/>
      <c r="J409" s="205">
        <f t="shared" si="77"/>
        <v>0</v>
      </c>
      <c r="K409" s="205">
        <f t="shared" si="75"/>
        <v>0</v>
      </c>
      <c r="L409" s="430">
        <f t="shared" si="76"/>
        <v>0</v>
      </c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 spans="1:26" ht="14.4">
      <c r="A410" s="427"/>
      <c r="B410" s="428" t="s">
        <v>508</v>
      </c>
      <c r="C410" s="431">
        <v>0</v>
      </c>
      <c r="D410" s="321"/>
      <c r="E410" s="321"/>
      <c r="F410" s="429">
        <f t="shared" si="73"/>
        <v>0</v>
      </c>
      <c r="G410" s="203">
        <v>40300</v>
      </c>
      <c r="H410" s="203">
        <v>43000</v>
      </c>
      <c r="I410" s="204"/>
      <c r="J410" s="205">
        <f t="shared" si="77"/>
        <v>0</v>
      </c>
      <c r="K410" s="205">
        <f t="shared" si="75"/>
        <v>0</v>
      </c>
      <c r="L410" s="430">
        <f t="shared" si="76"/>
        <v>0</v>
      </c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 spans="1:26" ht="14.4">
      <c r="A411" s="427"/>
      <c r="B411" s="428" t="s">
        <v>509</v>
      </c>
      <c r="C411" s="431">
        <v>15</v>
      </c>
      <c r="D411" s="321"/>
      <c r="E411" s="321"/>
      <c r="F411" s="429">
        <f t="shared" si="73"/>
        <v>15</v>
      </c>
      <c r="G411" s="203">
        <v>35900</v>
      </c>
      <c r="H411" s="203">
        <v>40000</v>
      </c>
      <c r="I411" s="204"/>
      <c r="J411" s="205">
        <f t="shared" si="77"/>
        <v>0</v>
      </c>
      <c r="K411" s="205">
        <f t="shared" si="75"/>
        <v>0</v>
      </c>
      <c r="L411" s="430">
        <f t="shared" si="76"/>
        <v>538500</v>
      </c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 spans="1:26" ht="14.4">
      <c r="A412" s="427"/>
      <c r="B412" s="428" t="s">
        <v>510</v>
      </c>
      <c r="C412" s="431">
        <v>2</v>
      </c>
      <c r="D412" s="321"/>
      <c r="E412" s="321"/>
      <c r="F412" s="429">
        <f t="shared" si="73"/>
        <v>2</v>
      </c>
      <c r="G412" s="203">
        <v>36431</v>
      </c>
      <c r="H412" s="203">
        <v>37000</v>
      </c>
      <c r="I412" s="204"/>
      <c r="J412" s="205">
        <f t="shared" si="77"/>
        <v>0</v>
      </c>
      <c r="K412" s="205">
        <f t="shared" si="75"/>
        <v>0</v>
      </c>
      <c r="L412" s="430">
        <f t="shared" si="76"/>
        <v>72862</v>
      </c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 spans="1:26" ht="14.4">
      <c r="A413" s="427"/>
      <c r="B413" s="434" t="s">
        <v>511</v>
      </c>
      <c r="C413" s="431">
        <v>3</v>
      </c>
      <c r="D413" s="321"/>
      <c r="E413" s="321"/>
      <c r="F413" s="429">
        <f t="shared" si="73"/>
        <v>3</v>
      </c>
      <c r="G413" s="203">
        <v>5500</v>
      </c>
      <c r="H413" s="203">
        <v>6000</v>
      </c>
      <c r="I413" s="204"/>
      <c r="J413" s="205">
        <f t="shared" si="77"/>
        <v>0</v>
      </c>
      <c r="K413" s="205">
        <f t="shared" si="75"/>
        <v>0</v>
      </c>
      <c r="L413" s="430">
        <f t="shared" si="76"/>
        <v>16500</v>
      </c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 spans="1:26" ht="14.4">
      <c r="A414" s="427"/>
      <c r="B414" s="434" t="s">
        <v>512</v>
      </c>
      <c r="C414" s="431">
        <v>3</v>
      </c>
      <c r="D414" s="321"/>
      <c r="E414" s="321"/>
      <c r="F414" s="429">
        <f t="shared" si="73"/>
        <v>3</v>
      </c>
      <c r="G414" s="239">
        <v>65000</v>
      </c>
      <c r="H414" s="239">
        <v>70000</v>
      </c>
      <c r="I414" s="204"/>
      <c r="J414" s="205">
        <f t="shared" si="77"/>
        <v>0</v>
      </c>
      <c r="K414" s="205">
        <f t="shared" si="75"/>
        <v>0</v>
      </c>
      <c r="L414" s="430">
        <f t="shared" si="76"/>
        <v>195000</v>
      </c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 spans="1:26" ht="14.4">
      <c r="A415" s="427"/>
      <c r="B415" s="434" t="s">
        <v>513</v>
      </c>
      <c r="C415" s="431">
        <v>2</v>
      </c>
      <c r="D415" s="435"/>
      <c r="E415" s="435"/>
      <c r="F415" s="429">
        <f t="shared" si="73"/>
        <v>2</v>
      </c>
      <c r="G415" s="298">
        <v>109000</v>
      </c>
      <c r="H415" s="298">
        <v>118000</v>
      </c>
      <c r="I415" s="299"/>
      <c r="J415" s="300">
        <f t="shared" si="77"/>
        <v>0</v>
      </c>
      <c r="K415" s="300">
        <f t="shared" si="75"/>
        <v>0</v>
      </c>
      <c r="L415" s="436">
        <f t="shared" si="76"/>
        <v>218000</v>
      </c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 spans="1:26" ht="14.4">
      <c r="A416" s="437"/>
      <c r="B416" s="438"/>
      <c r="C416" s="439">
        <f t="shared" ref="C416:F416" si="78">+SUM(C341:C410)</f>
        <v>204</v>
      </c>
      <c r="D416" s="440">
        <f t="shared" si="78"/>
        <v>0</v>
      </c>
      <c r="E416" s="440">
        <f t="shared" si="78"/>
        <v>0</v>
      </c>
      <c r="F416" s="439">
        <f t="shared" si="78"/>
        <v>204</v>
      </c>
      <c r="G416" s="441">
        <f t="shared" ref="G416:L416" si="79">+SUM(G341:G415)</f>
        <v>6110695</v>
      </c>
      <c r="H416" s="441">
        <f t="shared" si="79"/>
        <v>6563000</v>
      </c>
      <c r="I416" s="442">
        <f t="shared" si="79"/>
        <v>0</v>
      </c>
      <c r="J416" s="441">
        <f t="shared" si="79"/>
        <v>0</v>
      </c>
      <c r="K416" s="441">
        <f t="shared" si="79"/>
        <v>0</v>
      </c>
      <c r="L416" s="441">
        <f t="shared" si="79"/>
        <v>17749028</v>
      </c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 spans="1:26" ht="14.4">
      <c r="A417" s="427"/>
      <c r="B417" s="428" t="s">
        <v>514</v>
      </c>
      <c r="C417" s="431">
        <v>8</v>
      </c>
      <c r="D417" s="321"/>
      <c r="E417" s="321"/>
      <c r="F417" s="429">
        <f t="shared" ref="F417:F428" si="80">+C417+D417-E417</f>
        <v>8</v>
      </c>
      <c r="G417" s="203">
        <v>43421</v>
      </c>
      <c r="H417" s="203">
        <v>50000</v>
      </c>
      <c r="I417" s="204"/>
      <c r="J417" s="205">
        <f t="shared" ref="J417:J428" si="81">+I417*H417</f>
        <v>0</v>
      </c>
      <c r="K417" s="205">
        <f t="shared" ref="K417:K428" si="82">+(H417-G417)*I417</f>
        <v>0</v>
      </c>
      <c r="L417" s="430">
        <f t="shared" ref="L417:L428" si="83">+G417*F417</f>
        <v>347368</v>
      </c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 spans="1:26" ht="14.4">
      <c r="A418" s="427"/>
      <c r="B418" s="428" t="s">
        <v>515</v>
      </c>
      <c r="C418" s="431">
        <v>1</v>
      </c>
      <c r="D418" s="321"/>
      <c r="E418" s="321"/>
      <c r="F418" s="429">
        <f t="shared" si="80"/>
        <v>1</v>
      </c>
      <c r="G418" s="203">
        <v>44748</v>
      </c>
      <c r="H418" s="203">
        <v>44000</v>
      </c>
      <c r="I418" s="204"/>
      <c r="J418" s="205">
        <f t="shared" si="81"/>
        <v>0</v>
      </c>
      <c r="K418" s="205">
        <f t="shared" si="82"/>
        <v>0</v>
      </c>
      <c r="L418" s="430">
        <f t="shared" si="83"/>
        <v>44748</v>
      </c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 spans="1:26" ht="14.4">
      <c r="A419" s="427"/>
      <c r="B419" s="428" t="s">
        <v>516</v>
      </c>
      <c r="C419" s="431">
        <v>4</v>
      </c>
      <c r="D419" s="321"/>
      <c r="E419" s="321"/>
      <c r="F419" s="429">
        <f t="shared" si="80"/>
        <v>4</v>
      </c>
      <c r="G419" s="203">
        <v>40111</v>
      </c>
      <c r="H419" s="203">
        <v>38000</v>
      </c>
      <c r="I419" s="204"/>
      <c r="J419" s="205">
        <f t="shared" si="81"/>
        <v>0</v>
      </c>
      <c r="K419" s="205">
        <f t="shared" si="82"/>
        <v>0</v>
      </c>
      <c r="L419" s="430">
        <f t="shared" si="83"/>
        <v>160444</v>
      </c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 spans="1:26" ht="14.4">
      <c r="A420" s="427"/>
      <c r="B420" s="428" t="s">
        <v>517</v>
      </c>
      <c r="C420" s="431">
        <v>5</v>
      </c>
      <c r="D420" s="321"/>
      <c r="E420" s="321"/>
      <c r="F420" s="429">
        <f t="shared" si="80"/>
        <v>5</v>
      </c>
      <c r="G420" s="203">
        <v>19662</v>
      </c>
      <c r="H420" s="203">
        <v>22000</v>
      </c>
      <c r="I420" s="204"/>
      <c r="J420" s="205">
        <f t="shared" si="81"/>
        <v>0</v>
      </c>
      <c r="K420" s="205">
        <f t="shared" si="82"/>
        <v>0</v>
      </c>
      <c r="L420" s="430">
        <f t="shared" si="83"/>
        <v>98310</v>
      </c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 spans="1:26" ht="14.4">
      <c r="A421" s="427"/>
      <c r="B421" s="428" t="s">
        <v>518</v>
      </c>
      <c r="C421" s="431">
        <v>1</v>
      </c>
      <c r="D421" s="321"/>
      <c r="E421" s="321"/>
      <c r="F421" s="429">
        <f t="shared" si="80"/>
        <v>1</v>
      </c>
      <c r="G421" s="203">
        <v>72900</v>
      </c>
      <c r="H421" s="203">
        <v>76000</v>
      </c>
      <c r="I421" s="204"/>
      <c r="J421" s="205">
        <f t="shared" si="81"/>
        <v>0</v>
      </c>
      <c r="K421" s="205">
        <f t="shared" si="82"/>
        <v>0</v>
      </c>
      <c r="L421" s="430">
        <f t="shared" si="83"/>
        <v>72900</v>
      </c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 spans="1:26" ht="14.4">
      <c r="A422" s="427"/>
      <c r="B422" s="428" t="s">
        <v>519</v>
      </c>
      <c r="C422" s="431"/>
      <c r="D422" s="321"/>
      <c r="E422" s="321"/>
      <c r="F422" s="429">
        <f t="shared" si="80"/>
        <v>0</v>
      </c>
      <c r="G422" s="203">
        <v>45300</v>
      </c>
      <c r="H422" s="203">
        <v>48000</v>
      </c>
      <c r="I422" s="204"/>
      <c r="J422" s="205">
        <f t="shared" si="81"/>
        <v>0</v>
      </c>
      <c r="K422" s="205">
        <f t="shared" si="82"/>
        <v>0</v>
      </c>
      <c r="L422" s="430">
        <f t="shared" si="83"/>
        <v>0</v>
      </c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 spans="1:26" ht="14.4">
      <c r="A423" s="443"/>
      <c r="B423" s="444" t="s">
        <v>520</v>
      </c>
      <c r="C423" s="431">
        <v>29</v>
      </c>
      <c r="D423" s="321"/>
      <c r="E423" s="321"/>
      <c r="F423" s="429">
        <f t="shared" si="80"/>
        <v>29</v>
      </c>
      <c r="G423" s="239">
        <v>6465</v>
      </c>
      <c r="H423" s="239">
        <v>7000</v>
      </c>
      <c r="I423" s="204"/>
      <c r="J423" s="205">
        <f t="shared" si="81"/>
        <v>0</v>
      </c>
      <c r="K423" s="205">
        <f t="shared" si="82"/>
        <v>0</v>
      </c>
      <c r="L423" s="430">
        <f t="shared" si="83"/>
        <v>187485</v>
      </c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 spans="1:26" ht="14.4">
      <c r="A424" s="443"/>
      <c r="B424" s="444" t="s">
        <v>521</v>
      </c>
      <c r="C424" s="431">
        <v>25</v>
      </c>
      <c r="D424" s="321"/>
      <c r="E424" s="321"/>
      <c r="F424" s="431">
        <f t="shared" si="80"/>
        <v>25</v>
      </c>
      <c r="G424" s="210">
        <v>7460</v>
      </c>
      <c r="H424" s="210">
        <v>8000</v>
      </c>
      <c r="I424" s="445"/>
      <c r="J424" s="205">
        <f t="shared" si="81"/>
        <v>0</v>
      </c>
      <c r="K424" s="205">
        <f t="shared" si="82"/>
        <v>0</v>
      </c>
      <c r="L424" s="430">
        <f t="shared" si="83"/>
        <v>186500</v>
      </c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 spans="1:26" ht="14.4">
      <c r="A425" s="443"/>
      <c r="B425" s="446" t="s">
        <v>522</v>
      </c>
      <c r="C425" s="431">
        <v>0</v>
      </c>
      <c r="D425" s="321"/>
      <c r="E425" s="321"/>
      <c r="F425" s="431">
        <f t="shared" si="80"/>
        <v>0</v>
      </c>
      <c r="G425" s="210">
        <v>80000</v>
      </c>
      <c r="H425" s="210">
        <v>84000</v>
      </c>
      <c r="I425" s="445"/>
      <c r="J425" s="205">
        <f t="shared" si="81"/>
        <v>0</v>
      </c>
      <c r="K425" s="205">
        <f t="shared" si="82"/>
        <v>0</v>
      </c>
      <c r="L425" s="430">
        <f t="shared" si="83"/>
        <v>0</v>
      </c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 spans="1:26" ht="14.4">
      <c r="A426" s="427"/>
      <c r="B426" s="428" t="s">
        <v>523</v>
      </c>
      <c r="C426" s="431">
        <v>0</v>
      </c>
      <c r="D426" s="321"/>
      <c r="E426" s="321"/>
      <c r="F426" s="429">
        <f t="shared" si="80"/>
        <v>0</v>
      </c>
      <c r="G426" s="203">
        <v>80000</v>
      </c>
      <c r="H426" s="203">
        <v>84000</v>
      </c>
      <c r="I426" s="204"/>
      <c r="J426" s="205">
        <f t="shared" si="81"/>
        <v>0</v>
      </c>
      <c r="K426" s="205">
        <f t="shared" si="82"/>
        <v>0</v>
      </c>
      <c r="L426" s="430">
        <f t="shared" si="83"/>
        <v>0</v>
      </c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 spans="1:26" ht="14.4">
      <c r="A427" s="427"/>
      <c r="B427" s="428" t="s">
        <v>524</v>
      </c>
      <c r="C427" s="431">
        <v>6</v>
      </c>
      <c r="D427" s="321"/>
      <c r="E427" s="321"/>
      <c r="F427" s="429">
        <f t="shared" si="80"/>
        <v>6</v>
      </c>
      <c r="G427" s="210">
        <v>38000</v>
      </c>
      <c r="H427" s="210">
        <v>40000</v>
      </c>
      <c r="I427" s="445"/>
      <c r="J427" s="205">
        <f t="shared" si="81"/>
        <v>0</v>
      </c>
      <c r="K427" s="205">
        <f t="shared" si="82"/>
        <v>0</v>
      </c>
      <c r="L427" s="430">
        <f t="shared" si="83"/>
        <v>228000</v>
      </c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 spans="1:26" ht="14.4">
      <c r="A428" s="427"/>
      <c r="B428" s="434" t="s">
        <v>525</v>
      </c>
      <c r="C428" s="431">
        <v>1</v>
      </c>
      <c r="D428" s="321"/>
      <c r="E428" s="321"/>
      <c r="F428" s="429">
        <f t="shared" si="80"/>
        <v>1</v>
      </c>
      <c r="G428" s="210">
        <v>29800</v>
      </c>
      <c r="H428" s="210">
        <v>33000</v>
      </c>
      <c r="I428" s="445"/>
      <c r="J428" s="205">
        <f t="shared" si="81"/>
        <v>0</v>
      </c>
      <c r="K428" s="205">
        <f t="shared" si="82"/>
        <v>0</v>
      </c>
      <c r="L428" s="430">
        <f t="shared" si="83"/>
        <v>29800</v>
      </c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 spans="1:26" ht="14.4">
      <c r="A429" s="437"/>
      <c r="B429" s="438"/>
      <c r="C429" s="447">
        <f t="shared" ref="C429:F429" si="84">+SUM(C417:C426)</f>
        <v>73</v>
      </c>
      <c r="D429" s="447">
        <f t="shared" si="84"/>
        <v>0</v>
      </c>
      <c r="E429" s="447">
        <f t="shared" si="84"/>
        <v>0</v>
      </c>
      <c r="F429" s="447">
        <f t="shared" si="84"/>
        <v>73</v>
      </c>
      <c r="G429" s="448">
        <f t="shared" ref="G429:L429" si="85">+SUM(G417:G428)</f>
        <v>507867</v>
      </c>
      <c r="H429" s="448">
        <f t="shared" si="85"/>
        <v>534000</v>
      </c>
      <c r="I429" s="449">
        <f t="shared" si="85"/>
        <v>0</v>
      </c>
      <c r="J429" s="448">
        <f t="shared" si="85"/>
        <v>0</v>
      </c>
      <c r="K429" s="448">
        <f t="shared" si="85"/>
        <v>0</v>
      </c>
      <c r="L429" s="448">
        <f t="shared" si="85"/>
        <v>1355555</v>
      </c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 spans="1:26" ht="14.4">
      <c r="A430" s="427"/>
      <c r="B430" s="428" t="s">
        <v>526</v>
      </c>
      <c r="C430" s="431">
        <v>4</v>
      </c>
      <c r="D430" s="321"/>
      <c r="E430" s="321"/>
      <c r="F430" s="429">
        <f t="shared" ref="F430:F454" si="86">+C430+D430-E430</f>
        <v>4</v>
      </c>
      <c r="G430" s="203">
        <v>102000</v>
      </c>
      <c r="H430" s="203">
        <v>108000</v>
      </c>
      <c r="I430" s="204"/>
      <c r="J430" s="205">
        <f t="shared" ref="J430:J454" si="87">+I430*H430</f>
        <v>0</v>
      </c>
      <c r="K430" s="205">
        <f t="shared" ref="K430:K454" si="88">+(H430-G430)*I430</f>
        <v>0</v>
      </c>
      <c r="L430" s="430">
        <f t="shared" ref="L430:L454" si="89">+G430*F430</f>
        <v>408000</v>
      </c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 spans="1:26" ht="14.4">
      <c r="A431" s="427"/>
      <c r="B431" s="387" t="s">
        <v>527</v>
      </c>
      <c r="C431" s="431">
        <v>1</v>
      </c>
      <c r="D431" s="321"/>
      <c r="E431" s="321"/>
      <c r="F431" s="429">
        <f t="shared" si="86"/>
        <v>1</v>
      </c>
      <c r="G431" s="203">
        <v>86250</v>
      </c>
      <c r="H431" s="203">
        <v>93000</v>
      </c>
      <c r="I431" s="204"/>
      <c r="J431" s="205">
        <f t="shared" si="87"/>
        <v>0</v>
      </c>
      <c r="K431" s="205">
        <f t="shared" si="88"/>
        <v>0</v>
      </c>
      <c r="L431" s="430">
        <f t="shared" si="89"/>
        <v>86250</v>
      </c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 spans="1:26" ht="14.4">
      <c r="A432" s="427"/>
      <c r="B432" s="428" t="s">
        <v>528</v>
      </c>
      <c r="C432" s="431">
        <v>1</v>
      </c>
      <c r="D432" s="321"/>
      <c r="E432" s="321"/>
      <c r="F432" s="429">
        <f t="shared" si="86"/>
        <v>1</v>
      </c>
      <c r="G432" s="203">
        <v>58000</v>
      </c>
      <c r="H432" s="203">
        <v>64000</v>
      </c>
      <c r="I432" s="204"/>
      <c r="J432" s="205">
        <f t="shared" si="87"/>
        <v>0</v>
      </c>
      <c r="K432" s="205">
        <f t="shared" si="88"/>
        <v>0</v>
      </c>
      <c r="L432" s="430">
        <f t="shared" si="89"/>
        <v>58000</v>
      </c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 spans="1:26" ht="14.4">
      <c r="A433" s="427"/>
      <c r="B433" s="428" t="s">
        <v>529</v>
      </c>
      <c r="C433" s="431">
        <v>1</v>
      </c>
      <c r="D433" s="321"/>
      <c r="E433" s="321"/>
      <c r="F433" s="429">
        <f t="shared" si="86"/>
        <v>1</v>
      </c>
      <c r="G433" s="203">
        <v>85000</v>
      </c>
      <c r="H433" s="203">
        <v>64000</v>
      </c>
      <c r="I433" s="204"/>
      <c r="J433" s="205">
        <f t="shared" si="87"/>
        <v>0</v>
      </c>
      <c r="K433" s="205">
        <f t="shared" si="88"/>
        <v>0</v>
      </c>
      <c r="L433" s="430">
        <f t="shared" si="89"/>
        <v>85000</v>
      </c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 spans="1:26" ht="14.4">
      <c r="A434" s="427"/>
      <c r="B434" s="428" t="s">
        <v>530</v>
      </c>
      <c r="C434" s="431">
        <v>3</v>
      </c>
      <c r="D434" s="321"/>
      <c r="E434" s="321"/>
      <c r="F434" s="429">
        <f t="shared" si="86"/>
        <v>3</v>
      </c>
      <c r="G434" s="203">
        <v>70000</v>
      </c>
      <c r="H434" s="203">
        <v>75000</v>
      </c>
      <c r="I434" s="204"/>
      <c r="J434" s="205">
        <f t="shared" si="87"/>
        <v>0</v>
      </c>
      <c r="K434" s="205">
        <f t="shared" si="88"/>
        <v>0</v>
      </c>
      <c r="L434" s="430">
        <f t="shared" si="89"/>
        <v>210000</v>
      </c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 spans="1:26" ht="14.4">
      <c r="A435" s="427"/>
      <c r="B435" s="428" t="s">
        <v>531</v>
      </c>
      <c r="C435" s="431">
        <v>2</v>
      </c>
      <c r="D435" s="321"/>
      <c r="E435" s="321"/>
      <c r="F435" s="429">
        <f t="shared" si="86"/>
        <v>2</v>
      </c>
      <c r="G435" s="203">
        <v>195088</v>
      </c>
      <c r="H435" s="203">
        <v>22000</v>
      </c>
      <c r="I435" s="204"/>
      <c r="J435" s="205">
        <f t="shared" si="87"/>
        <v>0</v>
      </c>
      <c r="K435" s="205">
        <f t="shared" si="88"/>
        <v>0</v>
      </c>
      <c r="L435" s="430">
        <f t="shared" si="89"/>
        <v>390176</v>
      </c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 spans="1:26" ht="14.4">
      <c r="A436" s="427"/>
      <c r="B436" s="428" t="s">
        <v>532</v>
      </c>
      <c r="C436" s="431">
        <v>13</v>
      </c>
      <c r="D436" s="321"/>
      <c r="E436" s="321"/>
      <c r="F436" s="429">
        <f t="shared" si="86"/>
        <v>13</v>
      </c>
      <c r="G436" s="203">
        <v>75000</v>
      </c>
      <c r="H436" s="203">
        <v>80000</v>
      </c>
      <c r="I436" s="204"/>
      <c r="J436" s="205">
        <f t="shared" si="87"/>
        <v>0</v>
      </c>
      <c r="K436" s="205">
        <f t="shared" si="88"/>
        <v>0</v>
      </c>
      <c r="L436" s="430">
        <f t="shared" si="89"/>
        <v>975000</v>
      </c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 spans="1:26" ht="14.4">
      <c r="A437" s="427"/>
      <c r="B437" s="428" t="s">
        <v>533</v>
      </c>
      <c r="C437" s="431">
        <v>2</v>
      </c>
      <c r="D437" s="321"/>
      <c r="E437" s="321"/>
      <c r="F437" s="429">
        <f t="shared" si="86"/>
        <v>2</v>
      </c>
      <c r="G437" s="203">
        <v>38000</v>
      </c>
      <c r="H437" s="203">
        <v>42000</v>
      </c>
      <c r="I437" s="204"/>
      <c r="J437" s="205">
        <f t="shared" si="87"/>
        <v>0</v>
      </c>
      <c r="K437" s="205">
        <f t="shared" si="88"/>
        <v>0</v>
      </c>
      <c r="L437" s="430">
        <f t="shared" si="89"/>
        <v>76000</v>
      </c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 spans="1:26" ht="14.4">
      <c r="A438" s="427"/>
      <c r="B438" s="428" t="s">
        <v>534</v>
      </c>
      <c r="C438" s="431">
        <v>2</v>
      </c>
      <c r="D438" s="321"/>
      <c r="E438" s="321"/>
      <c r="F438" s="429">
        <f t="shared" si="86"/>
        <v>2</v>
      </c>
      <c r="G438" s="203">
        <v>105000</v>
      </c>
      <c r="H438" s="203">
        <v>80000</v>
      </c>
      <c r="I438" s="204"/>
      <c r="J438" s="205">
        <f t="shared" si="87"/>
        <v>0</v>
      </c>
      <c r="K438" s="205">
        <f t="shared" si="88"/>
        <v>0</v>
      </c>
      <c r="L438" s="430">
        <f t="shared" si="89"/>
        <v>210000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14.4">
      <c r="A439" s="427"/>
      <c r="B439" s="428" t="s">
        <v>535</v>
      </c>
      <c r="C439" s="431">
        <v>0</v>
      </c>
      <c r="D439" s="321"/>
      <c r="E439" s="321"/>
      <c r="F439" s="429">
        <f t="shared" si="86"/>
        <v>0</v>
      </c>
      <c r="G439" s="203">
        <v>94000</v>
      </c>
      <c r="H439" s="203">
        <v>100000</v>
      </c>
      <c r="I439" s="204"/>
      <c r="J439" s="205">
        <f t="shared" si="87"/>
        <v>0</v>
      </c>
      <c r="K439" s="205">
        <f t="shared" si="88"/>
        <v>0</v>
      </c>
      <c r="L439" s="430">
        <f t="shared" si="89"/>
        <v>0</v>
      </c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 spans="1:26" ht="14.4">
      <c r="A440" s="427"/>
      <c r="B440" s="428" t="s">
        <v>536</v>
      </c>
      <c r="C440" s="431">
        <v>1</v>
      </c>
      <c r="D440" s="321"/>
      <c r="E440" s="321"/>
      <c r="F440" s="429">
        <f t="shared" si="86"/>
        <v>1</v>
      </c>
      <c r="G440" s="203">
        <v>78500</v>
      </c>
      <c r="H440" s="203">
        <v>88000</v>
      </c>
      <c r="I440" s="204"/>
      <c r="J440" s="205">
        <f t="shared" si="87"/>
        <v>0</v>
      </c>
      <c r="K440" s="205">
        <f t="shared" si="88"/>
        <v>0</v>
      </c>
      <c r="L440" s="430">
        <f t="shared" si="89"/>
        <v>78500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 spans="1:26" ht="14.4">
      <c r="A441" s="427"/>
      <c r="B441" s="428" t="s">
        <v>537</v>
      </c>
      <c r="C441" s="431">
        <v>0</v>
      </c>
      <c r="D441" s="321"/>
      <c r="E441" s="321"/>
      <c r="F441" s="429">
        <f t="shared" si="86"/>
        <v>0</v>
      </c>
      <c r="G441" s="203">
        <v>43000</v>
      </c>
      <c r="H441" s="203">
        <v>47000</v>
      </c>
      <c r="I441" s="204"/>
      <c r="J441" s="205">
        <f t="shared" si="87"/>
        <v>0</v>
      </c>
      <c r="K441" s="205">
        <f t="shared" si="88"/>
        <v>0</v>
      </c>
      <c r="L441" s="430">
        <f t="shared" si="89"/>
        <v>0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 spans="1:26" ht="14.4">
      <c r="A442" s="427"/>
      <c r="B442" s="428" t="s">
        <v>538</v>
      </c>
      <c r="C442" s="431">
        <v>0</v>
      </c>
      <c r="D442" s="321"/>
      <c r="E442" s="321"/>
      <c r="F442" s="429">
        <f t="shared" si="86"/>
        <v>0</v>
      </c>
      <c r="G442" s="203">
        <v>93420</v>
      </c>
      <c r="H442" s="203">
        <v>105000</v>
      </c>
      <c r="I442" s="204"/>
      <c r="J442" s="205">
        <f t="shared" si="87"/>
        <v>0</v>
      </c>
      <c r="K442" s="205">
        <f t="shared" si="88"/>
        <v>0</v>
      </c>
      <c r="L442" s="430">
        <f t="shared" si="89"/>
        <v>0</v>
      </c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 spans="1:26" ht="14.4">
      <c r="A443" s="427"/>
      <c r="B443" s="428" t="s">
        <v>539</v>
      </c>
      <c r="C443" s="321"/>
      <c r="D443" s="321"/>
      <c r="E443" s="321"/>
      <c r="F443" s="429">
        <f t="shared" si="86"/>
        <v>0</v>
      </c>
      <c r="G443" s="203">
        <v>91300</v>
      </c>
      <c r="H443" s="203">
        <v>97000</v>
      </c>
      <c r="I443" s="204"/>
      <c r="J443" s="205">
        <f t="shared" si="87"/>
        <v>0</v>
      </c>
      <c r="K443" s="205">
        <f t="shared" si="88"/>
        <v>0</v>
      </c>
      <c r="L443" s="430">
        <f t="shared" si="89"/>
        <v>0</v>
      </c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 spans="1:26" ht="14.4">
      <c r="A444" s="427"/>
      <c r="B444" s="428" t="s">
        <v>540</v>
      </c>
      <c r="C444" s="431">
        <v>3</v>
      </c>
      <c r="D444" s="321"/>
      <c r="E444" s="321"/>
      <c r="F444" s="429">
        <f t="shared" si="86"/>
        <v>3</v>
      </c>
      <c r="G444" s="203">
        <v>70000</v>
      </c>
      <c r="H444" s="203">
        <v>75000</v>
      </c>
      <c r="I444" s="204"/>
      <c r="J444" s="205">
        <f t="shared" si="87"/>
        <v>0</v>
      </c>
      <c r="K444" s="205">
        <f t="shared" si="88"/>
        <v>0</v>
      </c>
      <c r="L444" s="430">
        <f t="shared" si="89"/>
        <v>210000</v>
      </c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 spans="1:26" ht="14.4">
      <c r="A445" s="427"/>
      <c r="B445" s="428" t="s">
        <v>541</v>
      </c>
      <c r="C445" s="431">
        <v>1</v>
      </c>
      <c r="D445" s="321"/>
      <c r="E445" s="321"/>
      <c r="F445" s="429">
        <f t="shared" si="86"/>
        <v>1</v>
      </c>
      <c r="G445" s="203">
        <v>37300</v>
      </c>
      <c r="H445" s="203">
        <v>40000</v>
      </c>
      <c r="I445" s="204"/>
      <c r="J445" s="205">
        <f t="shared" si="87"/>
        <v>0</v>
      </c>
      <c r="K445" s="205">
        <f t="shared" si="88"/>
        <v>0</v>
      </c>
      <c r="L445" s="430">
        <f t="shared" si="89"/>
        <v>37300</v>
      </c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 spans="1:26" ht="14.4">
      <c r="A446" s="427"/>
      <c r="B446" s="428" t="s">
        <v>542</v>
      </c>
      <c r="C446" s="321"/>
      <c r="D446" s="321"/>
      <c r="E446" s="321"/>
      <c r="F446" s="429">
        <f t="shared" si="86"/>
        <v>0</v>
      </c>
      <c r="G446" s="203">
        <v>70000</v>
      </c>
      <c r="H446" s="203">
        <v>75000</v>
      </c>
      <c r="I446" s="204"/>
      <c r="J446" s="205">
        <f t="shared" si="87"/>
        <v>0</v>
      </c>
      <c r="K446" s="205">
        <f t="shared" si="88"/>
        <v>0</v>
      </c>
      <c r="L446" s="430">
        <f t="shared" si="89"/>
        <v>0</v>
      </c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 spans="1:26" ht="14.4">
      <c r="A447" s="427"/>
      <c r="B447" s="428" t="s">
        <v>543</v>
      </c>
      <c r="C447" s="431">
        <v>0</v>
      </c>
      <c r="D447" s="321"/>
      <c r="E447" s="321"/>
      <c r="F447" s="429">
        <f t="shared" si="86"/>
        <v>0</v>
      </c>
      <c r="G447" s="203">
        <v>37300</v>
      </c>
      <c r="H447" s="203">
        <v>40000</v>
      </c>
      <c r="I447" s="204"/>
      <c r="J447" s="205">
        <f t="shared" si="87"/>
        <v>0</v>
      </c>
      <c r="K447" s="205">
        <f t="shared" si="88"/>
        <v>0</v>
      </c>
      <c r="L447" s="430">
        <f t="shared" si="89"/>
        <v>0</v>
      </c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 spans="1:26" ht="14.4">
      <c r="A448" s="427"/>
      <c r="B448" s="428" t="s">
        <v>544</v>
      </c>
      <c r="C448" s="431"/>
      <c r="D448" s="321"/>
      <c r="E448" s="321"/>
      <c r="F448" s="429">
        <f t="shared" si="86"/>
        <v>0</v>
      </c>
      <c r="G448" s="203">
        <v>77500</v>
      </c>
      <c r="H448" s="203">
        <v>84000</v>
      </c>
      <c r="I448" s="204"/>
      <c r="J448" s="205">
        <f t="shared" si="87"/>
        <v>0</v>
      </c>
      <c r="K448" s="205">
        <f t="shared" si="88"/>
        <v>0</v>
      </c>
      <c r="L448" s="430">
        <f t="shared" si="89"/>
        <v>0</v>
      </c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 spans="1:26" ht="14.4">
      <c r="A449" s="427"/>
      <c r="B449" s="428" t="s">
        <v>545</v>
      </c>
      <c r="C449" s="431">
        <v>1</v>
      </c>
      <c r="D449" s="321"/>
      <c r="E449" s="321"/>
      <c r="F449" s="429">
        <f t="shared" si="86"/>
        <v>1</v>
      </c>
      <c r="G449" s="203">
        <v>194000</v>
      </c>
      <c r="H449" s="203">
        <v>205000</v>
      </c>
      <c r="I449" s="204"/>
      <c r="J449" s="205">
        <f t="shared" si="87"/>
        <v>0</v>
      </c>
      <c r="K449" s="205">
        <f t="shared" si="88"/>
        <v>0</v>
      </c>
      <c r="L449" s="430">
        <f t="shared" si="89"/>
        <v>194000</v>
      </c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 spans="1:26" ht="14.4">
      <c r="A450" s="427"/>
      <c r="B450" s="428" t="s">
        <v>546</v>
      </c>
      <c r="C450" s="321">
        <v>11</v>
      </c>
      <c r="D450" s="321"/>
      <c r="E450" s="321"/>
      <c r="F450" s="429">
        <f t="shared" si="86"/>
        <v>11</v>
      </c>
      <c r="G450" s="203">
        <v>5000</v>
      </c>
      <c r="H450" s="203">
        <v>5500</v>
      </c>
      <c r="I450" s="204"/>
      <c r="J450" s="205">
        <f t="shared" si="87"/>
        <v>0</v>
      </c>
      <c r="K450" s="205">
        <f t="shared" si="88"/>
        <v>0</v>
      </c>
      <c r="L450" s="430">
        <f t="shared" si="89"/>
        <v>55000</v>
      </c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 spans="1:26" ht="14.4">
      <c r="A451" s="427"/>
      <c r="B451" s="428" t="s">
        <v>547</v>
      </c>
      <c r="C451" s="431">
        <v>13</v>
      </c>
      <c r="D451" s="321"/>
      <c r="E451" s="321"/>
      <c r="F451" s="429">
        <f t="shared" si="86"/>
        <v>13</v>
      </c>
      <c r="G451" s="203">
        <v>3200</v>
      </c>
      <c r="H451" s="203">
        <v>3600</v>
      </c>
      <c r="I451" s="204"/>
      <c r="J451" s="205">
        <f t="shared" si="87"/>
        <v>0</v>
      </c>
      <c r="K451" s="205">
        <f t="shared" si="88"/>
        <v>0</v>
      </c>
      <c r="L451" s="430">
        <f t="shared" si="89"/>
        <v>41600</v>
      </c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 spans="1:26" ht="14.4">
      <c r="A452" s="427"/>
      <c r="B452" s="428" t="s">
        <v>548</v>
      </c>
      <c r="C452" s="431">
        <v>1</v>
      </c>
      <c r="D452" s="321"/>
      <c r="E452" s="321"/>
      <c r="F452" s="429">
        <f t="shared" si="86"/>
        <v>1</v>
      </c>
      <c r="G452" s="203">
        <v>270000</v>
      </c>
      <c r="H452" s="203">
        <v>300000</v>
      </c>
      <c r="I452" s="204"/>
      <c r="J452" s="205">
        <f t="shared" si="87"/>
        <v>0</v>
      </c>
      <c r="K452" s="205">
        <f t="shared" si="88"/>
        <v>0</v>
      </c>
      <c r="L452" s="430">
        <f t="shared" si="89"/>
        <v>270000</v>
      </c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 spans="1:26" ht="14.4">
      <c r="A453" s="427"/>
      <c r="B453" s="428" t="s">
        <v>549</v>
      </c>
      <c r="C453" s="431">
        <v>1</v>
      </c>
      <c r="D453" s="321"/>
      <c r="E453" s="321"/>
      <c r="F453" s="429">
        <f t="shared" si="86"/>
        <v>1</v>
      </c>
      <c r="G453" s="210">
        <v>260000</v>
      </c>
      <c r="H453" s="210">
        <v>290000</v>
      </c>
      <c r="I453" s="445"/>
      <c r="J453" s="205">
        <f t="shared" si="87"/>
        <v>0</v>
      </c>
      <c r="K453" s="205">
        <f t="shared" si="88"/>
        <v>0</v>
      </c>
      <c r="L453" s="430">
        <f t="shared" si="89"/>
        <v>260000</v>
      </c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 spans="1:26" ht="14.4">
      <c r="A454" s="427"/>
      <c r="B454" s="434" t="s">
        <v>550</v>
      </c>
      <c r="C454" s="431">
        <v>1</v>
      </c>
      <c r="D454" s="321"/>
      <c r="E454" s="321"/>
      <c r="F454" s="429">
        <f t="shared" si="86"/>
        <v>1</v>
      </c>
      <c r="G454" s="210">
        <v>160000</v>
      </c>
      <c r="H454" s="210">
        <v>170000</v>
      </c>
      <c r="I454" s="445"/>
      <c r="J454" s="205">
        <f t="shared" si="87"/>
        <v>0</v>
      </c>
      <c r="K454" s="205">
        <f t="shared" si="88"/>
        <v>0</v>
      </c>
      <c r="L454" s="430">
        <f t="shared" si="89"/>
        <v>160000</v>
      </c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 spans="1:26" ht="14.4">
      <c r="A455" s="437"/>
      <c r="B455" s="438"/>
      <c r="C455" s="447">
        <f t="shared" ref="C455:L455" si="90">+SUM(C430:C454)</f>
        <v>62</v>
      </c>
      <c r="D455" s="447">
        <f t="shared" si="90"/>
        <v>0</v>
      </c>
      <c r="E455" s="447">
        <f t="shared" si="90"/>
        <v>0</v>
      </c>
      <c r="F455" s="447">
        <f t="shared" si="90"/>
        <v>62</v>
      </c>
      <c r="G455" s="448">
        <f t="shared" si="90"/>
        <v>2398858</v>
      </c>
      <c r="H455" s="448">
        <f t="shared" si="90"/>
        <v>2353100</v>
      </c>
      <c r="I455" s="449">
        <f t="shared" si="90"/>
        <v>0</v>
      </c>
      <c r="J455" s="448">
        <f t="shared" si="90"/>
        <v>0</v>
      </c>
      <c r="K455" s="448">
        <f t="shared" si="90"/>
        <v>0</v>
      </c>
      <c r="L455" s="448">
        <f t="shared" si="90"/>
        <v>3804826</v>
      </c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 spans="1:26" ht="14.4">
      <c r="A456" s="450"/>
      <c r="B456" s="428" t="s">
        <v>551</v>
      </c>
      <c r="C456" s="431">
        <v>4</v>
      </c>
      <c r="D456" s="321"/>
      <c r="E456" s="321"/>
      <c r="F456" s="429">
        <f t="shared" ref="F456:F563" si="91">+C456+D456-E456</f>
        <v>4</v>
      </c>
      <c r="G456" s="203">
        <v>49000</v>
      </c>
      <c r="H456" s="203">
        <v>58000</v>
      </c>
      <c r="I456" s="204"/>
      <c r="J456" s="205">
        <f t="shared" ref="J456:J563" si="92">+I456*H456</f>
        <v>0</v>
      </c>
      <c r="K456" s="205">
        <f t="shared" ref="K456:K563" si="93">+(H456-G456)*I456</f>
        <v>0</v>
      </c>
      <c r="L456" s="430">
        <f t="shared" ref="L456:L563" si="94">+G456*F456</f>
        <v>196000</v>
      </c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 spans="1:26" ht="14.4">
      <c r="A457" s="450"/>
      <c r="B457" s="428" t="s">
        <v>552</v>
      </c>
      <c r="C457" s="431">
        <v>1</v>
      </c>
      <c r="D457" s="321"/>
      <c r="E457" s="321"/>
      <c r="F457" s="429">
        <f t="shared" si="91"/>
        <v>1</v>
      </c>
      <c r="G457" s="203">
        <v>28000</v>
      </c>
      <c r="H457" s="203">
        <v>32000</v>
      </c>
      <c r="I457" s="204"/>
      <c r="J457" s="205">
        <f t="shared" si="92"/>
        <v>0</v>
      </c>
      <c r="K457" s="205">
        <f t="shared" si="93"/>
        <v>0</v>
      </c>
      <c r="L457" s="430">
        <f t="shared" si="94"/>
        <v>28000</v>
      </c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 spans="1:26" ht="14.4">
      <c r="A458" s="450"/>
      <c r="B458" s="428" t="s">
        <v>553</v>
      </c>
      <c r="C458" s="431">
        <v>0</v>
      </c>
      <c r="D458" s="321"/>
      <c r="E458" s="321"/>
      <c r="F458" s="429">
        <f t="shared" si="91"/>
        <v>0</v>
      </c>
      <c r="G458" s="203">
        <v>71800</v>
      </c>
      <c r="H458" s="203">
        <v>73000</v>
      </c>
      <c r="I458" s="204"/>
      <c r="J458" s="205">
        <f t="shared" si="92"/>
        <v>0</v>
      </c>
      <c r="K458" s="205">
        <f t="shared" si="93"/>
        <v>0</v>
      </c>
      <c r="L458" s="430">
        <f t="shared" si="94"/>
        <v>0</v>
      </c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 spans="1:26" ht="14.4">
      <c r="A459" s="450"/>
      <c r="B459" s="428" t="s">
        <v>554</v>
      </c>
      <c r="C459" s="321">
        <v>2</v>
      </c>
      <c r="D459" s="321"/>
      <c r="E459" s="321"/>
      <c r="F459" s="429">
        <f t="shared" si="91"/>
        <v>2</v>
      </c>
      <c r="G459" s="203">
        <v>57600</v>
      </c>
      <c r="H459" s="203">
        <v>62000</v>
      </c>
      <c r="I459" s="204"/>
      <c r="J459" s="205">
        <f t="shared" si="92"/>
        <v>0</v>
      </c>
      <c r="K459" s="205">
        <f t="shared" si="93"/>
        <v>0</v>
      </c>
      <c r="L459" s="430">
        <f t="shared" si="94"/>
        <v>115200</v>
      </c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 spans="1:26" ht="14.4">
      <c r="A460" s="450"/>
      <c r="B460" s="428" t="s">
        <v>555</v>
      </c>
      <c r="C460" s="321">
        <v>1</v>
      </c>
      <c r="D460" s="321"/>
      <c r="E460" s="321"/>
      <c r="F460" s="429">
        <f t="shared" si="91"/>
        <v>1</v>
      </c>
      <c r="G460" s="203">
        <v>116260</v>
      </c>
      <c r="H460" s="203">
        <v>123000</v>
      </c>
      <c r="I460" s="204"/>
      <c r="J460" s="205">
        <f t="shared" si="92"/>
        <v>0</v>
      </c>
      <c r="K460" s="205">
        <f t="shared" si="93"/>
        <v>0</v>
      </c>
      <c r="L460" s="430">
        <f t="shared" si="94"/>
        <v>116260</v>
      </c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 spans="1:26" ht="14.4">
      <c r="A461" s="450"/>
      <c r="B461" s="428" t="s">
        <v>556</v>
      </c>
      <c r="C461" s="431">
        <v>3</v>
      </c>
      <c r="D461" s="321"/>
      <c r="E461" s="321"/>
      <c r="F461" s="429">
        <f t="shared" si="91"/>
        <v>3</v>
      </c>
      <c r="G461" s="203">
        <v>51000</v>
      </c>
      <c r="H461" s="203">
        <v>58000</v>
      </c>
      <c r="I461" s="204"/>
      <c r="J461" s="205">
        <f t="shared" si="92"/>
        <v>0</v>
      </c>
      <c r="K461" s="205">
        <f t="shared" si="93"/>
        <v>0</v>
      </c>
      <c r="L461" s="430">
        <f t="shared" si="94"/>
        <v>153000</v>
      </c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 spans="1:26" ht="14.4">
      <c r="A462" s="450"/>
      <c r="B462" s="428" t="s">
        <v>557</v>
      </c>
      <c r="C462" s="431">
        <v>4</v>
      </c>
      <c r="D462" s="321"/>
      <c r="E462" s="321"/>
      <c r="F462" s="429">
        <f t="shared" si="91"/>
        <v>4</v>
      </c>
      <c r="G462" s="203">
        <v>51000</v>
      </c>
      <c r="H462" s="203">
        <v>58000</v>
      </c>
      <c r="I462" s="204"/>
      <c r="J462" s="205">
        <f t="shared" si="92"/>
        <v>0</v>
      </c>
      <c r="K462" s="205">
        <f t="shared" si="93"/>
        <v>0</v>
      </c>
      <c r="L462" s="430">
        <f t="shared" si="94"/>
        <v>204000</v>
      </c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 spans="1:26" ht="14.4">
      <c r="A463" s="450"/>
      <c r="B463" s="428" t="s">
        <v>558</v>
      </c>
      <c r="C463" s="431">
        <v>2</v>
      </c>
      <c r="D463" s="321"/>
      <c r="E463" s="321"/>
      <c r="F463" s="429">
        <f t="shared" si="91"/>
        <v>2</v>
      </c>
      <c r="G463" s="203">
        <v>51000</v>
      </c>
      <c r="H463" s="203">
        <v>58000</v>
      </c>
      <c r="I463" s="204"/>
      <c r="J463" s="205">
        <f t="shared" si="92"/>
        <v>0</v>
      </c>
      <c r="K463" s="205">
        <f t="shared" si="93"/>
        <v>0</v>
      </c>
      <c r="L463" s="430">
        <f t="shared" si="94"/>
        <v>102000</v>
      </c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 spans="1:26" ht="14.4">
      <c r="A464" s="450"/>
      <c r="B464" s="428" t="s">
        <v>559</v>
      </c>
      <c r="C464" s="431">
        <v>3</v>
      </c>
      <c r="D464" s="321"/>
      <c r="E464" s="321"/>
      <c r="F464" s="429">
        <f t="shared" si="91"/>
        <v>3</v>
      </c>
      <c r="G464" s="203">
        <v>51000</v>
      </c>
      <c r="H464" s="203">
        <v>58000</v>
      </c>
      <c r="I464" s="204"/>
      <c r="J464" s="205">
        <f t="shared" si="92"/>
        <v>0</v>
      </c>
      <c r="K464" s="205">
        <f t="shared" si="93"/>
        <v>0</v>
      </c>
      <c r="L464" s="430">
        <f t="shared" si="94"/>
        <v>153000</v>
      </c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 spans="1:26" ht="14.4">
      <c r="A465" s="450"/>
      <c r="B465" s="428" t="s">
        <v>560</v>
      </c>
      <c r="C465" s="431">
        <v>2</v>
      </c>
      <c r="D465" s="321"/>
      <c r="E465" s="321"/>
      <c r="F465" s="429">
        <f t="shared" si="91"/>
        <v>2</v>
      </c>
      <c r="G465" s="203">
        <v>51000</v>
      </c>
      <c r="H465" s="203">
        <v>58000</v>
      </c>
      <c r="I465" s="204"/>
      <c r="J465" s="205">
        <f t="shared" si="92"/>
        <v>0</v>
      </c>
      <c r="K465" s="205">
        <f t="shared" si="93"/>
        <v>0</v>
      </c>
      <c r="L465" s="430">
        <f t="shared" si="94"/>
        <v>102000</v>
      </c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 spans="1:26" ht="14.4">
      <c r="A466" s="450"/>
      <c r="B466" s="428" t="s">
        <v>561</v>
      </c>
      <c r="C466" s="431"/>
      <c r="D466" s="321"/>
      <c r="E466" s="321"/>
      <c r="F466" s="429">
        <f t="shared" si="91"/>
        <v>0</v>
      </c>
      <c r="G466" s="203">
        <v>17286</v>
      </c>
      <c r="H466" s="203">
        <v>20000</v>
      </c>
      <c r="I466" s="204"/>
      <c r="J466" s="205">
        <f t="shared" si="92"/>
        <v>0</v>
      </c>
      <c r="K466" s="205">
        <f t="shared" si="93"/>
        <v>0</v>
      </c>
      <c r="L466" s="430">
        <f t="shared" si="94"/>
        <v>0</v>
      </c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 spans="1:26" ht="14.4">
      <c r="A467" s="450"/>
      <c r="B467" s="428" t="s">
        <v>562</v>
      </c>
      <c r="C467" s="431">
        <v>6</v>
      </c>
      <c r="D467" s="321"/>
      <c r="E467" s="321"/>
      <c r="F467" s="429">
        <f t="shared" si="91"/>
        <v>6</v>
      </c>
      <c r="G467" s="203">
        <v>90324</v>
      </c>
      <c r="H467" s="203">
        <v>92000</v>
      </c>
      <c r="I467" s="204"/>
      <c r="J467" s="205">
        <f t="shared" si="92"/>
        <v>0</v>
      </c>
      <c r="K467" s="205">
        <f t="shared" si="93"/>
        <v>0</v>
      </c>
      <c r="L467" s="430">
        <f t="shared" si="94"/>
        <v>541944</v>
      </c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 spans="1:26" ht="14.4">
      <c r="A468" s="450"/>
      <c r="B468" s="428" t="s">
        <v>563</v>
      </c>
      <c r="C468" s="431">
        <v>2</v>
      </c>
      <c r="D468" s="321"/>
      <c r="E468" s="321"/>
      <c r="F468" s="429">
        <f t="shared" si="91"/>
        <v>2</v>
      </c>
      <c r="G468" s="203">
        <v>65477</v>
      </c>
      <c r="H468" s="203">
        <v>67000</v>
      </c>
      <c r="I468" s="204"/>
      <c r="J468" s="205">
        <f t="shared" si="92"/>
        <v>0</v>
      </c>
      <c r="K468" s="205">
        <f t="shared" si="93"/>
        <v>0</v>
      </c>
      <c r="L468" s="430">
        <f t="shared" si="94"/>
        <v>130954</v>
      </c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 spans="1:26" ht="14.4">
      <c r="A469" s="450"/>
      <c r="B469" s="428" t="s">
        <v>564</v>
      </c>
      <c r="C469" s="431">
        <v>2</v>
      </c>
      <c r="D469" s="321"/>
      <c r="E469" s="321"/>
      <c r="F469" s="429">
        <f t="shared" si="91"/>
        <v>2</v>
      </c>
      <c r="G469" s="203">
        <v>40825</v>
      </c>
      <c r="H469" s="203">
        <v>41000</v>
      </c>
      <c r="I469" s="204"/>
      <c r="J469" s="205">
        <f t="shared" si="92"/>
        <v>0</v>
      </c>
      <c r="K469" s="205">
        <f t="shared" si="93"/>
        <v>0</v>
      </c>
      <c r="L469" s="430">
        <f t="shared" si="94"/>
        <v>81650</v>
      </c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 spans="1:26" ht="14.4">
      <c r="A470" s="450"/>
      <c r="B470" s="428" t="s">
        <v>565</v>
      </c>
      <c r="C470" s="431"/>
      <c r="D470" s="321"/>
      <c r="E470" s="321"/>
      <c r="F470" s="429">
        <f t="shared" si="91"/>
        <v>0</v>
      </c>
      <c r="G470" s="203">
        <v>81000</v>
      </c>
      <c r="H470" s="203">
        <v>84000</v>
      </c>
      <c r="I470" s="204"/>
      <c r="J470" s="205">
        <f t="shared" si="92"/>
        <v>0</v>
      </c>
      <c r="K470" s="205">
        <f t="shared" si="93"/>
        <v>0</v>
      </c>
      <c r="L470" s="430">
        <f t="shared" si="94"/>
        <v>0</v>
      </c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 spans="1:26" ht="14.4">
      <c r="A471" s="450"/>
      <c r="B471" s="428" t="s">
        <v>566</v>
      </c>
      <c r="C471" s="431">
        <v>1</v>
      </c>
      <c r="D471" s="321"/>
      <c r="E471" s="321"/>
      <c r="F471" s="429">
        <f t="shared" si="91"/>
        <v>1</v>
      </c>
      <c r="G471" s="203">
        <v>27900</v>
      </c>
      <c r="H471" s="203">
        <v>29500</v>
      </c>
      <c r="I471" s="204"/>
      <c r="J471" s="205">
        <f t="shared" si="92"/>
        <v>0</v>
      </c>
      <c r="K471" s="205">
        <f t="shared" si="93"/>
        <v>0</v>
      </c>
      <c r="L471" s="430">
        <f t="shared" si="94"/>
        <v>27900</v>
      </c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 spans="1:26" ht="14.4">
      <c r="A472" s="450"/>
      <c r="B472" s="428" t="s">
        <v>567</v>
      </c>
      <c r="C472" s="431">
        <v>1</v>
      </c>
      <c r="D472" s="321"/>
      <c r="E472" s="321"/>
      <c r="F472" s="429">
        <f t="shared" si="91"/>
        <v>1</v>
      </c>
      <c r="G472" s="203">
        <v>25700</v>
      </c>
      <c r="H472" s="203">
        <v>28000</v>
      </c>
      <c r="I472" s="204"/>
      <c r="J472" s="205">
        <f t="shared" si="92"/>
        <v>0</v>
      </c>
      <c r="K472" s="205">
        <f t="shared" si="93"/>
        <v>0</v>
      </c>
      <c r="L472" s="430">
        <f t="shared" si="94"/>
        <v>25700</v>
      </c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 spans="1:26" ht="14.4">
      <c r="A473" s="450"/>
      <c r="B473" s="428" t="s">
        <v>568</v>
      </c>
      <c r="C473" s="431">
        <v>3</v>
      </c>
      <c r="D473" s="321"/>
      <c r="E473" s="321"/>
      <c r="F473" s="429">
        <f t="shared" si="91"/>
        <v>3</v>
      </c>
      <c r="G473" s="203">
        <v>36000</v>
      </c>
      <c r="H473" s="203">
        <v>40000</v>
      </c>
      <c r="I473" s="204"/>
      <c r="J473" s="205">
        <f t="shared" si="92"/>
        <v>0</v>
      </c>
      <c r="K473" s="205">
        <f t="shared" si="93"/>
        <v>0</v>
      </c>
      <c r="L473" s="430">
        <f t="shared" si="94"/>
        <v>108000</v>
      </c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 spans="1:26" ht="14.4">
      <c r="A474" s="450"/>
      <c r="B474" s="428" t="s">
        <v>569</v>
      </c>
      <c r="C474" s="431">
        <v>3</v>
      </c>
      <c r="D474" s="321"/>
      <c r="E474" s="321"/>
      <c r="F474" s="429">
        <f t="shared" si="91"/>
        <v>3</v>
      </c>
      <c r="G474" s="203">
        <v>19800</v>
      </c>
      <c r="H474" s="203">
        <v>24000</v>
      </c>
      <c r="I474" s="204"/>
      <c r="J474" s="205">
        <f t="shared" si="92"/>
        <v>0</v>
      </c>
      <c r="K474" s="205">
        <f t="shared" si="93"/>
        <v>0</v>
      </c>
      <c r="L474" s="430">
        <f t="shared" si="94"/>
        <v>59400</v>
      </c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 spans="1:26" ht="14.4">
      <c r="A475" s="450"/>
      <c r="B475" s="428" t="s">
        <v>570</v>
      </c>
      <c r="C475" s="431">
        <v>1</v>
      </c>
      <c r="D475" s="321"/>
      <c r="E475" s="321"/>
      <c r="F475" s="429">
        <f t="shared" si="91"/>
        <v>1</v>
      </c>
      <c r="G475" s="203">
        <v>24000</v>
      </c>
      <c r="H475" s="203">
        <v>26000</v>
      </c>
      <c r="I475" s="204"/>
      <c r="J475" s="205">
        <f t="shared" si="92"/>
        <v>0</v>
      </c>
      <c r="K475" s="205">
        <f t="shared" si="93"/>
        <v>0</v>
      </c>
      <c r="L475" s="430">
        <f t="shared" si="94"/>
        <v>24000</v>
      </c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 spans="1:26" ht="14.4">
      <c r="A476" s="450"/>
      <c r="B476" s="428" t="s">
        <v>571</v>
      </c>
      <c r="C476" s="431">
        <v>1</v>
      </c>
      <c r="D476" s="321"/>
      <c r="E476" s="321"/>
      <c r="F476" s="429">
        <f t="shared" si="91"/>
        <v>1</v>
      </c>
      <c r="G476" s="203">
        <v>45000</v>
      </c>
      <c r="H476" s="203">
        <v>44000</v>
      </c>
      <c r="I476" s="204"/>
      <c r="J476" s="205">
        <f t="shared" si="92"/>
        <v>0</v>
      </c>
      <c r="K476" s="205">
        <f t="shared" si="93"/>
        <v>0</v>
      </c>
      <c r="L476" s="430">
        <f t="shared" si="94"/>
        <v>45000</v>
      </c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 spans="1:26" ht="14.4">
      <c r="A477" s="450"/>
      <c r="B477" s="428" t="s">
        <v>572</v>
      </c>
      <c r="C477" s="431">
        <v>0</v>
      </c>
      <c r="D477" s="321"/>
      <c r="E477" s="321"/>
      <c r="F477" s="429">
        <f t="shared" si="91"/>
        <v>0</v>
      </c>
      <c r="G477" s="203">
        <v>23000</v>
      </c>
      <c r="H477" s="203">
        <v>28000</v>
      </c>
      <c r="I477" s="204"/>
      <c r="J477" s="205">
        <f t="shared" si="92"/>
        <v>0</v>
      </c>
      <c r="K477" s="205">
        <f t="shared" si="93"/>
        <v>0</v>
      </c>
      <c r="L477" s="430">
        <f t="shared" si="94"/>
        <v>0</v>
      </c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 spans="1:26" ht="14.4">
      <c r="A478" s="450"/>
      <c r="B478" s="428" t="s">
        <v>573</v>
      </c>
      <c r="C478" s="431">
        <v>1</v>
      </c>
      <c r="D478" s="321"/>
      <c r="E478" s="321"/>
      <c r="F478" s="429">
        <f t="shared" si="91"/>
        <v>1</v>
      </c>
      <c r="G478" s="203">
        <v>38000</v>
      </c>
      <c r="H478" s="203">
        <v>41000</v>
      </c>
      <c r="I478" s="204"/>
      <c r="J478" s="205">
        <f t="shared" si="92"/>
        <v>0</v>
      </c>
      <c r="K478" s="205">
        <f t="shared" si="93"/>
        <v>0</v>
      </c>
      <c r="L478" s="430">
        <f t="shared" si="94"/>
        <v>38000</v>
      </c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 spans="1:26" ht="14.4">
      <c r="A479" s="450"/>
      <c r="B479" s="428" t="s">
        <v>574</v>
      </c>
      <c r="C479" s="431"/>
      <c r="D479" s="321"/>
      <c r="E479" s="321"/>
      <c r="F479" s="429">
        <f t="shared" si="91"/>
        <v>0</v>
      </c>
      <c r="G479" s="203">
        <v>35000</v>
      </c>
      <c r="H479" s="203">
        <v>40000</v>
      </c>
      <c r="I479" s="204"/>
      <c r="J479" s="205">
        <f t="shared" si="92"/>
        <v>0</v>
      </c>
      <c r="K479" s="205">
        <f t="shared" si="93"/>
        <v>0</v>
      </c>
      <c r="L479" s="430">
        <f t="shared" si="94"/>
        <v>0</v>
      </c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 spans="1:26" ht="14.4">
      <c r="A480" s="450"/>
      <c r="B480" s="428" t="s">
        <v>575</v>
      </c>
      <c r="C480" s="431">
        <v>11</v>
      </c>
      <c r="D480" s="321"/>
      <c r="E480" s="321"/>
      <c r="F480" s="429">
        <f t="shared" si="91"/>
        <v>11</v>
      </c>
      <c r="G480" s="203">
        <v>31500</v>
      </c>
      <c r="H480" s="203">
        <v>35000</v>
      </c>
      <c r="I480" s="204"/>
      <c r="J480" s="205">
        <f t="shared" si="92"/>
        <v>0</v>
      </c>
      <c r="K480" s="205">
        <f t="shared" si="93"/>
        <v>0</v>
      </c>
      <c r="L480" s="430">
        <f t="shared" si="94"/>
        <v>346500</v>
      </c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 spans="1:26" ht="14.4">
      <c r="A481" s="450"/>
      <c r="B481" s="428" t="s">
        <v>576</v>
      </c>
      <c r="C481" s="431">
        <v>1</v>
      </c>
      <c r="D481" s="321"/>
      <c r="E481" s="321"/>
      <c r="F481" s="429">
        <f t="shared" si="91"/>
        <v>1</v>
      </c>
      <c r="G481" s="203">
        <v>36000</v>
      </c>
      <c r="H481" s="203">
        <v>48000</v>
      </c>
      <c r="I481" s="204"/>
      <c r="J481" s="205">
        <f t="shared" si="92"/>
        <v>0</v>
      </c>
      <c r="K481" s="205">
        <f t="shared" si="93"/>
        <v>0</v>
      </c>
      <c r="L481" s="430">
        <f t="shared" si="94"/>
        <v>36000</v>
      </c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 spans="1:26" ht="14.4">
      <c r="A482" s="450"/>
      <c r="B482" s="428" t="s">
        <v>577</v>
      </c>
      <c r="C482" s="431">
        <v>1</v>
      </c>
      <c r="D482" s="321"/>
      <c r="E482" s="321"/>
      <c r="F482" s="429">
        <f t="shared" si="91"/>
        <v>1</v>
      </c>
      <c r="G482" s="203">
        <v>34908</v>
      </c>
      <c r="H482" s="203">
        <v>37000</v>
      </c>
      <c r="I482" s="204"/>
      <c r="J482" s="205">
        <f t="shared" si="92"/>
        <v>0</v>
      </c>
      <c r="K482" s="205">
        <f t="shared" si="93"/>
        <v>0</v>
      </c>
      <c r="L482" s="430">
        <f t="shared" si="94"/>
        <v>34908</v>
      </c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 spans="1:26" ht="14.4">
      <c r="A483" s="450"/>
      <c r="B483" s="428" t="s">
        <v>578</v>
      </c>
      <c r="C483" s="321"/>
      <c r="D483" s="321"/>
      <c r="E483" s="321"/>
      <c r="F483" s="429">
        <f t="shared" si="91"/>
        <v>0</v>
      </c>
      <c r="G483" s="203">
        <v>9266</v>
      </c>
      <c r="H483" s="203">
        <v>12500</v>
      </c>
      <c r="I483" s="204"/>
      <c r="J483" s="205">
        <f t="shared" si="92"/>
        <v>0</v>
      </c>
      <c r="K483" s="205">
        <f t="shared" si="93"/>
        <v>0</v>
      </c>
      <c r="L483" s="430">
        <f t="shared" si="94"/>
        <v>0</v>
      </c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 spans="1:26" ht="14.4">
      <c r="A484" s="450"/>
      <c r="B484" s="428" t="s">
        <v>579</v>
      </c>
      <c r="C484" s="431">
        <v>25</v>
      </c>
      <c r="D484" s="321"/>
      <c r="E484" s="321"/>
      <c r="F484" s="429">
        <f t="shared" si="91"/>
        <v>25</v>
      </c>
      <c r="G484" s="203">
        <v>10400</v>
      </c>
      <c r="H484" s="203">
        <v>13000</v>
      </c>
      <c r="I484" s="204"/>
      <c r="J484" s="205">
        <f t="shared" si="92"/>
        <v>0</v>
      </c>
      <c r="K484" s="205">
        <f t="shared" si="93"/>
        <v>0</v>
      </c>
      <c r="L484" s="430">
        <f t="shared" si="94"/>
        <v>260000</v>
      </c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 spans="1:26" ht="14.4">
      <c r="A485" s="450"/>
      <c r="B485" s="428" t="s">
        <v>580</v>
      </c>
      <c r="C485" s="431">
        <v>6</v>
      </c>
      <c r="D485" s="321"/>
      <c r="E485" s="321"/>
      <c r="F485" s="429">
        <f t="shared" si="91"/>
        <v>6</v>
      </c>
      <c r="G485" s="203">
        <v>18000</v>
      </c>
      <c r="H485" s="203">
        <v>20000</v>
      </c>
      <c r="I485" s="204"/>
      <c r="J485" s="205">
        <f t="shared" si="92"/>
        <v>0</v>
      </c>
      <c r="K485" s="205">
        <f t="shared" si="93"/>
        <v>0</v>
      </c>
      <c r="L485" s="430">
        <f t="shared" si="94"/>
        <v>108000</v>
      </c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 spans="1:26" ht="14.4">
      <c r="A486" s="450"/>
      <c r="B486" s="428" t="s">
        <v>581</v>
      </c>
      <c r="C486" s="431"/>
      <c r="D486" s="321"/>
      <c r="E486" s="321"/>
      <c r="F486" s="429">
        <f t="shared" si="91"/>
        <v>0</v>
      </c>
      <c r="G486" s="203">
        <v>85000</v>
      </c>
      <c r="H486" s="203">
        <v>89000</v>
      </c>
      <c r="I486" s="204"/>
      <c r="J486" s="205">
        <f t="shared" si="92"/>
        <v>0</v>
      </c>
      <c r="K486" s="205">
        <f t="shared" si="93"/>
        <v>0</v>
      </c>
      <c r="L486" s="430">
        <f t="shared" si="94"/>
        <v>0</v>
      </c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 spans="1:26" ht="14.4">
      <c r="A487" s="450"/>
      <c r="B487" s="428" t="s">
        <v>582</v>
      </c>
      <c r="C487" s="431">
        <v>5</v>
      </c>
      <c r="D487" s="321"/>
      <c r="E487" s="321"/>
      <c r="F487" s="429">
        <f t="shared" si="91"/>
        <v>5</v>
      </c>
      <c r="G487" s="203">
        <v>41000</v>
      </c>
      <c r="H487" s="203">
        <v>46000</v>
      </c>
      <c r="I487" s="204"/>
      <c r="J487" s="205">
        <f t="shared" si="92"/>
        <v>0</v>
      </c>
      <c r="K487" s="205">
        <f t="shared" si="93"/>
        <v>0</v>
      </c>
      <c r="L487" s="430">
        <f t="shared" si="94"/>
        <v>205000</v>
      </c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 spans="1:26" ht="14.4">
      <c r="A488" s="450"/>
      <c r="B488" s="428" t="s">
        <v>583</v>
      </c>
      <c r="C488" s="431">
        <v>3</v>
      </c>
      <c r="D488" s="321"/>
      <c r="E488" s="321"/>
      <c r="F488" s="429">
        <f t="shared" si="91"/>
        <v>3</v>
      </c>
      <c r="G488" s="203">
        <v>138000</v>
      </c>
      <c r="H488" s="203">
        <v>141000</v>
      </c>
      <c r="I488" s="204"/>
      <c r="J488" s="205">
        <f t="shared" si="92"/>
        <v>0</v>
      </c>
      <c r="K488" s="205">
        <f t="shared" si="93"/>
        <v>0</v>
      </c>
      <c r="L488" s="430">
        <f t="shared" si="94"/>
        <v>414000</v>
      </c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 spans="1:26" ht="14.4">
      <c r="A489" s="450"/>
      <c r="B489" s="428" t="s">
        <v>584</v>
      </c>
      <c r="C489" s="431">
        <v>3</v>
      </c>
      <c r="D489" s="321"/>
      <c r="E489" s="321"/>
      <c r="F489" s="429">
        <f t="shared" si="91"/>
        <v>3</v>
      </c>
      <c r="G489" s="203">
        <f>23600</f>
        <v>23600</v>
      </c>
      <c r="H489" s="203">
        <v>26000</v>
      </c>
      <c r="I489" s="204"/>
      <c r="J489" s="205">
        <f t="shared" si="92"/>
        <v>0</v>
      </c>
      <c r="K489" s="205">
        <f t="shared" si="93"/>
        <v>0</v>
      </c>
      <c r="L489" s="430">
        <f t="shared" si="94"/>
        <v>70800</v>
      </c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 spans="1:26" ht="14.4">
      <c r="A490" s="450"/>
      <c r="B490" s="428" t="s">
        <v>585</v>
      </c>
      <c r="C490" s="431">
        <v>1</v>
      </c>
      <c r="D490" s="321"/>
      <c r="E490" s="321"/>
      <c r="F490" s="429">
        <f t="shared" si="91"/>
        <v>1</v>
      </c>
      <c r="G490" s="203">
        <v>13513</v>
      </c>
      <c r="H490" s="203">
        <v>16000</v>
      </c>
      <c r="I490" s="204"/>
      <c r="J490" s="205">
        <f t="shared" si="92"/>
        <v>0</v>
      </c>
      <c r="K490" s="205">
        <f t="shared" si="93"/>
        <v>0</v>
      </c>
      <c r="L490" s="430">
        <f t="shared" si="94"/>
        <v>13513</v>
      </c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 spans="1:26" ht="14.4">
      <c r="A491" s="450"/>
      <c r="B491" s="428" t="s">
        <v>586</v>
      </c>
      <c r="C491" s="321">
        <v>5</v>
      </c>
      <c r="D491" s="321"/>
      <c r="E491" s="321"/>
      <c r="F491" s="429">
        <f t="shared" si="91"/>
        <v>5</v>
      </c>
      <c r="G491" s="203">
        <v>9450</v>
      </c>
      <c r="H491" s="203">
        <v>13000</v>
      </c>
      <c r="I491" s="204"/>
      <c r="J491" s="205">
        <f t="shared" si="92"/>
        <v>0</v>
      </c>
      <c r="K491" s="205">
        <f t="shared" si="93"/>
        <v>0</v>
      </c>
      <c r="L491" s="430">
        <f t="shared" si="94"/>
        <v>47250</v>
      </c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 spans="1:26" ht="14.4">
      <c r="A492" s="450"/>
      <c r="B492" s="428" t="s">
        <v>587</v>
      </c>
      <c r="C492" s="431">
        <v>1</v>
      </c>
      <c r="D492" s="321"/>
      <c r="E492" s="321"/>
      <c r="F492" s="429">
        <f t="shared" si="91"/>
        <v>1</v>
      </c>
      <c r="G492" s="203">
        <v>21000</v>
      </c>
      <c r="H492" s="203">
        <v>13000</v>
      </c>
      <c r="I492" s="204"/>
      <c r="J492" s="205">
        <f t="shared" si="92"/>
        <v>0</v>
      </c>
      <c r="K492" s="205">
        <f t="shared" si="93"/>
        <v>0</v>
      </c>
      <c r="L492" s="430">
        <f t="shared" si="94"/>
        <v>21000</v>
      </c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 spans="1:26" ht="14.4">
      <c r="A493" s="450"/>
      <c r="B493" s="428" t="s">
        <v>588</v>
      </c>
      <c r="C493" s="321">
        <v>20</v>
      </c>
      <c r="D493" s="321"/>
      <c r="E493" s="321"/>
      <c r="F493" s="429">
        <f t="shared" si="91"/>
        <v>20</v>
      </c>
      <c r="G493" s="203">
        <v>54310</v>
      </c>
      <c r="H493" s="203">
        <v>58000</v>
      </c>
      <c r="I493" s="204"/>
      <c r="J493" s="205">
        <f t="shared" si="92"/>
        <v>0</v>
      </c>
      <c r="K493" s="205">
        <f t="shared" si="93"/>
        <v>0</v>
      </c>
      <c r="L493" s="430">
        <f t="shared" si="94"/>
        <v>1086200</v>
      </c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 spans="1:26" ht="14.4">
      <c r="A494" s="450"/>
      <c r="B494" s="428" t="s">
        <v>589</v>
      </c>
      <c r="C494" s="431">
        <v>2</v>
      </c>
      <c r="D494" s="321"/>
      <c r="E494" s="321"/>
      <c r="F494" s="429">
        <f t="shared" si="91"/>
        <v>2</v>
      </c>
      <c r="G494" s="203">
        <v>14640</v>
      </c>
      <c r="H494" s="203">
        <v>16000</v>
      </c>
      <c r="I494" s="204"/>
      <c r="J494" s="205">
        <f t="shared" si="92"/>
        <v>0</v>
      </c>
      <c r="K494" s="205">
        <f t="shared" si="93"/>
        <v>0</v>
      </c>
      <c r="L494" s="430">
        <f t="shared" si="94"/>
        <v>29280</v>
      </c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 spans="1:26" ht="14.4">
      <c r="A495" s="450"/>
      <c r="B495" s="428" t="s">
        <v>590</v>
      </c>
      <c r="C495" s="431">
        <v>0</v>
      </c>
      <c r="D495" s="321"/>
      <c r="E495" s="321"/>
      <c r="F495" s="429">
        <f t="shared" si="91"/>
        <v>0</v>
      </c>
      <c r="G495" s="203">
        <v>6300</v>
      </c>
      <c r="H495" s="203">
        <v>9000</v>
      </c>
      <c r="I495" s="204"/>
      <c r="J495" s="205">
        <f t="shared" si="92"/>
        <v>0</v>
      </c>
      <c r="K495" s="205">
        <f t="shared" si="93"/>
        <v>0</v>
      </c>
      <c r="L495" s="430">
        <f t="shared" si="94"/>
        <v>0</v>
      </c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 spans="1:26" ht="14.4">
      <c r="A496" s="450"/>
      <c r="B496" s="428" t="s">
        <v>591</v>
      </c>
      <c r="C496" s="431">
        <v>0</v>
      </c>
      <c r="D496" s="321"/>
      <c r="E496" s="321"/>
      <c r="F496" s="429">
        <f t="shared" si="91"/>
        <v>0</v>
      </c>
      <c r="G496" s="203">
        <v>16800</v>
      </c>
      <c r="H496" s="203">
        <v>19000</v>
      </c>
      <c r="I496" s="204"/>
      <c r="J496" s="205">
        <f t="shared" si="92"/>
        <v>0</v>
      </c>
      <c r="K496" s="205">
        <f t="shared" si="93"/>
        <v>0</v>
      </c>
      <c r="L496" s="430">
        <f t="shared" si="94"/>
        <v>0</v>
      </c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 spans="1:26" ht="14.4">
      <c r="A497" s="450"/>
      <c r="B497" s="428" t="s">
        <v>592</v>
      </c>
      <c r="C497" s="431">
        <v>6</v>
      </c>
      <c r="D497" s="321"/>
      <c r="E497" s="321"/>
      <c r="F497" s="429">
        <f t="shared" si="91"/>
        <v>6</v>
      </c>
      <c r="G497" s="203">
        <v>27000</v>
      </c>
      <c r="H497" s="203">
        <v>30000</v>
      </c>
      <c r="I497" s="204"/>
      <c r="J497" s="205">
        <f t="shared" si="92"/>
        <v>0</v>
      </c>
      <c r="K497" s="205">
        <f t="shared" si="93"/>
        <v>0</v>
      </c>
      <c r="L497" s="430">
        <f t="shared" si="94"/>
        <v>162000</v>
      </c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 spans="1:26" ht="14.4">
      <c r="A498" s="450"/>
      <c r="B498" s="428" t="s">
        <v>593</v>
      </c>
      <c r="C498" s="431">
        <v>2</v>
      </c>
      <c r="D498" s="321"/>
      <c r="E498" s="321"/>
      <c r="F498" s="429">
        <f t="shared" si="91"/>
        <v>2</v>
      </c>
      <c r="G498" s="203">
        <v>20000</v>
      </c>
      <c r="H498" s="203">
        <v>22000</v>
      </c>
      <c r="I498" s="204"/>
      <c r="J498" s="205">
        <f t="shared" si="92"/>
        <v>0</v>
      </c>
      <c r="K498" s="205">
        <f t="shared" si="93"/>
        <v>0</v>
      </c>
      <c r="L498" s="430">
        <f t="shared" si="94"/>
        <v>40000</v>
      </c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 spans="1:26" ht="14.4">
      <c r="A499" s="450"/>
      <c r="B499" s="428" t="s">
        <v>594</v>
      </c>
      <c r="C499" s="431">
        <v>7</v>
      </c>
      <c r="D499" s="321"/>
      <c r="E499" s="321"/>
      <c r="F499" s="429">
        <f t="shared" si="91"/>
        <v>7</v>
      </c>
      <c r="G499" s="203">
        <v>40000</v>
      </c>
      <c r="H499" s="203">
        <v>55000</v>
      </c>
      <c r="I499" s="204"/>
      <c r="J499" s="205">
        <f t="shared" si="92"/>
        <v>0</v>
      </c>
      <c r="K499" s="205">
        <f t="shared" si="93"/>
        <v>0</v>
      </c>
      <c r="L499" s="430">
        <f t="shared" si="94"/>
        <v>280000</v>
      </c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 spans="1:26" ht="14.4">
      <c r="A500" s="450"/>
      <c r="B500" s="428" t="s">
        <v>595</v>
      </c>
      <c r="C500" s="431">
        <v>0</v>
      </c>
      <c r="D500" s="321"/>
      <c r="E500" s="321"/>
      <c r="F500" s="429">
        <f t="shared" si="91"/>
        <v>0</v>
      </c>
      <c r="G500" s="203">
        <v>7900</v>
      </c>
      <c r="H500" s="203">
        <v>11000</v>
      </c>
      <c r="I500" s="204"/>
      <c r="J500" s="205">
        <f t="shared" si="92"/>
        <v>0</v>
      </c>
      <c r="K500" s="205">
        <f t="shared" si="93"/>
        <v>0</v>
      </c>
      <c r="L500" s="430">
        <f t="shared" si="94"/>
        <v>0</v>
      </c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 spans="1:26" ht="14.4">
      <c r="A501" s="450"/>
      <c r="B501" s="428" t="s">
        <v>596</v>
      </c>
      <c r="C501" s="431">
        <v>18</v>
      </c>
      <c r="D501" s="321"/>
      <c r="E501" s="321"/>
      <c r="F501" s="429">
        <f t="shared" si="91"/>
        <v>18</v>
      </c>
      <c r="G501" s="203">
        <v>18327</v>
      </c>
      <c r="H501" s="203">
        <v>21000</v>
      </c>
      <c r="I501" s="204"/>
      <c r="J501" s="205">
        <f t="shared" si="92"/>
        <v>0</v>
      </c>
      <c r="K501" s="205">
        <f t="shared" si="93"/>
        <v>0</v>
      </c>
      <c r="L501" s="430">
        <f t="shared" si="94"/>
        <v>329886</v>
      </c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 spans="1:26" ht="14.4">
      <c r="A502" s="450"/>
      <c r="B502" s="428" t="s">
        <v>597</v>
      </c>
      <c r="C502" s="431">
        <v>2</v>
      </c>
      <c r="D502" s="321"/>
      <c r="E502" s="321"/>
      <c r="F502" s="429">
        <f t="shared" si="91"/>
        <v>2</v>
      </c>
      <c r="G502" s="203">
        <v>19800</v>
      </c>
      <c r="H502" s="203">
        <v>23000</v>
      </c>
      <c r="I502" s="204"/>
      <c r="J502" s="205">
        <f t="shared" si="92"/>
        <v>0</v>
      </c>
      <c r="K502" s="205">
        <f t="shared" si="93"/>
        <v>0</v>
      </c>
      <c r="L502" s="430">
        <f t="shared" si="94"/>
        <v>39600</v>
      </c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 spans="1:26" ht="14.4">
      <c r="A503" s="450"/>
      <c r="B503" s="428" t="s">
        <v>598</v>
      </c>
      <c r="C503" s="431">
        <v>2</v>
      </c>
      <c r="D503" s="321"/>
      <c r="E503" s="321"/>
      <c r="F503" s="429">
        <f t="shared" si="91"/>
        <v>2</v>
      </c>
      <c r="G503" s="203">
        <v>18650</v>
      </c>
      <c r="H503" s="203">
        <v>21000</v>
      </c>
      <c r="I503" s="204"/>
      <c r="J503" s="205">
        <f t="shared" si="92"/>
        <v>0</v>
      </c>
      <c r="K503" s="205">
        <f t="shared" si="93"/>
        <v>0</v>
      </c>
      <c r="L503" s="430">
        <f t="shared" si="94"/>
        <v>37300</v>
      </c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 spans="1:26" ht="14.4">
      <c r="A504" s="450"/>
      <c r="B504" s="451" t="s">
        <v>599</v>
      </c>
      <c r="C504" s="431">
        <v>12</v>
      </c>
      <c r="D504" s="321"/>
      <c r="E504" s="321"/>
      <c r="F504" s="429">
        <f t="shared" si="91"/>
        <v>12</v>
      </c>
      <c r="G504" s="203">
        <v>17000</v>
      </c>
      <c r="H504" s="203">
        <v>20000</v>
      </c>
      <c r="I504" s="204"/>
      <c r="J504" s="205">
        <f t="shared" si="92"/>
        <v>0</v>
      </c>
      <c r="K504" s="205">
        <f t="shared" si="93"/>
        <v>0</v>
      </c>
      <c r="L504" s="430">
        <f t="shared" si="94"/>
        <v>204000</v>
      </c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 spans="1:26" ht="14.4">
      <c r="A505" s="450"/>
      <c r="B505" s="451" t="s">
        <v>600</v>
      </c>
      <c r="C505" s="321">
        <v>1</v>
      </c>
      <c r="D505" s="321"/>
      <c r="E505" s="321"/>
      <c r="F505" s="429">
        <f t="shared" si="91"/>
        <v>1</v>
      </c>
      <c r="G505" s="203">
        <v>54000</v>
      </c>
      <c r="H505" s="203">
        <v>59000</v>
      </c>
      <c r="I505" s="204"/>
      <c r="J505" s="205">
        <f t="shared" si="92"/>
        <v>0</v>
      </c>
      <c r="K505" s="205">
        <f t="shared" si="93"/>
        <v>0</v>
      </c>
      <c r="L505" s="430">
        <f t="shared" si="94"/>
        <v>54000</v>
      </c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 spans="1:26" ht="14.4">
      <c r="A506" s="450"/>
      <c r="B506" s="451" t="s">
        <v>601</v>
      </c>
      <c r="C506" s="431">
        <v>0</v>
      </c>
      <c r="D506" s="321"/>
      <c r="E506" s="321"/>
      <c r="F506" s="429">
        <f t="shared" si="91"/>
        <v>0</v>
      </c>
      <c r="G506" s="203">
        <v>29000</v>
      </c>
      <c r="H506" s="203">
        <v>31800</v>
      </c>
      <c r="I506" s="204"/>
      <c r="J506" s="205">
        <f t="shared" si="92"/>
        <v>0</v>
      </c>
      <c r="K506" s="205">
        <f t="shared" si="93"/>
        <v>0</v>
      </c>
      <c r="L506" s="430">
        <f t="shared" si="94"/>
        <v>0</v>
      </c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 spans="1:26" ht="14.4">
      <c r="A507" s="450"/>
      <c r="B507" s="451" t="s">
        <v>602</v>
      </c>
      <c r="C507" s="431">
        <v>1</v>
      </c>
      <c r="D507" s="321"/>
      <c r="E507" s="321"/>
      <c r="F507" s="429">
        <f t="shared" si="91"/>
        <v>1</v>
      </c>
      <c r="G507" s="203">
        <v>29500</v>
      </c>
      <c r="H507" s="203">
        <v>32000</v>
      </c>
      <c r="I507" s="204"/>
      <c r="J507" s="205">
        <f t="shared" si="92"/>
        <v>0</v>
      </c>
      <c r="K507" s="205">
        <f t="shared" si="93"/>
        <v>0</v>
      </c>
      <c r="L507" s="430">
        <f t="shared" si="94"/>
        <v>29500</v>
      </c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 spans="1:26" ht="14.4">
      <c r="A508" s="450"/>
      <c r="B508" s="451" t="s">
        <v>603</v>
      </c>
      <c r="C508" s="431">
        <v>1</v>
      </c>
      <c r="D508" s="321"/>
      <c r="E508" s="321"/>
      <c r="F508" s="429">
        <f t="shared" si="91"/>
        <v>1</v>
      </c>
      <c r="G508" s="203">
        <v>48000</v>
      </c>
      <c r="H508" s="203">
        <v>52000</v>
      </c>
      <c r="I508" s="204"/>
      <c r="J508" s="205">
        <f t="shared" si="92"/>
        <v>0</v>
      </c>
      <c r="K508" s="205">
        <f t="shared" si="93"/>
        <v>0</v>
      </c>
      <c r="L508" s="430">
        <f t="shared" si="94"/>
        <v>48000</v>
      </c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 spans="1:26" ht="14.4">
      <c r="A509" s="450"/>
      <c r="B509" s="451" t="s">
        <v>604</v>
      </c>
      <c r="C509" s="431">
        <v>1</v>
      </c>
      <c r="D509" s="321"/>
      <c r="E509" s="321"/>
      <c r="F509" s="429">
        <f t="shared" si="91"/>
        <v>1</v>
      </c>
      <c r="G509" s="203">
        <v>50000</v>
      </c>
      <c r="H509" s="203">
        <v>54000</v>
      </c>
      <c r="I509" s="204"/>
      <c r="J509" s="205">
        <f t="shared" si="92"/>
        <v>0</v>
      </c>
      <c r="K509" s="205">
        <f t="shared" si="93"/>
        <v>0</v>
      </c>
      <c r="L509" s="430">
        <f t="shared" si="94"/>
        <v>50000</v>
      </c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 spans="1:26" ht="14.4">
      <c r="A510" s="450"/>
      <c r="B510" s="451" t="s">
        <v>605</v>
      </c>
      <c r="C510" s="431">
        <v>1</v>
      </c>
      <c r="D510" s="321"/>
      <c r="E510" s="321"/>
      <c r="F510" s="429">
        <f t="shared" si="91"/>
        <v>1</v>
      </c>
      <c r="G510" s="203">
        <v>42000</v>
      </c>
      <c r="H510" s="203">
        <v>46000</v>
      </c>
      <c r="I510" s="204"/>
      <c r="J510" s="205">
        <f t="shared" si="92"/>
        <v>0</v>
      </c>
      <c r="K510" s="205">
        <f t="shared" si="93"/>
        <v>0</v>
      </c>
      <c r="L510" s="430">
        <f t="shared" si="94"/>
        <v>42000</v>
      </c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 spans="1:26" ht="14.4">
      <c r="A511" s="450"/>
      <c r="B511" s="451" t="s">
        <v>606</v>
      </c>
      <c r="C511" s="431">
        <v>7</v>
      </c>
      <c r="D511" s="321"/>
      <c r="E511" s="321"/>
      <c r="F511" s="429">
        <f t="shared" si="91"/>
        <v>7</v>
      </c>
      <c r="G511" s="203">
        <v>34000</v>
      </c>
      <c r="H511" s="203">
        <v>38000</v>
      </c>
      <c r="I511" s="204"/>
      <c r="J511" s="205">
        <f t="shared" si="92"/>
        <v>0</v>
      </c>
      <c r="K511" s="205">
        <f t="shared" si="93"/>
        <v>0</v>
      </c>
      <c r="L511" s="430">
        <f t="shared" si="94"/>
        <v>238000</v>
      </c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 spans="1:26" ht="14.4">
      <c r="A512" s="450"/>
      <c r="B512" s="451" t="s">
        <v>607</v>
      </c>
      <c r="C512" s="431">
        <v>26</v>
      </c>
      <c r="D512" s="321"/>
      <c r="E512" s="321"/>
      <c r="F512" s="429">
        <f t="shared" si="91"/>
        <v>26</v>
      </c>
      <c r="G512" s="203">
        <v>18000</v>
      </c>
      <c r="H512" s="203">
        <v>21000</v>
      </c>
      <c r="I512" s="204"/>
      <c r="J512" s="205">
        <f t="shared" si="92"/>
        <v>0</v>
      </c>
      <c r="K512" s="205">
        <f t="shared" si="93"/>
        <v>0</v>
      </c>
      <c r="L512" s="430">
        <f t="shared" si="94"/>
        <v>468000</v>
      </c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 spans="1:26" ht="14.4">
      <c r="A513" s="450"/>
      <c r="B513" s="451" t="s">
        <v>608</v>
      </c>
      <c r="C513" s="431">
        <v>1</v>
      </c>
      <c r="D513" s="321"/>
      <c r="E513" s="321"/>
      <c r="F513" s="429">
        <f t="shared" si="91"/>
        <v>1</v>
      </c>
      <c r="G513" s="203">
        <v>33000</v>
      </c>
      <c r="H513" s="203">
        <v>36000</v>
      </c>
      <c r="I513" s="204"/>
      <c r="J513" s="205">
        <f t="shared" si="92"/>
        <v>0</v>
      </c>
      <c r="K513" s="205">
        <f t="shared" si="93"/>
        <v>0</v>
      </c>
      <c r="L513" s="430">
        <f t="shared" si="94"/>
        <v>33000</v>
      </c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 spans="1:26" ht="14.4">
      <c r="A514" s="450"/>
      <c r="B514" s="451" t="s">
        <v>609</v>
      </c>
      <c r="C514" s="431">
        <v>5</v>
      </c>
      <c r="D514" s="321"/>
      <c r="E514" s="321"/>
      <c r="F514" s="429">
        <f t="shared" si="91"/>
        <v>5</v>
      </c>
      <c r="G514" s="203">
        <v>14500</v>
      </c>
      <c r="H514" s="203">
        <v>16000</v>
      </c>
      <c r="I514" s="204"/>
      <c r="J514" s="205">
        <f t="shared" si="92"/>
        <v>0</v>
      </c>
      <c r="K514" s="205">
        <f t="shared" si="93"/>
        <v>0</v>
      </c>
      <c r="L514" s="430">
        <f t="shared" si="94"/>
        <v>72500</v>
      </c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 spans="1:26" ht="14.4">
      <c r="A515" s="450"/>
      <c r="B515" s="451" t="s">
        <v>610</v>
      </c>
      <c r="C515" s="431">
        <v>3</v>
      </c>
      <c r="D515" s="321"/>
      <c r="E515" s="321"/>
      <c r="F515" s="429">
        <f t="shared" si="91"/>
        <v>3</v>
      </c>
      <c r="G515" s="203">
        <f>136685/4</f>
        <v>34171.25</v>
      </c>
      <c r="H515" s="203">
        <v>38000</v>
      </c>
      <c r="I515" s="204"/>
      <c r="J515" s="205">
        <f t="shared" si="92"/>
        <v>0</v>
      </c>
      <c r="K515" s="205">
        <f t="shared" si="93"/>
        <v>0</v>
      </c>
      <c r="L515" s="430">
        <f t="shared" si="94"/>
        <v>102513.75</v>
      </c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 spans="1:26" ht="14.4">
      <c r="A516" s="450"/>
      <c r="B516" s="451" t="s">
        <v>611</v>
      </c>
      <c r="C516" s="431">
        <v>5</v>
      </c>
      <c r="D516" s="321"/>
      <c r="E516" s="321"/>
      <c r="F516" s="429">
        <f t="shared" si="91"/>
        <v>5</v>
      </c>
      <c r="G516" s="203">
        <v>24000</v>
      </c>
      <c r="H516" s="203">
        <v>26000</v>
      </c>
      <c r="I516" s="204"/>
      <c r="J516" s="205">
        <f t="shared" si="92"/>
        <v>0</v>
      </c>
      <c r="K516" s="205">
        <f t="shared" si="93"/>
        <v>0</v>
      </c>
      <c r="L516" s="430">
        <f t="shared" si="94"/>
        <v>120000</v>
      </c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 spans="1:26" ht="14.4">
      <c r="A517" s="450"/>
      <c r="B517" s="451" t="s">
        <v>612</v>
      </c>
      <c r="C517" s="431">
        <v>3</v>
      </c>
      <c r="D517" s="321"/>
      <c r="E517" s="321"/>
      <c r="F517" s="429">
        <f t="shared" si="91"/>
        <v>3</v>
      </c>
      <c r="G517" s="203">
        <v>16000</v>
      </c>
      <c r="H517" s="203">
        <v>18000</v>
      </c>
      <c r="I517" s="204"/>
      <c r="J517" s="205">
        <f t="shared" si="92"/>
        <v>0</v>
      </c>
      <c r="K517" s="205">
        <f t="shared" si="93"/>
        <v>0</v>
      </c>
      <c r="L517" s="430">
        <f t="shared" si="94"/>
        <v>48000</v>
      </c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 spans="1:26" ht="14.4">
      <c r="A518" s="450"/>
      <c r="B518" s="451" t="s">
        <v>613</v>
      </c>
      <c r="C518" s="431"/>
      <c r="D518" s="321"/>
      <c r="E518" s="321"/>
      <c r="F518" s="429">
        <f t="shared" si="91"/>
        <v>0</v>
      </c>
      <c r="G518" s="203">
        <v>9900</v>
      </c>
      <c r="H518" s="203">
        <v>11500</v>
      </c>
      <c r="I518" s="204"/>
      <c r="J518" s="205">
        <f t="shared" si="92"/>
        <v>0</v>
      </c>
      <c r="K518" s="205">
        <f t="shared" si="93"/>
        <v>0</v>
      </c>
      <c r="L518" s="430">
        <f t="shared" si="94"/>
        <v>0</v>
      </c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 spans="1:26" ht="14.4">
      <c r="A519" s="450"/>
      <c r="B519" s="451" t="s">
        <v>614</v>
      </c>
      <c r="C519" s="431">
        <v>2</v>
      </c>
      <c r="D519" s="321"/>
      <c r="E519" s="321"/>
      <c r="F519" s="429">
        <f t="shared" si="91"/>
        <v>2</v>
      </c>
      <c r="G519" s="203">
        <v>75000</v>
      </c>
      <c r="H519" s="203">
        <v>80000</v>
      </c>
      <c r="I519" s="204"/>
      <c r="J519" s="205">
        <f t="shared" si="92"/>
        <v>0</v>
      </c>
      <c r="K519" s="205">
        <f t="shared" si="93"/>
        <v>0</v>
      </c>
      <c r="L519" s="430">
        <f t="shared" si="94"/>
        <v>150000</v>
      </c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 spans="1:26" ht="14.4">
      <c r="A520" s="450"/>
      <c r="B520" s="451" t="s">
        <v>615</v>
      </c>
      <c r="C520" s="321">
        <v>3</v>
      </c>
      <c r="D520" s="321"/>
      <c r="E520" s="321"/>
      <c r="F520" s="429">
        <f t="shared" si="91"/>
        <v>3</v>
      </c>
      <c r="G520" s="203">
        <v>129187</v>
      </c>
      <c r="H520" s="203">
        <v>131000</v>
      </c>
      <c r="I520" s="204"/>
      <c r="J520" s="205">
        <f t="shared" si="92"/>
        <v>0</v>
      </c>
      <c r="K520" s="205">
        <f t="shared" si="93"/>
        <v>0</v>
      </c>
      <c r="L520" s="430">
        <f t="shared" si="94"/>
        <v>387561</v>
      </c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 spans="1:26" ht="14.4">
      <c r="A521" s="450"/>
      <c r="B521" s="451" t="s">
        <v>616</v>
      </c>
      <c r="C521" s="431">
        <v>0</v>
      </c>
      <c r="D521" s="321"/>
      <c r="E521" s="321"/>
      <c r="F521" s="429">
        <f t="shared" si="91"/>
        <v>0</v>
      </c>
      <c r="G521" s="203">
        <v>11000</v>
      </c>
      <c r="H521" s="203">
        <v>13000</v>
      </c>
      <c r="I521" s="204"/>
      <c r="J521" s="205">
        <f t="shared" si="92"/>
        <v>0</v>
      </c>
      <c r="K521" s="205">
        <f t="shared" si="93"/>
        <v>0</v>
      </c>
      <c r="L521" s="430">
        <f t="shared" si="94"/>
        <v>0</v>
      </c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 spans="1:26" ht="14.4">
      <c r="A522" s="450"/>
      <c r="B522" s="451" t="s">
        <v>617</v>
      </c>
      <c r="C522" s="431">
        <v>2</v>
      </c>
      <c r="D522" s="321"/>
      <c r="E522" s="321"/>
      <c r="F522" s="429">
        <f t="shared" si="91"/>
        <v>2</v>
      </c>
      <c r="G522" s="203">
        <v>61000</v>
      </c>
      <c r="H522" s="203">
        <v>66000</v>
      </c>
      <c r="I522" s="204"/>
      <c r="J522" s="205">
        <f t="shared" si="92"/>
        <v>0</v>
      </c>
      <c r="K522" s="205">
        <f t="shared" si="93"/>
        <v>0</v>
      </c>
      <c r="L522" s="430">
        <f t="shared" si="94"/>
        <v>122000</v>
      </c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 spans="1:26" ht="14.4">
      <c r="A523" s="450"/>
      <c r="B523" s="451" t="s">
        <v>618</v>
      </c>
      <c r="C523" s="431">
        <v>3</v>
      </c>
      <c r="D523" s="321"/>
      <c r="E523" s="321"/>
      <c r="F523" s="429">
        <f t="shared" si="91"/>
        <v>3</v>
      </c>
      <c r="G523" s="203">
        <v>19000</v>
      </c>
      <c r="H523" s="203">
        <v>22000</v>
      </c>
      <c r="I523" s="204"/>
      <c r="J523" s="205">
        <f t="shared" si="92"/>
        <v>0</v>
      </c>
      <c r="K523" s="205">
        <f t="shared" si="93"/>
        <v>0</v>
      </c>
      <c r="L523" s="430">
        <f t="shared" si="94"/>
        <v>57000</v>
      </c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 spans="1:26" ht="14.4">
      <c r="A524" s="450"/>
      <c r="B524" s="451" t="s">
        <v>619</v>
      </c>
      <c r="C524" s="431">
        <v>1</v>
      </c>
      <c r="D524" s="321"/>
      <c r="E524" s="321"/>
      <c r="F524" s="429">
        <f t="shared" si="91"/>
        <v>1</v>
      </c>
      <c r="G524" s="203">
        <v>10000</v>
      </c>
      <c r="H524" s="203">
        <v>12000</v>
      </c>
      <c r="I524" s="204"/>
      <c r="J524" s="205">
        <f t="shared" si="92"/>
        <v>0</v>
      </c>
      <c r="K524" s="205">
        <f t="shared" si="93"/>
        <v>0</v>
      </c>
      <c r="L524" s="430">
        <f t="shared" si="94"/>
        <v>10000</v>
      </c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 spans="1:26" ht="14.4">
      <c r="A525" s="450"/>
      <c r="B525" s="451" t="s">
        <v>620</v>
      </c>
      <c r="C525" s="431">
        <v>0</v>
      </c>
      <c r="D525" s="321"/>
      <c r="E525" s="321"/>
      <c r="F525" s="429">
        <f t="shared" si="91"/>
        <v>0</v>
      </c>
      <c r="G525" s="203">
        <v>10000</v>
      </c>
      <c r="H525" s="203">
        <v>12000</v>
      </c>
      <c r="I525" s="204"/>
      <c r="J525" s="205">
        <f t="shared" si="92"/>
        <v>0</v>
      </c>
      <c r="K525" s="205">
        <f t="shared" si="93"/>
        <v>0</v>
      </c>
      <c r="L525" s="430">
        <f t="shared" si="94"/>
        <v>0</v>
      </c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 spans="1:26" ht="14.4">
      <c r="A526" s="450"/>
      <c r="B526" s="451" t="s">
        <v>621</v>
      </c>
      <c r="C526" s="431">
        <v>5</v>
      </c>
      <c r="D526" s="321"/>
      <c r="E526" s="321"/>
      <c r="F526" s="429">
        <f t="shared" si="91"/>
        <v>5</v>
      </c>
      <c r="G526" s="203">
        <v>11000</v>
      </c>
      <c r="H526" s="203">
        <v>13000</v>
      </c>
      <c r="I526" s="204"/>
      <c r="J526" s="205">
        <f t="shared" si="92"/>
        <v>0</v>
      </c>
      <c r="K526" s="205">
        <f t="shared" si="93"/>
        <v>0</v>
      </c>
      <c r="L526" s="430">
        <f t="shared" si="94"/>
        <v>55000</v>
      </c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 spans="1:26" ht="14.4">
      <c r="A527" s="450"/>
      <c r="B527" s="451" t="s">
        <v>622</v>
      </c>
      <c r="C527" s="431">
        <v>1</v>
      </c>
      <c r="D527" s="321"/>
      <c r="E527" s="321"/>
      <c r="F527" s="429">
        <f t="shared" si="91"/>
        <v>1</v>
      </c>
      <c r="G527" s="203">
        <v>28000</v>
      </c>
      <c r="H527" s="203">
        <v>31000</v>
      </c>
      <c r="I527" s="204"/>
      <c r="J527" s="205">
        <f t="shared" si="92"/>
        <v>0</v>
      </c>
      <c r="K527" s="205">
        <f t="shared" si="93"/>
        <v>0</v>
      </c>
      <c r="L527" s="430">
        <f t="shared" si="94"/>
        <v>28000</v>
      </c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 spans="1:26" ht="14.4">
      <c r="A528" s="450"/>
      <c r="B528" s="451" t="s">
        <v>623</v>
      </c>
      <c r="C528" s="431">
        <v>2</v>
      </c>
      <c r="D528" s="321"/>
      <c r="E528" s="321"/>
      <c r="F528" s="429">
        <f t="shared" si="91"/>
        <v>2</v>
      </c>
      <c r="G528" s="203">
        <v>11000</v>
      </c>
      <c r="H528" s="203">
        <v>13000</v>
      </c>
      <c r="I528" s="204"/>
      <c r="J528" s="205">
        <f t="shared" si="92"/>
        <v>0</v>
      </c>
      <c r="K528" s="205">
        <f t="shared" si="93"/>
        <v>0</v>
      </c>
      <c r="L528" s="430">
        <f t="shared" si="94"/>
        <v>22000</v>
      </c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 spans="1:26" ht="14.4">
      <c r="A529" s="450"/>
      <c r="B529" s="451" t="s">
        <v>624</v>
      </c>
      <c r="C529" s="431">
        <v>15</v>
      </c>
      <c r="D529" s="321"/>
      <c r="E529" s="321"/>
      <c r="F529" s="429">
        <f t="shared" si="91"/>
        <v>15</v>
      </c>
      <c r="G529" s="203">
        <v>23000</v>
      </c>
      <c r="H529" s="203">
        <v>26000</v>
      </c>
      <c r="I529" s="204"/>
      <c r="J529" s="205">
        <f t="shared" si="92"/>
        <v>0</v>
      </c>
      <c r="K529" s="205">
        <f t="shared" si="93"/>
        <v>0</v>
      </c>
      <c r="L529" s="430">
        <f t="shared" si="94"/>
        <v>345000</v>
      </c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 spans="1:26" ht="14.4">
      <c r="A530" s="450"/>
      <c r="B530" s="451" t="s">
        <v>625</v>
      </c>
      <c r="C530" s="431">
        <v>2</v>
      </c>
      <c r="D530" s="321"/>
      <c r="E530" s="321"/>
      <c r="F530" s="429">
        <f t="shared" si="91"/>
        <v>2</v>
      </c>
      <c r="G530" s="203">
        <v>37000</v>
      </c>
      <c r="H530" s="203">
        <v>40000</v>
      </c>
      <c r="I530" s="204"/>
      <c r="J530" s="205">
        <f t="shared" si="92"/>
        <v>0</v>
      </c>
      <c r="K530" s="205">
        <f t="shared" si="93"/>
        <v>0</v>
      </c>
      <c r="L530" s="430">
        <f t="shared" si="94"/>
        <v>74000</v>
      </c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 spans="1:26" ht="14.4">
      <c r="A531" s="450"/>
      <c r="B531" s="451" t="s">
        <v>626</v>
      </c>
      <c r="C531" s="431">
        <v>1</v>
      </c>
      <c r="D531" s="321"/>
      <c r="E531" s="321"/>
      <c r="F531" s="429">
        <f t="shared" si="91"/>
        <v>1</v>
      </c>
      <c r="G531" s="203">
        <v>18800</v>
      </c>
      <c r="H531" s="203">
        <v>21000</v>
      </c>
      <c r="I531" s="204"/>
      <c r="J531" s="205">
        <f t="shared" si="92"/>
        <v>0</v>
      </c>
      <c r="K531" s="205">
        <f t="shared" si="93"/>
        <v>0</v>
      </c>
      <c r="L531" s="430">
        <f t="shared" si="94"/>
        <v>18800</v>
      </c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 spans="1:26" ht="14.4">
      <c r="A532" s="450"/>
      <c r="B532" s="451" t="s">
        <v>627</v>
      </c>
      <c r="C532" s="431">
        <v>0</v>
      </c>
      <c r="D532" s="321"/>
      <c r="E532" s="321"/>
      <c r="F532" s="429">
        <f t="shared" si="91"/>
        <v>0</v>
      </c>
      <c r="G532" s="203">
        <v>11500</v>
      </c>
      <c r="H532" s="203">
        <v>13000</v>
      </c>
      <c r="I532" s="204"/>
      <c r="J532" s="205">
        <f t="shared" si="92"/>
        <v>0</v>
      </c>
      <c r="K532" s="205">
        <f t="shared" si="93"/>
        <v>0</v>
      </c>
      <c r="L532" s="430">
        <f t="shared" si="94"/>
        <v>0</v>
      </c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 spans="1:26" ht="14.4">
      <c r="A533" s="450"/>
      <c r="B533" s="451" t="s">
        <v>628</v>
      </c>
      <c r="C533" s="431"/>
      <c r="D533" s="321"/>
      <c r="E533" s="321"/>
      <c r="F533" s="429">
        <f t="shared" si="91"/>
        <v>0</v>
      </c>
      <c r="G533" s="203">
        <v>22000</v>
      </c>
      <c r="H533" s="203">
        <v>24500</v>
      </c>
      <c r="I533" s="204"/>
      <c r="J533" s="205">
        <f t="shared" si="92"/>
        <v>0</v>
      </c>
      <c r="K533" s="205">
        <f t="shared" si="93"/>
        <v>0</v>
      </c>
      <c r="L533" s="430">
        <f t="shared" si="94"/>
        <v>0</v>
      </c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 spans="1:26" ht="14.4">
      <c r="A534" s="450"/>
      <c r="B534" s="451" t="s">
        <v>629</v>
      </c>
      <c r="C534" s="431">
        <v>3</v>
      </c>
      <c r="D534" s="321"/>
      <c r="E534" s="321"/>
      <c r="F534" s="429">
        <f t="shared" si="91"/>
        <v>3</v>
      </c>
      <c r="G534" s="203">
        <v>40000</v>
      </c>
      <c r="H534" s="203">
        <v>44000</v>
      </c>
      <c r="I534" s="204"/>
      <c r="J534" s="205">
        <f t="shared" si="92"/>
        <v>0</v>
      </c>
      <c r="K534" s="205">
        <f t="shared" si="93"/>
        <v>0</v>
      </c>
      <c r="L534" s="430">
        <f t="shared" si="94"/>
        <v>120000</v>
      </c>
      <c r="M534" s="452">
        <f>8*64</f>
        <v>512</v>
      </c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 spans="1:26" ht="14.4">
      <c r="A535" s="450"/>
      <c r="B535" s="451" t="s">
        <v>630</v>
      </c>
      <c r="C535" s="431">
        <v>3</v>
      </c>
      <c r="D535" s="321"/>
      <c r="E535" s="321"/>
      <c r="F535" s="429">
        <f t="shared" si="91"/>
        <v>3</v>
      </c>
      <c r="G535" s="203">
        <v>57000</v>
      </c>
      <c r="H535" s="203">
        <v>71000</v>
      </c>
      <c r="I535" s="204"/>
      <c r="J535" s="205">
        <f t="shared" si="92"/>
        <v>0</v>
      </c>
      <c r="K535" s="205">
        <f t="shared" si="93"/>
        <v>0</v>
      </c>
      <c r="L535" s="430">
        <f t="shared" si="94"/>
        <v>171000</v>
      </c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 spans="1:26" ht="14.4">
      <c r="A536" s="450"/>
      <c r="B536" s="451" t="s">
        <v>631</v>
      </c>
      <c r="C536" s="431">
        <v>1</v>
      </c>
      <c r="D536" s="321"/>
      <c r="E536" s="321"/>
      <c r="F536" s="429">
        <f t="shared" si="91"/>
        <v>1</v>
      </c>
      <c r="G536" s="203">
        <v>51000</v>
      </c>
      <c r="H536" s="203">
        <v>58000</v>
      </c>
      <c r="I536" s="204"/>
      <c r="J536" s="205">
        <f t="shared" si="92"/>
        <v>0</v>
      </c>
      <c r="K536" s="205">
        <f t="shared" si="93"/>
        <v>0</v>
      </c>
      <c r="L536" s="430">
        <f t="shared" si="94"/>
        <v>51000</v>
      </c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 spans="1:26" ht="14.4">
      <c r="A537" s="450"/>
      <c r="B537" s="451" t="s">
        <v>632</v>
      </c>
      <c r="C537" s="431">
        <v>2</v>
      </c>
      <c r="D537" s="321"/>
      <c r="E537" s="321"/>
      <c r="F537" s="429">
        <f t="shared" si="91"/>
        <v>2</v>
      </c>
      <c r="G537" s="203">
        <v>6500</v>
      </c>
      <c r="H537" s="203">
        <v>7500</v>
      </c>
      <c r="I537" s="204"/>
      <c r="J537" s="205">
        <f t="shared" si="92"/>
        <v>0</v>
      </c>
      <c r="K537" s="205">
        <f t="shared" si="93"/>
        <v>0</v>
      </c>
      <c r="L537" s="430">
        <f t="shared" si="94"/>
        <v>13000</v>
      </c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 spans="1:26" ht="14.4">
      <c r="A538" s="450"/>
      <c r="B538" s="451" t="s">
        <v>633</v>
      </c>
      <c r="C538" s="431">
        <v>2</v>
      </c>
      <c r="D538" s="321"/>
      <c r="E538" s="321"/>
      <c r="F538" s="429">
        <f t="shared" si="91"/>
        <v>2</v>
      </c>
      <c r="G538" s="203">
        <v>75000</v>
      </c>
      <c r="H538" s="203">
        <v>80000</v>
      </c>
      <c r="I538" s="204"/>
      <c r="J538" s="205">
        <f t="shared" si="92"/>
        <v>0</v>
      </c>
      <c r="K538" s="205">
        <f t="shared" si="93"/>
        <v>0</v>
      </c>
      <c r="L538" s="430">
        <f t="shared" si="94"/>
        <v>150000</v>
      </c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 spans="1:26" ht="14.4">
      <c r="A539" s="450"/>
      <c r="B539" s="451" t="s">
        <v>634</v>
      </c>
      <c r="C539" s="431">
        <v>1</v>
      </c>
      <c r="D539" s="321"/>
      <c r="E539" s="321"/>
      <c r="F539" s="429">
        <f t="shared" si="91"/>
        <v>1</v>
      </c>
      <c r="G539" s="203">
        <v>31000</v>
      </c>
      <c r="H539" s="203">
        <v>35000</v>
      </c>
      <c r="I539" s="204"/>
      <c r="J539" s="205">
        <f t="shared" si="92"/>
        <v>0</v>
      </c>
      <c r="K539" s="205">
        <f t="shared" si="93"/>
        <v>0</v>
      </c>
      <c r="L539" s="430">
        <f t="shared" si="94"/>
        <v>31000</v>
      </c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 spans="1:26" ht="14.4">
      <c r="A540" s="450"/>
      <c r="B540" s="451" t="s">
        <v>635</v>
      </c>
      <c r="C540" s="431">
        <v>2</v>
      </c>
      <c r="D540" s="321"/>
      <c r="E540" s="321"/>
      <c r="F540" s="429">
        <f t="shared" si="91"/>
        <v>2</v>
      </c>
      <c r="G540" s="203">
        <v>55000</v>
      </c>
      <c r="H540" s="203">
        <v>59000</v>
      </c>
      <c r="I540" s="204"/>
      <c r="J540" s="205">
        <f t="shared" si="92"/>
        <v>0</v>
      </c>
      <c r="K540" s="205">
        <f t="shared" si="93"/>
        <v>0</v>
      </c>
      <c r="L540" s="430">
        <f t="shared" si="94"/>
        <v>110000</v>
      </c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 spans="1:26" ht="14.4">
      <c r="A541" s="450"/>
      <c r="B541" s="451" t="s">
        <v>636</v>
      </c>
      <c r="C541" s="431">
        <v>0</v>
      </c>
      <c r="D541" s="321"/>
      <c r="E541" s="321"/>
      <c r="F541" s="429">
        <f t="shared" si="91"/>
        <v>0</v>
      </c>
      <c r="G541" s="203">
        <v>22700</v>
      </c>
      <c r="H541" s="203">
        <v>26000</v>
      </c>
      <c r="I541" s="204"/>
      <c r="J541" s="205">
        <f t="shared" si="92"/>
        <v>0</v>
      </c>
      <c r="K541" s="205">
        <f t="shared" si="93"/>
        <v>0</v>
      </c>
      <c r="L541" s="430">
        <f t="shared" si="94"/>
        <v>0</v>
      </c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 spans="1:26" ht="14.4">
      <c r="A542" s="450"/>
      <c r="B542" s="451" t="s">
        <v>637</v>
      </c>
      <c r="C542" s="431">
        <v>1</v>
      </c>
      <c r="D542" s="321"/>
      <c r="E542" s="321"/>
      <c r="F542" s="429">
        <f t="shared" si="91"/>
        <v>1</v>
      </c>
      <c r="G542" s="203">
        <v>27000</v>
      </c>
      <c r="H542" s="203">
        <v>30000</v>
      </c>
      <c r="I542" s="204"/>
      <c r="J542" s="205">
        <f t="shared" si="92"/>
        <v>0</v>
      </c>
      <c r="K542" s="205">
        <f t="shared" si="93"/>
        <v>0</v>
      </c>
      <c r="L542" s="430">
        <f t="shared" si="94"/>
        <v>27000</v>
      </c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 spans="1:26" ht="14.4">
      <c r="A543" s="450"/>
      <c r="B543" s="451" t="s">
        <v>638</v>
      </c>
      <c r="C543" s="431">
        <v>0</v>
      </c>
      <c r="D543" s="321"/>
      <c r="E543" s="321"/>
      <c r="F543" s="429">
        <f t="shared" si="91"/>
        <v>0</v>
      </c>
      <c r="G543" s="203">
        <v>11000</v>
      </c>
      <c r="H543" s="203">
        <v>13000</v>
      </c>
      <c r="I543" s="204"/>
      <c r="J543" s="205">
        <f t="shared" si="92"/>
        <v>0</v>
      </c>
      <c r="K543" s="205">
        <f t="shared" si="93"/>
        <v>0</v>
      </c>
      <c r="L543" s="430">
        <f t="shared" si="94"/>
        <v>0</v>
      </c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 spans="1:26" ht="14.4">
      <c r="A544" s="450"/>
      <c r="B544" s="451" t="s">
        <v>639</v>
      </c>
      <c r="C544" s="431"/>
      <c r="D544" s="321"/>
      <c r="E544" s="321"/>
      <c r="F544" s="429">
        <f t="shared" si="91"/>
        <v>0</v>
      </c>
      <c r="G544" s="203">
        <v>26000</v>
      </c>
      <c r="H544" s="203">
        <v>28000</v>
      </c>
      <c r="I544" s="204"/>
      <c r="J544" s="205">
        <f t="shared" si="92"/>
        <v>0</v>
      </c>
      <c r="K544" s="205">
        <f t="shared" si="93"/>
        <v>0</v>
      </c>
      <c r="L544" s="430">
        <f t="shared" si="94"/>
        <v>0</v>
      </c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 spans="1:26" ht="14.4">
      <c r="A545" s="450"/>
      <c r="B545" s="451" t="s">
        <v>640</v>
      </c>
      <c r="C545" s="431">
        <v>3</v>
      </c>
      <c r="D545" s="321"/>
      <c r="E545" s="321"/>
      <c r="F545" s="429">
        <f t="shared" si="91"/>
        <v>3</v>
      </c>
      <c r="G545" s="203">
        <v>49000</v>
      </c>
      <c r="H545" s="203">
        <v>52000</v>
      </c>
      <c r="I545" s="204"/>
      <c r="J545" s="205">
        <f t="shared" si="92"/>
        <v>0</v>
      </c>
      <c r="K545" s="205">
        <f t="shared" si="93"/>
        <v>0</v>
      </c>
      <c r="L545" s="430">
        <f t="shared" si="94"/>
        <v>147000</v>
      </c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 spans="1:26" ht="14.4">
      <c r="A546" s="450"/>
      <c r="B546" s="451" t="s">
        <v>641</v>
      </c>
      <c r="C546" s="431">
        <v>3</v>
      </c>
      <c r="D546" s="321"/>
      <c r="E546" s="321"/>
      <c r="F546" s="429">
        <f t="shared" si="91"/>
        <v>3</v>
      </c>
      <c r="G546" s="203">
        <v>49000</v>
      </c>
      <c r="H546" s="203">
        <v>52000</v>
      </c>
      <c r="I546" s="204"/>
      <c r="J546" s="205">
        <f t="shared" si="92"/>
        <v>0</v>
      </c>
      <c r="K546" s="205">
        <f t="shared" si="93"/>
        <v>0</v>
      </c>
      <c r="L546" s="430">
        <f t="shared" si="94"/>
        <v>147000</v>
      </c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 spans="1:26" ht="14.4">
      <c r="A547" s="450"/>
      <c r="B547" s="451" t="s">
        <v>642</v>
      </c>
      <c r="C547" s="431">
        <v>0</v>
      </c>
      <c r="D547" s="321"/>
      <c r="E547" s="321"/>
      <c r="F547" s="429">
        <f t="shared" si="91"/>
        <v>0</v>
      </c>
      <c r="G547" s="203">
        <v>27000</v>
      </c>
      <c r="H547" s="203">
        <v>30000</v>
      </c>
      <c r="I547" s="204"/>
      <c r="J547" s="205">
        <f t="shared" si="92"/>
        <v>0</v>
      </c>
      <c r="K547" s="205">
        <f t="shared" si="93"/>
        <v>0</v>
      </c>
      <c r="L547" s="430">
        <f t="shared" si="94"/>
        <v>0</v>
      </c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 spans="1:26" ht="14.4">
      <c r="A548" s="450"/>
      <c r="B548" s="451" t="s">
        <v>643</v>
      </c>
      <c r="C548" s="431">
        <v>1</v>
      </c>
      <c r="D548" s="321"/>
      <c r="E548" s="321"/>
      <c r="F548" s="429">
        <f t="shared" si="91"/>
        <v>1</v>
      </c>
      <c r="G548" s="203">
        <v>27000</v>
      </c>
      <c r="H548" s="203">
        <v>30000</v>
      </c>
      <c r="I548" s="204"/>
      <c r="J548" s="205">
        <f t="shared" si="92"/>
        <v>0</v>
      </c>
      <c r="K548" s="205">
        <f t="shared" si="93"/>
        <v>0</v>
      </c>
      <c r="L548" s="430">
        <f t="shared" si="94"/>
        <v>27000</v>
      </c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 spans="1:26" ht="14.4">
      <c r="A549" s="450"/>
      <c r="B549" s="451" t="s">
        <v>644</v>
      </c>
      <c r="C549" s="431"/>
      <c r="D549" s="321"/>
      <c r="E549" s="321"/>
      <c r="F549" s="429">
        <f t="shared" si="91"/>
        <v>0</v>
      </c>
      <c r="G549" s="203">
        <v>28800</v>
      </c>
      <c r="H549" s="203">
        <v>31000</v>
      </c>
      <c r="I549" s="204"/>
      <c r="J549" s="205">
        <f t="shared" si="92"/>
        <v>0</v>
      </c>
      <c r="K549" s="205">
        <f t="shared" si="93"/>
        <v>0</v>
      </c>
      <c r="L549" s="430">
        <f t="shared" si="94"/>
        <v>0</v>
      </c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 spans="1:26" ht="14.4">
      <c r="A550" s="450"/>
      <c r="B550" s="451" t="s">
        <v>645</v>
      </c>
      <c r="C550" s="431">
        <v>1</v>
      </c>
      <c r="D550" s="321"/>
      <c r="E550" s="321"/>
      <c r="F550" s="429">
        <f t="shared" si="91"/>
        <v>1</v>
      </c>
      <c r="G550" s="203">
        <v>13000</v>
      </c>
      <c r="H550" s="203">
        <v>15000</v>
      </c>
      <c r="I550" s="204"/>
      <c r="J550" s="205">
        <f t="shared" si="92"/>
        <v>0</v>
      </c>
      <c r="K550" s="205">
        <f t="shared" si="93"/>
        <v>0</v>
      </c>
      <c r="L550" s="430">
        <f t="shared" si="94"/>
        <v>13000</v>
      </c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 spans="1:26" ht="14.4">
      <c r="A551" s="450"/>
      <c r="B551" s="451" t="s">
        <v>646</v>
      </c>
      <c r="C551" s="431"/>
      <c r="D551" s="321"/>
      <c r="E551" s="321"/>
      <c r="F551" s="429">
        <f t="shared" si="91"/>
        <v>0</v>
      </c>
      <c r="G551" s="203">
        <v>16000</v>
      </c>
      <c r="H551" s="203">
        <v>19000</v>
      </c>
      <c r="I551" s="204"/>
      <c r="J551" s="205">
        <f t="shared" si="92"/>
        <v>0</v>
      </c>
      <c r="K551" s="205">
        <f t="shared" si="93"/>
        <v>0</v>
      </c>
      <c r="L551" s="430">
        <f t="shared" si="94"/>
        <v>0</v>
      </c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 spans="1:26" ht="14.4">
      <c r="A552" s="450"/>
      <c r="B552" s="451" t="s">
        <v>647</v>
      </c>
      <c r="C552" s="431">
        <v>3</v>
      </c>
      <c r="D552" s="321"/>
      <c r="E552" s="321"/>
      <c r="F552" s="429">
        <f t="shared" si="91"/>
        <v>3</v>
      </c>
      <c r="G552" s="203">
        <v>56000</v>
      </c>
      <c r="H552" s="203">
        <v>60000</v>
      </c>
      <c r="I552" s="204"/>
      <c r="J552" s="205">
        <f t="shared" si="92"/>
        <v>0</v>
      </c>
      <c r="K552" s="205">
        <f t="shared" si="93"/>
        <v>0</v>
      </c>
      <c r="L552" s="430">
        <f t="shared" si="94"/>
        <v>168000</v>
      </c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 spans="1:26" ht="14.4">
      <c r="A553" s="450"/>
      <c r="B553" s="451" t="s">
        <v>648</v>
      </c>
      <c r="C553" s="431">
        <v>2</v>
      </c>
      <c r="D553" s="321"/>
      <c r="E553" s="321"/>
      <c r="F553" s="429">
        <f t="shared" si="91"/>
        <v>2</v>
      </c>
      <c r="G553" s="203">
        <v>25400</v>
      </c>
      <c r="H553" s="203">
        <v>28000</v>
      </c>
      <c r="I553" s="204"/>
      <c r="J553" s="205">
        <f t="shared" si="92"/>
        <v>0</v>
      </c>
      <c r="K553" s="205">
        <f t="shared" si="93"/>
        <v>0</v>
      </c>
      <c r="L553" s="430">
        <f t="shared" si="94"/>
        <v>50800</v>
      </c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 spans="1:26" ht="14.4">
      <c r="A554" s="450"/>
      <c r="B554" s="451" t="s">
        <v>649</v>
      </c>
      <c r="C554" s="431">
        <v>2</v>
      </c>
      <c r="D554" s="321"/>
      <c r="E554" s="321"/>
      <c r="F554" s="429">
        <f t="shared" si="91"/>
        <v>2</v>
      </c>
      <c r="G554" s="203">
        <v>24000</v>
      </c>
      <c r="H554" s="203">
        <v>26000</v>
      </c>
      <c r="I554" s="204"/>
      <c r="J554" s="205">
        <f t="shared" si="92"/>
        <v>0</v>
      </c>
      <c r="K554" s="205">
        <f t="shared" si="93"/>
        <v>0</v>
      </c>
      <c r="L554" s="430">
        <f t="shared" si="94"/>
        <v>48000</v>
      </c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 spans="1:26" ht="14.4">
      <c r="A555" s="450"/>
      <c r="B555" s="451" t="s">
        <v>650</v>
      </c>
      <c r="C555" s="431">
        <v>0</v>
      </c>
      <c r="D555" s="321"/>
      <c r="E555" s="321"/>
      <c r="F555" s="429">
        <f t="shared" si="91"/>
        <v>0</v>
      </c>
      <c r="G555" s="203">
        <v>25470</v>
      </c>
      <c r="H555" s="203">
        <v>27000</v>
      </c>
      <c r="I555" s="204"/>
      <c r="J555" s="205">
        <f t="shared" si="92"/>
        <v>0</v>
      </c>
      <c r="K555" s="205">
        <f t="shared" si="93"/>
        <v>0</v>
      </c>
      <c r="L555" s="430">
        <f t="shared" si="94"/>
        <v>0</v>
      </c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 spans="1:26" ht="14.4">
      <c r="A556" s="450"/>
      <c r="B556" s="451" t="s">
        <v>651</v>
      </c>
      <c r="C556" s="431">
        <v>3</v>
      </c>
      <c r="D556" s="321"/>
      <c r="E556" s="321"/>
      <c r="F556" s="429">
        <f t="shared" si="91"/>
        <v>3</v>
      </c>
      <c r="G556" s="203">
        <v>45400</v>
      </c>
      <c r="H556" s="203">
        <v>48000</v>
      </c>
      <c r="I556" s="204"/>
      <c r="J556" s="205">
        <f t="shared" si="92"/>
        <v>0</v>
      </c>
      <c r="K556" s="205">
        <f t="shared" si="93"/>
        <v>0</v>
      </c>
      <c r="L556" s="430">
        <f t="shared" si="94"/>
        <v>136200</v>
      </c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 spans="1:26" ht="14.4">
      <c r="A557" s="450"/>
      <c r="B557" s="451" t="s">
        <v>652</v>
      </c>
      <c r="C557" s="431">
        <v>2</v>
      </c>
      <c r="D557" s="321"/>
      <c r="E557" s="321"/>
      <c r="F557" s="429">
        <f t="shared" si="91"/>
        <v>2</v>
      </c>
      <c r="G557" s="203">
        <v>21000</v>
      </c>
      <c r="H557" s="203">
        <v>24500</v>
      </c>
      <c r="I557" s="204"/>
      <c r="J557" s="205">
        <f t="shared" si="92"/>
        <v>0</v>
      </c>
      <c r="K557" s="205">
        <f t="shared" si="93"/>
        <v>0</v>
      </c>
      <c r="L557" s="430">
        <f t="shared" si="94"/>
        <v>42000</v>
      </c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 spans="1:26" ht="14.4">
      <c r="A558" s="450"/>
      <c r="B558" s="451" t="s">
        <v>653</v>
      </c>
      <c r="C558" s="431">
        <v>1</v>
      </c>
      <c r="D558" s="321"/>
      <c r="E558" s="321"/>
      <c r="F558" s="429">
        <f t="shared" si="91"/>
        <v>1</v>
      </c>
      <c r="G558" s="203">
        <v>48000</v>
      </c>
      <c r="H558" s="203">
        <v>55000</v>
      </c>
      <c r="I558" s="204"/>
      <c r="J558" s="205">
        <f t="shared" si="92"/>
        <v>0</v>
      </c>
      <c r="K558" s="205">
        <f t="shared" si="93"/>
        <v>0</v>
      </c>
      <c r="L558" s="430">
        <f t="shared" si="94"/>
        <v>48000</v>
      </c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 spans="1:26" ht="14.4">
      <c r="A559" s="450"/>
      <c r="B559" s="451" t="s">
        <v>654</v>
      </c>
      <c r="C559" s="431">
        <v>3</v>
      </c>
      <c r="D559" s="321"/>
      <c r="E559" s="321"/>
      <c r="F559" s="429">
        <f t="shared" si="91"/>
        <v>3</v>
      </c>
      <c r="G559" s="203">
        <v>46750</v>
      </c>
      <c r="H559" s="203">
        <v>50000</v>
      </c>
      <c r="I559" s="204"/>
      <c r="J559" s="205">
        <f t="shared" si="92"/>
        <v>0</v>
      </c>
      <c r="K559" s="205">
        <f t="shared" si="93"/>
        <v>0</v>
      </c>
      <c r="L559" s="430">
        <f t="shared" si="94"/>
        <v>140250</v>
      </c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 spans="1:26" ht="14.4">
      <c r="A560" s="450"/>
      <c r="B560" s="451" t="s">
        <v>655</v>
      </c>
      <c r="C560" s="431">
        <v>1</v>
      </c>
      <c r="D560" s="321"/>
      <c r="E560" s="321"/>
      <c r="F560" s="429">
        <f t="shared" si="91"/>
        <v>1</v>
      </c>
      <c r="G560" s="203">
        <v>25250</v>
      </c>
      <c r="H560" s="203">
        <v>27000</v>
      </c>
      <c r="I560" s="204"/>
      <c r="J560" s="205">
        <f t="shared" si="92"/>
        <v>0</v>
      </c>
      <c r="K560" s="205">
        <f t="shared" si="93"/>
        <v>0</v>
      </c>
      <c r="L560" s="430">
        <f t="shared" si="94"/>
        <v>25250</v>
      </c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 spans="1:26" ht="14.4">
      <c r="A561" s="450"/>
      <c r="B561" s="451" t="s">
        <v>656</v>
      </c>
      <c r="C561" s="431">
        <v>5</v>
      </c>
      <c r="D561" s="321"/>
      <c r="E561" s="321"/>
      <c r="F561" s="429">
        <f t="shared" si="91"/>
        <v>5</v>
      </c>
      <c r="G561" s="210">
        <v>38000</v>
      </c>
      <c r="H561" s="210">
        <v>40000</v>
      </c>
      <c r="I561" s="445"/>
      <c r="J561" s="205">
        <f t="shared" si="92"/>
        <v>0</v>
      </c>
      <c r="K561" s="205">
        <f t="shared" si="93"/>
        <v>0</v>
      </c>
      <c r="L561" s="430">
        <f t="shared" si="94"/>
        <v>190000</v>
      </c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 spans="1:26" ht="14.4">
      <c r="A562" s="450"/>
      <c r="B562" s="453" t="s">
        <v>657</v>
      </c>
      <c r="C562" s="431">
        <v>9</v>
      </c>
      <c r="D562" s="321"/>
      <c r="E562" s="321"/>
      <c r="F562" s="429">
        <f t="shared" si="91"/>
        <v>9</v>
      </c>
      <c r="G562" s="210">
        <v>13500</v>
      </c>
      <c r="H562" s="210">
        <v>15000</v>
      </c>
      <c r="I562" s="445"/>
      <c r="J562" s="205">
        <f t="shared" si="92"/>
        <v>0</v>
      </c>
      <c r="K562" s="205">
        <f t="shared" si="93"/>
        <v>0</v>
      </c>
      <c r="L562" s="430">
        <f t="shared" si="94"/>
        <v>121500</v>
      </c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 spans="1:26" ht="14.4">
      <c r="A563" s="450"/>
      <c r="B563" s="454" t="s">
        <v>658</v>
      </c>
      <c r="C563" s="431">
        <v>2</v>
      </c>
      <c r="D563" s="321"/>
      <c r="E563" s="321"/>
      <c r="F563" s="429">
        <f t="shared" si="91"/>
        <v>2</v>
      </c>
      <c r="G563" s="298">
        <v>38000</v>
      </c>
      <c r="H563" s="298">
        <v>40000</v>
      </c>
      <c r="I563" s="213"/>
      <c r="J563" s="205">
        <f t="shared" si="92"/>
        <v>0</v>
      </c>
      <c r="K563" s="205">
        <f t="shared" si="93"/>
        <v>0</v>
      </c>
      <c r="L563" s="430">
        <f t="shared" si="94"/>
        <v>76000</v>
      </c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 spans="1:26" ht="14.4">
      <c r="A564" s="455"/>
      <c r="B564" s="456"/>
      <c r="C564" s="457">
        <f t="shared" ref="C564:F564" si="95">+SUM(C456:C563)</f>
        <v>324</v>
      </c>
      <c r="D564" s="458">
        <f t="shared" si="95"/>
        <v>0</v>
      </c>
      <c r="E564" s="458">
        <f t="shared" si="95"/>
        <v>0</v>
      </c>
      <c r="F564" s="458">
        <f t="shared" si="95"/>
        <v>324</v>
      </c>
      <c r="G564" s="459">
        <f t="shared" ref="G564:L564" si="96">SUM(G456:G563)</f>
        <v>3811664.25</v>
      </c>
      <c r="H564" s="459">
        <f t="shared" si="96"/>
        <v>4174800</v>
      </c>
      <c r="I564" s="460">
        <f t="shared" si="96"/>
        <v>0</v>
      </c>
      <c r="J564" s="459">
        <f t="shared" si="96"/>
        <v>0</v>
      </c>
      <c r="K564" s="459">
        <f t="shared" si="96"/>
        <v>0</v>
      </c>
      <c r="L564" s="459">
        <f t="shared" si="96"/>
        <v>10645119.75</v>
      </c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 spans="1:26" ht="14.4">
      <c r="A565" s="191"/>
      <c r="B565" s="191"/>
      <c r="C565" s="439">
        <v>515</v>
      </c>
      <c r="D565" s="439">
        <f t="shared" ref="D565:L565" si="97">D564+D455+D429+D416</f>
        <v>0</v>
      </c>
      <c r="E565" s="439">
        <f t="shared" si="97"/>
        <v>0</v>
      </c>
      <c r="F565" s="439">
        <f t="shared" si="97"/>
        <v>663</v>
      </c>
      <c r="G565" s="461">
        <f t="shared" si="97"/>
        <v>12829084.25</v>
      </c>
      <c r="H565" s="461">
        <f t="shared" si="97"/>
        <v>13624900</v>
      </c>
      <c r="I565" s="462">
        <f t="shared" si="97"/>
        <v>0</v>
      </c>
      <c r="J565" s="439">
        <f t="shared" si="97"/>
        <v>0</v>
      </c>
      <c r="K565" s="439">
        <f t="shared" si="97"/>
        <v>0</v>
      </c>
      <c r="L565" s="439">
        <f t="shared" si="97"/>
        <v>33554528.75</v>
      </c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 spans="1:26" ht="14.4">
      <c r="A566" s="191"/>
      <c r="B566" s="191"/>
      <c r="C566" s="191"/>
      <c r="D566" s="191"/>
      <c r="E566" s="191"/>
      <c r="F566" s="191"/>
      <c r="G566" s="386"/>
      <c r="H566" s="386"/>
      <c r="I566" s="463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 spans="1:26" ht="14.4">
      <c r="A567" s="191"/>
      <c r="B567" s="191"/>
      <c r="C567" s="191"/>
      <c r="D567" s="191"/>
      <c r="E567" s="191"/>
      <c r="F567" s="191"/>
      <c r="G567" s="386"/>
      <c r="H567" s="386"/>
      <c r="I567" s="463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 spans="1:26" ht="14.4">
      <c r="A568" s="191"/>
      <c r="B568" s="191"/>
      <c r="C568" s="191"/>
      <c r="D568" s="191"/>
      <c r="E568" s="191"/>
      <c r="F568" s="191"/>
      <c r="G568" s="386"/>
      <c r="H568" s="386"/>
      <c r="I568" s="463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 spans="1:26" ht="14.4">
      <c r="A569" s="191"/>
      <c r="B569" s="191"/>
      <c r="C569" s="191"/>
      <c r="D569" s="191"/>
      <c r="E569" s="191"/>
      <c r="F569" s="191"/>
      <c r="G569" s="386"/>
      <c r="H569" s="386"/>
      <c r="I569" s="463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 spans="1:26" ht="14.4">
      <c r="A570" s="191"/>
      <c r="B570" s="191"/>
      <c r="C570" s="191"/>
      <c r="D570" s="191"/>
      <c r="E570" s="191"/>
      <c r="F570" s="191"/>
      <c r="G570" s="386"/>
      <c r="H570" s="386"/>
      <c r="I570" s="463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 spans="1:26" ht="14.4">
      <c r="A571" s="191"/>
      <c r="B571" s="191"/>
      <c r="C571" s="191"/>
      <c r="D571" s="191"/>
      <c r="E571" s="191"/>
      <c r="F571" s="191"/>
      <c r="G571" s="386"/>
      <c r="H571" s="386"/>
      <c r="I571" s="463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 spans="1:26" ht="14.4">
      <c r="A572" s="191"/>
      <c r="B572" s="191"/>
      <c r="C572" s="191"/>
      <c r="D572" s="191"/>
      <c r="E572" s="191"/>
      <c r="F572" s="191"/>
      <c r="G572" s="386"/>
      <c r="H572" s="386"/>
      <c r="I572" s="463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 spans="1:26" ht="14.4">
      <c r="A573" s="191"/>
      <c r="B573" s="191"/>
      <c r="C573" s="191"/>
      <c r="D573" s="191"/>
      <c r="E573" s="191"/>
      <c r="F573" s="191"/>
      <c r="G573" s="386"/>
      <c r="H573" s="386"/>
      <c r="I573" s="463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 spans="1:26" ht="14.4">
      <c r="A574" s="191"/>
      <c r="B574" s="191"/>
      <c r="C574" s="191"/>
      <c r="D574" s="191"/>
      <c r="E574" s="191"/>
      <c r="F574" s="191"/>
      <c r="G574" s="386"/>
      <c r="H574" s="386"/>
      <c r="I574" s="463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 spans="1:26" ht="14.4">
      <c r="A575" s="191"/>
      <c r="B575" s="191"/>
      <c r="C575" s="191"/>
      <c r="D575" s="191"/>
      <c r="E575" s="191"/>
      <c r="F575" s="191"/>
      <c r="G575" s="386"/>
      <c r="H575" s="386"/>
      <c r="I575" s="463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 spans="1:26" ht="14.4">
      <c r="A576" s="191"/>
      <c r="B576" s="191"/>
      <c r="C576" s="191"/>
      <c r="D576" s="191"/>
      <c r="E576" s="191"/>
      <c r="F576" s="191"/>
      <c r="G576" s="386"/>
      <c r="H576" s="386"/>
      <c r="I576" s="463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 spans="1:26" ht="14.4">
      <c r="A577" s="191"/>
      <c r="B577" s="191"/>
      <c r="C577" s="191"/>
      <c r="D577" s="191"/>
      <c r="E577" s="191"/>
      <c r="F577" s="191"/>
      <c r="G577" s="386"/>
      <c r="H577" s="386"/>
      <c r="I577" s="463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 spans="1:26" ht="14.4">
      <c r="A578" s="191"/>
      <c r="B578" s="191"/>
      <c r="C578" s="191"/>
      <c r="D578" s="191"/>
      <c r="E578" s="191"/>
      <c r="F578" s="191"/>
      <c r="G578" s="386"/>
      <c r="H578" s="386"/>
      <c r="I578" s="463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 spans="1:26" ht="14.4">
      <c r="A579" s="191"/>
      <c r="B579" s="191"/>
      <c r="C579" s="191"/>
      <c r="D579" s="191"/>
      <c r="E579" s="191"/>
      <c r="F579" s="191"/>
      <c r="G579" s="386"/>
      <c r="H579" s="386"/>
      <c r="I579" s="463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 spans="1:26" ht="14.4">
      <c r="A580" s="191"/>
      <c r="B580" s="191"/>
      <c r="C580" s="191"/>
      <c r="D580" s="191"/>
      <c r="E580" s="191"/>
      <c r="F580" s="191"/>
      <c r="G580" s="386"/>
      <c r="H580" s="386"/>
      <c r="I580" s="463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 spans="1:26" ht="14.4">
      <c r="A581" s="191"/>
      <c r="B581" s="191"/>
      <c r="C581" s="191"/>
      <c r="D581" s="191"/>
      <c r="E581" s="191"/>
      <c r="F581" s="191"/>
      <c r="G581" s="386"/>
      <c r="H581" s="386"/>
      <c r="I581" s="463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 spans="1:26" ht="14.4">
      <c r="A582" s="191"/>
      <c r="B582" s="191"/>
      <c r="C582" s="191"/>
      <c r="D582" s="191"/>
      <c r="E582" s="191"/>
      <c r="F582" s="191"/>
      <c r="G582" s="386"/>
      <c r="H582" s="386"/>
      <c r="I582" s="463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 spans="1:26" ht="14.4">
      <c r="A583" s="191"/>
      <c r="B583" s="191"/>
      <c r="C583" s="191"/>
      <c r="D583" s="191"/>
      <c r="E583" s="191"/>
      <c r="F583" s="191"/>
      <c r="G583" s="386"/>
      <c r="H583" s="386"/>
      <c r="I583" s="463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 spans="1:26" ht="14.4">
      <c r="A584" s="191"/>
      <c r="B584" s="191"/>
      <c r="C584" s="191"/>
      <c r="D584" s="191"/>
      <c r="E584" s="191"/>
      <c r="F584" s="191"/>
      <c r="G584" s="386"/>
      <c r="H584" s="386"/>
      <c r="I584" s="46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 spans="1:26" ht="14.4">
      <c r="A585" s="191"/>
      <c r="B585" s="191"/>
      <c r="C585" s="191"/>
      <c r="D585" s="191"/>
      <c r="E585" s="191"/>
      <c r="F585" s="191"/>
      <c r="G585" s="386"/>
      <c r="H585" s="386"/>
      <c r="I585" s="46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 spans="1:26" ht="14.4">
      <c r="A586" s="191"/>
      <c r="B586" s="191"/>
      <c r="C586" s="191"/>
      <c r="D586" s="191"/>
      <c r="E586" s="191"/>
      <c r="F586" s="191"/>
      <c r="G586" s="386"/>
      <c r="H586" s="386"/>
      <c r="I586" s="46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 spans="1:26" ht="14.4">
      <c r="A587" s="191"/>
      <c r="B587" s="191"/>
      <c r="C587" s="191"/>
      <c r="D587" s="191"/>
      <c r="E587" s="191"/>
      <c r="F587" s="191"/>
      <c r="G587" s="386"/>
      <c r="H587" s="386"/>
      <c r="I587" s="46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 spans="1:26" ht="14.4">
      <c r="A588" s="191"/>
      <c r="B588" s="191"/>
      <c r="C588" s="191"/>
      <c r="D588" s="191"/>
      <c r="E588" s="191"/>
      <c r="F588" s="191"/>
      <c r="G588" s="386"/>
      <c r="H588" s="386"/>
      <c r="I588" s="46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 spans="1:26" ht="14.4">
      <c r="A589" s="191"/>
      <c r="B589" s="191"/>
      <c r="C589" s="191"/>
      <c r="D589" s="191"/>
      <c r="E589" s="191"/>
      <c r="F589" s="191"/>
      <c r="G589" s="386"/>
      <c r="H589" s="386"/>
      <c r="I589" s="46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 spans="1:26" ht="14.4">
      <c r="A590" s="191"/>
      <c r="B590" s="191"/>
      <c r="C590" s="191"/>
      <c r="D590" s="191"/>
      <c r="E590" s="191"/>
      <c r="F590" s="191"/>
      <c r="G590" s="386"/>
      <c r="H590" s="386"/>
      <c r="I590" s="46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 spans="1:26" ht="14.4">
      <c r="A591" s="191"/>
      <c r="B591" s="191"/>
      <c r="C591" s="191"/>
      <c r="D591" s="191"/>
      <c r="E591" s="191"/>
      <c r="F591" s="191"/>
      <c r="G591" s="386"/>
      <c r="H591" s="386"/>
      <c r="I591" s="46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 spans="1:26" ht="14.4">
      <c r="A592" s="191"/>
      <c r="B592" s="191"/>
      <c r="C592" s="191"/>
      <c r="D592" s="191"/>
      <c r="E592" s="191"/>
      <c r="F592" s="191"/>
      <c r="G592" s="386"/>
      <c r="H592" s="386"/>
      <c r="I592" s="46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 spans="1:26" ht="14.4">
      <c r="A593" s="191"/>
      <c r="B593" s="191"/>
      <c r="C593" s="191"/>
      <c r="D593" s="191"/>
      <c r="E593" s="191"/>
      <c r="F593" s="191"/>
      <c r="G593" s="386"/>
      <c r="H593" s="386"/>
      <c r="I593" s="46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 spans="1:26" ht="14.4">
      <c r="A594" s="191"/>
      <c r="B594" s="191"/>
      <c r="C594" s="191"/>
      <c r="D594" s="191"/>
      <c r="E594" s="191"/>
      <c r="F594" s="191"/>
      <c r="G594" s="386"/>
      <c r="H594" s="386"/>
      <c r="I594" s="46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 spans="1:26" ht="14.4">
      <c r="A595" s="191"/>
      <c r="B595" s="191"/>
      <c r="C595" s="191"/>
      <c r="D595" s="191"/>
      <c r="E595" s="191"/>
      <c r="F595" s="191"/>
      <c r="G595" s="386"/>
      <c r="H595" s="386"/>
      <c r="I595" s="46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 spans="1:26" ht="14.4">
      <c r="A596" s="191"/>
      <c r="B596" s="191"/>
      <c r="C596" s="191"/>
      <c r="D596" s="191"/>
      <c r="E596" s="191"/>
      <c r="F596" s="191"/>
      <c r="G596" s="386"/>
      <c r="H596" s="386"/>
      <c r="I596" s="46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 spans="1:26" ht="14.4">
      <c r="A597" s="191"/>
      <c r="B597" s="191"/>
      <c r="C597" s="191"/>
      <c r="D597" s="191"/>
      <c r="E597" s="191"/>
      <c r="F597" s="191"/>
      <c r="G597" s="386"/>
      <c r="H597" s="386"/>
      <c r="I597" s="46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 spans="1:26" ht="14.4">
      <c r="A598" s="191"/>
      <c r="B598" s="191"/>
      <c r="C598" s="191"/>
      <c r="D598" s="191"/>
      <c r="E598" s="191"/>
      <c r="F598" s="191"/>
      <c r="G598" s="386"/>
      <c r="H598" s="386"/>
      <c r="I598" s="46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 spans="1:26" ht="14.4">
      <c r="A599" s="191"/>
      <c r="B599" s="191"/>
      <c r="C599" s="191"/>
      <c r="D599" s="191"/>
      <c r="E599" s="191"/>
      <c r="F599" s="191"/>
      <c r="G599" s="386"/>
      <c r="H599" s="386"/>
      <c r="I599" s="46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 spans="1:26" ht="14.4">
      <c r="A600" s="191"/>
      <c r="B600" s="191"/>
      <c r="C600" s="191"/>
      <c r="D600" s="191"/>
      <c r="E600" s="191"/>
      <c r="F600" s="191"/>
      <c r="G600" s="386"/>
      <c r="H600" s="386"/>
      <c r="I600" s="46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 spans="1:26" ht="14.4">
      <c r="A601" s="191"/>
      <c r="B601" s="191"/>
      <c r="C601" s="191"/>
      <c r="D601" s="191"/>
      <c r="E601" s="191"/>
      <c r="F601" s="191"/>
      <c r="G601" s="386"/>
      <c r="H601" s="386"/>
      <c r="I601" s="46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 spans="1:26" ht="14.4">
      <c r="A602" s="191"/>
      <c r="B602" s="191"/>
      <c r="C602" s="191"/>
      <c r="D602" s="191"/>
      <c r="E602" s="191"/>
      <c r="F602" s="191"/>
      <c r="G602" s="386"/>
      <c r="H602" s="386"/>
      <c r="I602" s="46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 spans="1:26" ht="14.4">
      <c r="A603" s="191"/>
      <c r="B603" s="191"/>
      <c r="C603" s="191"/>
      <c r="D603" s="191"/>
      <c r="E603" s="191"/>
      <c r="F603" s="191"/>
      <c r="G603" s="386"/>
      <c r="H603" s="386"/>
      <c r="I603" s="46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 spans="1:26" ht="14.4">
      <c r="A604" s="191"/>
      <c r="B604" s="191"/>
      <c r="C604" s="191"/>
      <c r="D604" s="191"/>
      <c r="E604" s="191"/>
      <c r="F604" s="191"/>
      <c r="G604" s="386"/>
      <c r="H604" s="386"/>
      <c r="I604" s="46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 spans="1:26" ht="14.4">
      <c r="A605" s="191"/>
      <c r="B605" s="191"/>
      <c r="C605" s="191"/>
      <c r="D605" s="191"/>
      <c r="E605" s="191"/>
      <c r="F605" s="191"/>
      <c r="G605" s="386"/>
      <c r="H605" s="386"/>
      <c r="I605" s="46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 spans="1:26" ht="14.4">
      <c r="A606" s="191"/>
      <c r="B606" s="191"/>
      <c r="C606" s="191"/>
      <c r="D606" s="191"/>
      <c r="E606" s="191"/>
      <c r="F606" s="191"/>
      <c r="G606" s="386"/>
      <c r="H606" s="386"/>
      <c r="I606" s="46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 spans="1:26" ht="14.4">
      <c r="A607" s="191"/>
      <c r="B607" s="191"/>
      <c r="C607" s="191"/>
      <c r="D607" s="191"/>
      <c r="E607" s="191"/>
      <c r="F607" s="191"/>
      <c r="G607" s="386"/>
      <c r="H607" s="386"/>
      <c r="I607" s="46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 spans="1:26" ht="14.4">
      <c r="A608" s="191"/>
      <c r="B608" s="191"/>
      <c r="C608" s="191"/>
      <c r="D608" s="191"/>
      <c r="E608" s="191"/>
      <c r="F608" s="191"/>
      <c r="G608" s="386"/>
      <c r="H608" s="386"/>
      <c r="I608" s="46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 spans="1:26" ht="14.4">
      <c r="A609" s="191"/>
      <c r="B609" s="191"/>
      <c r="C609" s="191"/>
      <c r="D609" s="191"/>
      <c r="E609" s="191"/>
      <c r="F609" s="191"/>
      <c r="G609" s="386"/>
      <c r="H609" s="386"/>
      <c r="I609" s="46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 spans="1:26" ht="14.4">
      <c r="A610" s="191"/>
      <c r="B610" s="191"/>
      <c r="C610" s="191"/>
      <c r="D610" s="191"/>
      <c r="E610" s="191"/>
      <c r="F610" s="191"/>
      <c r="G610" s="386"/>
      <c r="H610" s="386"/>
      <c r="I610" s="46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 spans="1:26" ht="14.4">
      <c r="A611" s="191"/>
      <c r="B611" s="191"/>
      <c r="C611" s="191"/>
      <c r="D611" s="191"/>
      <c r="E611" s="191"/>
      <c r="F611" s="191"/>
      <c r="G611" s="386"/>
      <c r="H611" s="386"/>
      <c r="I611" s="46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 spans="1:26" ht="14.4">
      <c r="A612" s="191"/>
      <c r="B612" s="191"/>
      <c r="C612" s="191"/>
      <c r="D612" s="191"/>
      <c r="E612" s="191"/>
      <c r="F612" s="191"/>
      <c r="G612" s="386"/>
      <c r="H612" s="386"/>
      <c r="I612" s="46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 spans="1:26" ht="14.4">
      <c r="A613" s="191"/>
      <c r="B613" s="191"/>
      <c r="C613" s="191"/>
      <c r="D613" s="191"/>
      <c r="E613" s="191"/>
      <c r="F613" s="191"/>
      <c r="G613" s="386"/>
      <c r="H613" s="386"/>
      <c r="I613" s="46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 spans="1:26" ht="14.4">
      <c r="A614" s="191"/>
      <c r="B614" s="191"/>
      <c r="C614" s="191"/>
      <c r="D614" s="191"/>
      <c r="E614" s="191"/>
      <c r="F614" s="191"/>
      <c r="G614" s="386"/>
      <c r="H614" s="386"/>
      <c r="I614" s="46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 spans="1:26" ht="14.4">
      <c r="A615" s="191"/>
      <c r="B615" s="191"/>
      <c r="C615" s="191"/>
      <c r="D615" s="191"/>
      <c r="E615" s="191"/>
      <c r="F615" s="191"/>
      <c r="G615" s="386"/>
      <c r="H615" s="386"/>
      <c r="I615" s="46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spans="1:26" ht="14.4">
      <c r="A616" s="191"/>
      <c r="B616" s="191"/>
      <c r="C616" s="191"/>
      <c r="D616" s="191"/>
      <c r="E616" s="191"/>
      <c r="F616" s="191"/>
      <c r="G616" s="386"/>
      <c r="H616" s="386"/>
      <c r="I616" s="46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spans="1:26" ht="14.4">
      <c r="A617" s="191"/>
      <c r="B617" s="191"/>
      <c r="C617" s="191"/>
      <c r="D617" s="191"/>
      <c r="E617" s="191"/>
      <c r="F617" s="191"/>
      <c r="G617" s="386"/>
      <c r="H617" s="386"/>
      <c r="I617" s="46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spans="1:26" ht="14.4">
      <c r="A618" s="191"/>
      <c r="B618" s="191"/>
      <c r="C618" s="191"/>
      <c r="D618" s="191"/>
      <c r="E618" s="191"/>
      <c r="F618" s="191"/>
      <c r="G618" s="386"/>
      <c r="H618" s="386"/>
      <c r="I618" s="46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spans="1:26" ht="14.4">
      <c r="A619" s="191"/>
      <c r="B619" s="191"/>
      <c r="C619" s="191"/>
      <c r="D619" s="191"/>
      <c r="E619" s="191"/>
      <c r="F619" s="191"/>
      <c r="G619" s="386"/>
      <c r="H619" s="386"/>
      <c r="I619" s="46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spans="1:26" ht="14.4">
      <c r="A620" s="191"/>
      <c r="B620" s="191"/>
      <c r="C620" s="191"/>
      <c r="D620" s="191"/>
      <c r="E620" s="191"/>
      <c r="F620" s="191"/>
      <c r="G620" s="386"/>
      <c r="H620" s="386"/>
      <c r="I620" s="46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spans="1:26" ht="14.4">
      <c r="A621" s="191"/>
      <c r="B621" s="191"/>
      <c r="C621" s="191"/>
      <c r="D621" s="191"/>
      <c r="E621" s="191"/>
      <c r="F621" s="191"/>
      <c r="G621" s="386"/>
      <c r="H621" s="386"/>
      <c r="I621" s="46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spans="1:26" ht="14.4">
      <c r="A622" s="191"/>
      <c r="B622" s="191"/>
      <c r="C622" s="191"/>
      <c r="D622" s="191"/>
      <c r="E622" s="191"/>
      <c r="F622" s="191"/>
      <c r="G622" s="386"/>
      <c r="H622" s="386"/>
      <c r="I622" s="46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spans="1:26" ht="14.4">
      <c r="A623" s="191"/>
      <c r="B623" s="191"/>
      <c r="C623" s="191"/>
      <c r="D623" s="191"/>
      <c r="E623" s="191"/>
      <c r="F623" s="191"/>
      <c r="G623" s="386"/>
      <c r="H623" s="386"/>
      <c r="I623" s="46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spans="1:26" ht="14.4">
      <c r="A624" s="191"/>
      <c r="B624" s="191"/>
      <c r="C624" s="191"/>
      <c r="D624" s="191"/>
      <c r="E624" s="191"/>
      <c r="F624" s="191"/>
      <c r="G624" s="386"/>
      <c r="H624" s="386"/>
      <c r="I624" s="46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spans="1:26" ht="14.4">
      <c r="A625" s="191"/>
      <c r="B625" s="191"/>
      <c r="C625" s="191"/>
      <c r="D625" s="191"/>
      <c r="E625" s="191"/>
      <c r="F625" s="191"/>
      <c r="G625" s="386"/>
      <c r="H625" s="386"/>
      <c r="I625" s="46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spans="1:26" ht="14.4">
      <c r="A626" s="191"/>
      <c r="B626" s="191"/>
      <c r="C626" s="191"/>
      <c r="D626" s="191"/>
      <c r="E626" s="191"/>
      <c r="F626" s="191"/>
      <c r="G626" s="386"/>
      <c r="H626" s="386"/>
      <c r="I626" s="46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spans="1:26" ht="14.4">
      <c r="A627" s="191"/>
      <c r="B627" s="191"/>
      <c r="C627" s="191"/>
      <c r="D627" s="191"/>
      <c r="E627" s="191"/>
      <c r="F627" s="191"/>
      <c r="G627" s="386"/>
      <c r="H627" s="386"/>
      <c r="I627" s="46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spans="1:26" ht="14.4">
      <c r="A628" s="191"/>
      <c r="B628" s="191"/>
      <c r="C628" s="191"/>
      <c r="D628" s="191"/>
      <c r="E628" s="191"/>
      <c r="F628" s="191"/>
      <c r="G628" s="386"/>
      <c r="H628" s="386"/>
      <c r="I628" s="46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spans="1:26" ht="14.4">
      <c r="A629" s="191"/>
      <c r="B629" s="191"/>
      <c r="C629" s="191"/>
      <c r="D629" s="191"/>
      <c r="E629" s="191"/>
      <c r="F629" s="191"/>
      <c r="G629" s="386"/>
      <c r="H629" s="386"/>
      <c r="I629" s="46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spans="1:26" ht="14.4">
      <c r="A630" s="191"/>
      <c r="B630" s="191"/>
      <c r="C630" s="191"/>
      <c r="D630" s="191"/>
      <c r="E630" s="191"/>
      <c r="F630" s="191"/>
      <c r="G630" s="386"/>
      <c r="H630" s="386"/>
      <c r="I630" s="46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 spans="1:26" ht="14.4">
      <c r="A631" s="191"/>
      <c r="B631" s="191"/>
      <c r="C631" s="191"/>
      <c r="D631" s="191"/>
      <c r="E631" s="191"/>
      <c r="F631" s="191"/>
      <c r="G631" s="386"/>
      <c r="H631" s="386"/>
      <c r="I631" s="46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 spans="1:26" ht="14.4">
      <c r="A632" s="191"/>
      <c r="B632" s="191"/>
      <c r="C632" s="191"/>
      <c r="D632" s="191"/>
      <c r="E632" s="191"/>
      <c r="F632" s="191"/>
      <c r="G632" s="386"/>
      <c r="H632" s="386"/>
      <c r="I632" s="46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 spans="1:26" ht="14.4">
      <c r="A633" s="191"/>
      <c r="B633" s="191"/>
      <c r="C633" s="191"/>
      <c r="D633" s="191"/>
      <c r="E633" s="191"/>
      <c r="F633" s="191"/>
      <c r="G633" s="386"/>
      <c r="H633" s="386"/>
      <c r="I633" s="46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 spans="1:26" ht="14.4">
      <c r="A634" s="191"/>
      <c r="B634" s="191"/>
      <c r="C634" s="191"/>
      <c r="D634" s="191"/>
      <c r="E634" s="191"/>
      <c r="F634" s="191"/>
      <c r="G634" s="386"/>
      <c r="H634" s="386"/>
      <c r="I634" s="46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 spans="1:26" ht="14.4">
      <c r="A635" s="191"/>
      <c r="B635" s="191"/>
      <c r="C635" s="191"/>
      <c r="D635" s="191"/>
      <c r="E635" s="191"/>
      <c r="F635" s="191"/>
      <c r="G635" s="386"/>
      <c r="H635" s="386"/>
      <c r="I635" s="46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 spans="1:26" ht="14.4">
      <c r="A636" s="191"/>
      <c r="B636" s="191"/>
      <c r="C636" s="191"/>
      <c r="D636" s="191"/>
      <c r="E636" s="191"/>
      <c r="F636" s="191"/>
      <c r="G636" s="386"/>
      <c r="H636" s="386"/>
      <c r="I636" s="46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 spans="1:26" ht="14.4">
      <c r="A637" s="191"/>
      <c r="B637" s="191"/>
      <c r="C637" s="191"/>
      <c r="D637" s="191"/>
      <c r="E637" s="191"/>
      <c r="F637" s="191"/>
      <c r="G637" s="386"/>
      <c r="H637" s="386"/>
      <c r="I637" s="46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 spans="1:26" ht="14.4">
      <c r="A638" s="191"/>
      <c r="B638" s="191"/>
      <c r="C638" s="191"/>
      <c r="D638" s="191"/>
      <c r="E638" s="191"/>
      <c r="F638" s="191"/>
      <c r="G638" s="386"/>
      <c r="H638" s="386"/>
      <c r="I638" s="46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 spans="1:26" ht="14.4">
      <c r="A639" s="191"/>
      <c r="B639" s="191"/>
      <c r="C639" s="191"/>
      <c r="D639" s="191"/>
      <c r="E639" s="191"/>
      <c r="F639" s="191"/>
      <c r="G639" s="386"/>
      <c r="H639" s="386"/>
      <c r="I639" s="46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 spans="1:26" ht="14.4">
      <c r="A640" s="191"/>
      <c r="B640" s="191"/>
      <c r="C640" s="191"/>
      <c r="D640" s="191"/>
      <c r="E640" s="191"/>
      <c r="F640" s="191"/>
      <c r="G640" s="386"/>
      <c r="H640" s="386"/>
      <c r="I640" s="46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 spans="1:26" ht="14.4">
      <c r="A641" s="191"/>
      <c r="B641" s="191"/>
      <c r="C641" s="191"/>
      <c r="D641" s="191"/>
      <c r="E641" s="191"/>
      <c r="F641" s="191"/>
      <c r="G641" s="386"/>
      <c r="H641" s="386"/>
      <c r="I641" s="46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 spans="1:26" ht="14.4">
      <c r="A642" s="191"/>
      <c r="B642" s="191"/>
      <c r="C642" s="191"/>
      <c r="D642" s="191"/>
      <c r="E642" s="191"/>
      <c r="F642" s="191"/>
      <c r="G642" s="386"/>
      <c r="H642" s="386"/>
      <c r="I642" s="46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 spans="1:26" ht="14.4">
      <c r="A643" s="191"/>
      <c r="B643" s="191"/>
      <c r="C643" s="191"/>
      <c r="D643" s="191"/>
      <c r="E643" s="191"/>
      <c r="F643" s="191"/>
      <c r="G643" s="386"/>
      <c r="H643" s="386"/>
      <c r="I643" s="46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 spans="1:26" ht="14.4">
      <c r="A644" s="191"/>
      <c r="B644" s="191"/>
      <c r="C644" s="191"/>
      <c r="D644" s="191"/>
      <c r="E644" s="191"/>
      <c r="F644" s="191"/>
      <c r="G644" s="386"/>
      <c r="H644" s="386"/>
      <c r="I644" s="46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 spans="1:26" ht="14.4">
      <c r="A645" s="191"/>
      <c r="B645" s="191"/>
      <c r="C645" s="191"/>
      <c r="D645" s="191"/>
      <c r="E645" s="191"/>
      <c r="F645" s="191"/>
      <c r="G645" s="386"/>
      <c r="H645" s="386"/>
      <c r="I645" s="46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 spans="1:26" ht="14.4">
      <c r="A646" s="191"/>
      <c r="B646" s="191"/>
      <c r="C646" s="191"/>
      <c r="D646" s="191"/>
      <c r="E646" s="191"/>
      <c r="F646" s="191"/>
      <c r="G646" s="386"/>
      <c r="H646" s="386"/>
      <c r="I646" s="46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 spans="1:26" ht="14.4">
      <c r="A647" s="191"/>
      <c r="B647" s="191"/>
      <c r="C647" s="191"/>
      <c r="D647" s="191"/>
      <c r="E647" s="191"/>
      <c r="F647" s="191"/>
      <c r="G647" s="386"/>
      <c r="H647" s="386"/>
      <c r="I647" s="46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 spans="1:26" ht="14.4">
      <c r="A648" s="191"/>
      <c r="B648" s="191"/>
      <c r="C648" s="191"/>
      <c r="D648" s="191"/>
      <c r="E648" s="191"/>
      <c r="F648" s="191"/>
      <c r="G648" s="386"/>
      <c r="H648" s="386"/>
      <c r="I648" s="46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 spans="1:26" ht="14.4">
      <c r="A649" s="191"/>
      <c r="B649" s="191"/>
      <c r="C649" s="191"/>
      <c r="D649" s="191"/>
      <c r="E649" s="191"/>
      <c r="F649" s="191"/>
      <c r="G649" s="386"/>
      <c r="H649" s="386"/>
      <c r="I649" s="46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 spans="1:26" ht="14.4">
      <c r="A650" s="191"/>
      <c r="B650" s="191"/>
      <c r="C650" s="191"/>
      <c r="D650" s="191"/>
      <c r="E650" s="191"/>
      <c r="F650" s="191"/>
      <c r="G650" s="386"/>
      <c r="H650" s="386"/>
      <c r="I650" s="46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 spans="1:26" ht="14.4">
      <c r="A651" s="191"/>
      <c r="B651" s="191"/>
      <c r="C651" s="191"/>
      <c r="D651" s="191"/>
      <c r="E651" s="191"/>
      <c r="F651" s="191"/>
      <c r="G651" s="386"/>
      <c r="H651" s="386"/>
      <c r="I651" s="46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 spans="1:26" ht="14.4">
      <c r="A652" s="191"/>
      <c r="B652" s="191"/>
      <c r="C652" s="191"/>
      <c r="D652" s="191"/>
      <c r="E652" s="191"/>
      <c r="F652" s="191"/>
      <c r="G652" s="386"/>
      <c r="H652" s="386"/>
      <c r="I652" s="46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 spans="1:26" ht="14.4">
      <c r="A653" s="191"/>
      <c r="B653" s="191"/>
      <c r="C653" s="191"/>
      <c r="D653" s="191"/>
      <c r="E653" s="191"/>
      <c r="F653" s="191"/>
      <c r="G653" s="386"/>
      <c r="H653" s="386"/>
      <c r="I653" s="46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 spans="1:26" ht="14.4">
      <c r="A654" s="191"/>
      <c r="B654" s="191"/>
      <c r="C654" s="191"/>
      <c r="D654" s="191"/>
      <c r="E654" s="191"/>
      <c r="F654" s="191"/>
      <c r="G654" s="386"/>
      <c r="H654" s="386"/>
      <c r="I654" s="46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 spans="1:26" ht="14.4">
      <c r="A655" s="191"/>
      <c r="B655" s="191"/>
      <c r="C655" s="191"/>
      <c r="D655" s="191"/>
      <c r="E655" s="191"/>
      <c r="F655" s="191"/>
      <c r="G655" s="386"/>
      <c r="H655" s="386"/>
      <c r="I655" s="46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 spans="1:26" ht="14.4">
      <c r="A656" s="191"/>
      <c r="B656" s="191"/>
      <c r="C656" s="191"/>
      <c r="D656" s="191"/>
      <c r="E656" s="191"/>
      <c r="F656" s="191"/>
      <c r="G656" s="386"/>
      <c r="H656" s="386"/>
      <c r="I656" s="46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 spans="1:26" ht="14.4">
      <c r="A657" s="191"/>
      <c r="B657" s="191"/>
      <c r="C657" s="191"/>
      <c r="D657" s="191"/>
      <c r="E657" s="191"/>
      <c r="F657" s="191"/>
      <c r="G657" s="386"/>
      <c r="H657" s="386"/>
      <c r="I657" s="46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 spans="1:26" ht="14.4">
      <c r="A658" s="191"/>
      <c r="B658" s="191"/>
      <c r="C658" s="191"/>
      <c r="D658" s="191"/>
      <c r="E658" s="191"/>
      <c r="F658" s="191"/>
      <c r="G658" s="386"/>
      <c r="H658" s="386"/>
      <c r="I658" s="46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 spans="1:26" ht="14.4">
      <c r="A659" s="191"/>
      <c r="B659" s="191"/>
      <c r="C659" s="191"/>
      <c r="D659" s="191"/>
      <c r="E659" s="191"/>
      <c r="F659" s="191"/>
      <c r="G659" s="386"/>
      <c r="H659" s="386"/>
      <c r="I659" s="46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 spans="1:26" ht="14.4">
      <c r="A660" s="191"/>
      <c r="B660" s="191"/>
      <c r="C660" s="191"/>
      <c r="D660" s="191"/>
      <c r="E660" s="191"/>
      <c r="F660" s="191"/>
      <c r="G660" s="386"/>
      <c r="H660" s="386"/>
      <c r="I660" s="46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 spans="1:26" ht="14.4">
      <c r="A661" s="191"/>
      <c r="B661" s="191"/>
      <c r="C661" s="191"/>
      <c r="D661" s="191"/>
      <c r="E661" s="191"/>
      <c r="F661" s="191"/>
      <c r="G661" s="386"/>
      <c r="H661" s="386"/>
      <c r="I661" s="46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 spans="1:26" ht="14.4">
      <c r="A662" s="191"/>
      <c r="B662" s="191"/>
      <c r="C662" s="191"/>
      <c r="D662" s="191"/>
      <c r="E662" s="191"/>
      <c r="F662" s="191"/>
      <c r="G662" s="386"/>
      <c r="H662" s="386"/>
      <c r="I662" s="46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 spans="1:26" ht="14.4">
      <c r="A663" s="191"/>
      <c r="B663" s="191"/>
      <c r="C663" s="191"/>
      <c r="D663" s="191"/>
      <c r="E663" s="191"/>
      <c r="F663" s="191"/>
      <c r="G663" s="386"/>
      <c r="H663" s="386"/>
      <c r="I663" s="46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 spans="1:26" ht="14.4">
      <c r="A664" s="191"/>
      <c r="B664" s="191"/>
      <c r="C664" s="191"/>
      <c r="D664" s="191"/>
      <c r="E664" s="191"/>
      <c r="F664" s="191"/>
      <c r="G664" s="386"/>
      <c r="H664" s="386"/>
      <c r="I664" s="46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 spans="1:26" ht="14.4">
      <c r="A665" s="191"/>
      <c r="B665" s="191"/>
      <c r="C665" s="191"/>
      <c r="D665" s="191"/>
      <c r="E665" s="191"/>
      <c r="F665" s="191"/>
      <c r="G665" s="386"/>
      <c r="H665" s="386"/>
      <c r="I665" s="46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 spans="1:26" ht="14.4">
      <c r="A666" s="191"/>
      <c r="B666" s="191"/>
      <c r="C666" s="191"/>
      <c r="D666" s="191"/>
      <c r="E666" s="191"/>
      <c r="F666" s="191"/>
      <c r="G666" s="386"/>
      <c r="H666" s="386"/>
      <c r="I666" s="46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 spans="1:26" ht="14.4">
      <c r="A667" s="191"/>
      <c r="B667" s="191"/>
      <c r="C667" s="191"/>
      <c r="D667" s="191"/>
      <c r="E667" s="191"/>
      <c r="F667" s="191"/>
      <c r="G667" s="386"/>
      <c r="H667" s="386"/>
      <c r="I667" s="46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 spans="1:26" ht="14.4">
      <c r="A668" s="191"/>
      <c r="B668" s="191"/>
      <c r="C668" s="191"/>
      <c r="D668" s="191"/>
      <c r="E668" s="191"/>
      <c r="F668" s="191"/>
      <c r="G668" s="386"/>
      <c r="H668" s="386"/>
      <c r="I668" s="46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 spans="1:26" ht="14.4">
      <c r="A669" s="191"/>
      <c r="B669" s="191"/>
      <c r="C669" s="191"/>
      <c r="D669" s="191"/>
      <c r="E669" s="191"/>
      <c r="F669" s="191"/>
      <c r="G669" s="386"/>
      <c r="H669" s="386"/>
      <c r="I669" s="46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 spans="1:26" ht="14.4">
      <c r="A670" s="191"/>
      <c r="B670" s="191"/>
      <c r="C670" s="191"/>
      <c r="D670" s="191"/>
      <c r="E670" s="191"/>
      <c r="F670" s="191"/>
      <c r="G670" s="386"/>
      <c r="H670" s="386"/>
      <c r="I670" s="46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 spans="1:26" ht="14.4">
      <c r="A671" s="191"/>
      <c r="B671" s="191"/>
      <c r="C671" s="191"/>
      <c r="D671" s="191"/>
      <c r="E671" s="191"/>
      <c r="F671" s="191"/>
      <c r="G671" s="386"/>
      <c r="H671" s="386"/>
      <c r="I671" s="46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 spans="1:26" ht="14.4">
      <c r="A672" s="191"/>
      <c r="B672" s="191"/>
      <c r="C672" s="191"/>
      <c r="D672" s="191"/>
      <c r="E672" s="191"/>
      <c r="F672" s="191"/>
      <c r="G672" s="386"/>
      <c r="H672" s="386"/>
      <c r="I672" s="46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 spans="1:26" ht="14.4">
      <c r="A673" s="191"/>
      <c r="B673" s="191"/>
      <c r="C673" s="191"/>
      <c r="D673" s="191"/>
      <c r="E673" s="191"/>
      <c r="F673" s="191"/>
      <c r="G673" s="386"/>
      <c r="H673" s="386"/>
      <c r="I673" s="46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 spans="1:26" ht="14.4">
      <c r="A674" s="191"/>
      <c r="B674" s="191"/>
      <c r="C674" s="191"/>
      <c r="D674" s="191"/>
      <c r="E674" s="191"/>
      <c r="F674" s="191"/>
      <c r="G674" s="386"/>
      <c r="H674" s="386"/>
      <c r="I674" s="46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 spans="1:26" ht="14.4">
      <c r="A675" s="191"/>
      <c r="B675" s="191"/>
      <c r="C675" s="191"/>
      <c r="D675" s="191"/>
      <c r="E675" s="191"/>
      <c r="F675" s="191"/>
      <c r="G675" s="386"/>
      <c r="H675" s="386"/>
      <c r="I675" s="46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 spans="1:26" ht="14.4">
      <c r="A676" s="191"/>
      <c r="B676" s="191"/>
      <c r="C676" s="191"/>
      <c r="D676" s="191"/>
      <c r="E676" s="191"/>
      <c r="F676" s="191"/>
      <c r="G676" s="386"/>
      <c r="H676" s="386"/>
      <c r="I676" s="46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 spans="1:26" ht="14.4">
      <c r="A677" s="191"/>
      <c r="B677" s="191"/>
      <c r="C677" s="191"/>
      <c r="D677" s="191"/>
      <c r="E677" s="191"/>
      <c r="F677" s="191"/>
      <c r="G677" s="386"/>
      <c r="H677" s="386"/>
      <c r="I677" s="46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 spans="1:26" ht="14.4">
      <c r="A678" s="191"/>
      <c r="B678" s="191"/>
      <c r="C678" s="191"/>
      <c r="D678" s="191"/>
      <c r="E678" s="191"/>
      <c r="F678" s="191"/>
      <c r="G678" s="386"/>
      <c r="H678" s="386"/>
      <c r="I678" s="46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 spans="1:26" ht="14.4">
      <c r="A679" s="191"/>
      <c r="B679" s="191"/>
      <c r="C679" s="191"/>
      <c r="D679" s="191"/>
      <c r="E679" s="191"/>
      <c r="F679" s="191"/>
      <c r="G679" s="386"/>
      <c r="H679" s="386"/>
      <c r="I679" s="46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 spans="1:26" ht="14.4">
      <c r="A680" s="191"/>
      <c r="B680" s="191"/>
      <c r="C680" s="191"/>
      <c r="D680" s="191"/>
      <c r="E680" s="191"/>
      <c r="F680" s="191"/>
      <c r="G680" s="386"/>
      <c r="H680" s="386"/>
      <c r="I680" s="46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 spans="1:26" ht="14.4">
      <c r="A681" s="191"/>
      <c r="B681" s="191"/>
      <c r="C681" s="191"/>
      <c r="D681" s="191"/>
      <c r="E681" s="191"/>
      <c r="F681" s="191"/>
      <c r="G681" s="386"/>
      <c r="H681" s="386"/>
      <c r="I681" s="46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 spans="1:26" ht="14.4">
      <c r="A682" s="191"/>
      <c r="B682" s="191"/>
      <c r="C682" s="191"/>
      <c r="D682" s="191"/>
      <c r="E682" s="191"/>
      <c r="F682" s="191"/>
      <c r="G682" s="386"/>
      <c r="H682" s="386"/>
      <c r="I682" s="46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 spans="1:26" ht="14.4">
      <c r="A683" s="191"/>
      <c r="B683" s="191"/>
      <c r="C683" s="191"/>
      <c r="D683" s="191"/>
      <c r="E683" s="191"/>
      <c r="F683" s="191"/>
      <c r="G683" s="386"/>
      <c r="H683" s="386"/>
      <c r="I683" s="46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 spans="1:26" ht="14.4">
      <c r="A684" s="191"/>
      <c r="B684" s="191"/>
      <c r="C684" s="191"/>
      <c r="D684" s="191"/>
      <c r="E684" s="191"/>
      <c r="F684" s="191"/>
      <c r="G684" s="386"/>
      <c r="H684" s="386"/>
      <c r="I684" s="46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spans="1:26" ht="14.4">
      <c r="A685" s="191"/>
      <c r="B685" s="191"/>
      <c r="C685" s="191"/>
      <c r="D685" s="191"/>
      <c r="E685" s="191"/>
      <c r="F685" s="191"/>
      <c r="G685" s="386"/>
      <c r="H685" s="386"/>
      <c r="I685" s="46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spans="1:26" ht="14.4">
      <c r="A686" s="191"/>
      <c r="B686" s="191"/>
      <c r="C686" s="191"/>
      <c r="D686" s="191"/>
      <c r="E686" s="191"/>
      <c r="F686" s="191"/>
      <c r="G686" s="386"/>
      <c r="H686" s="386"/>
      <c r="I686" s="46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spans="1:26" ht="14.4">
      <c r="A687" s="191"/>
      <c r="B687" s="191"/>
      <c r="C687" s="191"/>
      <c r="D687" s="191"/>
      <c r="E687" s="191"/>
      <c r="F687" s="191"/>
      <c r="G687" s="386"/>
      <c r="H687" s="386"/>
      <c r="I687" s="46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spans="1:26" ht="14.4">
      <c r="A688" s="191"/>
      <c r="B688" s="191"/>
      <c r="C688" s="191"/>
      <c r="D688" s="191"/>
      <c r="E688" s="191"/>
      <c r="F688" s="191"/>
      <c r="G688" s="386"/>
      <c r="H688" s="386"/>
      <c r="I688" s="46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spans="1:26" ht="14.4">
      <c r="A689" s="191"/>
      <c r="B689" s="191"/>
      <c r="C689" s="191"/>
      <c r="D689" s="191"/>
      <c r="E689" s="191"/>
      <c r="F689" s="191"/>
      <c r="G689" s="386"/>
      <c r="H689" s="386"/>
      <c r="I689" s="46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 spans="1:26" ht="14.4">
      <c r="A690" s="191"/>
      <c r="B690" s="191"/>
      <c r="C690" s="191"/>
      <c r="D690" s="191"/>
      <c r="E690" s="191"/>
      <c r="F690" s="191"/>
      <c r="G690" s="386"/>
      <c r="H690" s="386"/>
      <c r="I690" s="46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 spans="1:26" ht="14.4">
      <c r="A691" s="191"/>
      <c r="B691" s="191"/>
      <c r="C691" s="191"/>
      <c r="D691" s="191"/>
      <c r="E691" s="191"/>
      <c r="F691" s="191"/>
      <c r="G691" s="386"/>
      <c r="H691" s="386"/>
      <c r="I691" s="46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 spans="1:26" ht="14.4">
      <c r="A692" s="191"/>
      <c r="B692" s="191"/>
      <c r="C692" s="191"/>
      <c r="D692" s="191"/>
      <c r="E692" s="191"/>
      <c r="F692" s="191"/>
      <c r="G692" s="386"/>
      <c r="H692" s="386"/>
      <c r="I692" s="46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 spans="1:26" ht="14.4">
      <c r="A693" s="191"/>
      <c r="B693" s="191"/>
      <c r="C693" s="191"/>
      <c r="D693" s="191"/>
      <c r="E693" s="191"/>
      <c r="F693" s="191"/>
      <c r="G693" s="386"/>
      <c r="H693" s="386"/>
      <c r="I693" s="46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 spans="1:26" ht="14.4">
      <c r="A694" s="191"/>
      <c r="B694" s="191"/>
      <c r="C694" s="191"/>
      <c r="D694" s="191"/>
      <c r="E694" s="191"/>
      <c r="F694" s="191"/>
      <c r="G694" s="386"/>
      <c r="H694" s="386"/>
      <c r="I694" s="46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 spans="1:26" ht="14.4">
      <c r="A695" s="191"/>
      <c r="B695" s="191"/>
      <c r="C695" s="191"/>
      <c r="D695" s="191"/>
      <c r="E695" s="191"/>
      <c r="F695" s="191"/>
      <c r="G695" s="386"/>
      <c r="H695" s="386"/>
      <c r="I695" s="46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 spans="1:26" ht="14.4">
      <c r="A696" s="191"/>
      <c r="B696" s="191"/>
      <c r="C696" s="191"/>
      <c r="D696" s="191"/>
      <c r="E696" s="191"/>
      <c r="F696" s="191"/>
      <c r="G696" s="386"/>
      <c r="H696" s="386"/>
      <c r="I696" s="46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 spans="1:26" ht="14.4">
      <c r="A697" s="191"/>
      <c r="B697" s="191"/>
      <c r="C697" s="191"/>
      <c r="D697" s="191"/>
      <c r="E697" s="191"/>
      <c r="F697" s="191"/>
      <c r="G697" s="386"/>
      <c r="H697" s="386"/>
      <c r="I697" s="46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 spans="1:26" ht="14.4">
      <c r="A698" s="191"/>
      <c r="B698" s="191"/>
      <c r="C698" s="191"/>
      <c r="D698" s="191"/>
      <c r="E698" s="191"/>
      <c r="F698" s="191"/>
      <c r="G698" s="386"/>
      <c r="H698" s="386"/>
      <c r="I698" s="46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 spans="1:26" ht="14.4">
      <c r="A699" s="191"/>
      <c r="B699" s="191"/>
      <c r="C699" s="191"/>
      <c r="D699" s="191"/>
      <c r="E699" s="191"/>
      <c r="F699" s="191"/>
      <c r="G699" s="386"/>
      <c r="H699" s="386"/>
      <c r="I699" s="46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 spans="1:26" ht="14.4">
      <c r="A700" s="191"/>
      <c r="B700" s="191"/>
      <c r="C700" s="191"/>
      <c r="D700" s="191"/>
      <c r="E700" s="191"/>
      <c r="F700" s="191"/>
      <c r="G700" s="386"/>
      <c r="H700" s="386"/>
      <c r="I700" s="46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 spans="1:26" ht="14.4">
      <c r="A701" s="191"/>
      <c r="B701" s="191"/>
      <c r="C701" s="191"/>
      <c r="D701" s="191"/>
      <c r="E701" s="191"/>
      <c r="F701" s="191"/>
      <c r="G701" s="386"/>
      <c r="H701" s="386"/>
      <c r="I701" s="46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 spans="1:26" ht="14.4">
      <c r="A702" s="191"/>
      <c r="B702" s="191"/>
      <c r="C702" s="191"/>
      <c r="D702" s="191"/>
      <c r="E702" s="191"/>
      <c r="F702" s="191"/>
      <c r="G702" s="386"/>
      <c r="H702" s="386"/>
      <c r="I702" s="46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 spans="1:26" ht="14.4">
      <c r="A703" s="191"/>
      <c r="B703" s="191"/>
      <c r="C703" s="191"/>
      <c r="D703" s="191"/>
      <c r="E703" s="191"/>
      <c r="F703" s="191"/>
      <c r="G703" s="386"/>
      <c r="H703" s="386"/>
      <c r="I703" s="46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 spans="1:26" ht="14.4">
      <c r="A704" s="191"/>
      <c r="B704" s="191"/>
      <c r="C704" s="191"/>
      <c r="D704" s="191"/>
      <c r="E704" s="191"/>
      <c r="F704" s="191"/>
      <c r="G704" s="386"/>
      <c r="H704" s="386"/>
      <c r="I704" s="46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 spans="1:26" ht="14.4">
      <c r="A705" s="191"/>
      <c r="B705" s="191"/>
      <c r="C705" s="191"/>
      <c r="D705" s="191"/>
      <c r="E705" s="191"/>
      <c r="F705" s="191"/>
      <c r="G705" s="386"/>
      <c r="H705" s="386"/>
      <c r="I705" s="46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 spans="1:26" ht="14.4">
      <c r="A706" s="191"/>
      <c r="B706" s="191"/>
      <c r="C706" s="191"/>
      <c r="D706" s="191"/>
      <c r="E706" s="191"/>
      <c r="F706" s="191"/>
      <c r="G706" s="386"/>
      <c r="H706" s="386"/>
      <c r="I706" s="46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 spans="1:26" ht="14.4">
      <c r="A707" s="191"/>
      <c r="B707" s="191"/>
      <c r="C707" s="191"/>
      <c r="D707" s="191"/>
      <c r="E707" s="191"/>
      <c r="F707" s="191"/>
      <c r="G707" s="386"/>
      <c r="H707" s="386"/>
      <c r="I707" s="46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 spans="1:26" ht="14.4">
      <c r="A708" s="191"/>
      <c r="B708" s="191"/>
      <c r="C708" s="191"/>
      <c r="D708" s="191"/>
      <c r="E708" s="191"/>
      <c r="F708" s="191"/>
      <c r="G708" s="386"/>
      <c r="H708" s="386"/>
      <c r="I708" s="46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 spans="1:26" ht="14.4">
      <c r="A709" s="191"/>
      <c r="B709" s="191"/>
      <c r="C709" s="191"/>
      <c r="D709" s="191"/>
      <c r="E709" s="191"/>
      <c r="F709" s="191"/>
      <c r="G709" s="386"/>
      <c r="H709" s="386"/>
      <c r="I709" s="46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 spans="1:26" ht="14.4">
      <c r="A710" s="191"/>
      <c r="B710" s="191"/>
      <c r="C710" s="191"/>
      <c r="D710" s="191"/>
      <c r="E710" s="191"/>
      <c r="F710" s="191"/>
      <c r="G710" s="386"/>
      <c r="H710" s="386"/>
      <c r="I710" s="46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 spans="1:26" ht="14.4">
      <c r="A711" s="191"/>
      <c r="B711" s="191"/>
      <c r="C711" s="191"/>
      <c r="D711" s="191"/>
      <c r="E711" s="191"/>
      <c r="F711" s="191"/>
      <c r="G711" s="386"/>
      <c r="H711" s="386"/>
      <c r="I711" s="46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 spans="1:26" ht="14.4">
      <c r="A712" s="191"/>
      <c r="B712" s="191"/>
      <c r="C712" s="191"/>
      <c r="D712" s="191"/>
      <c r="E712" s="191"/>
      <c r="F712" s="191"/>
      <c r="G712" s="386"/>
      <c r="H712" s="386"/>
      <c r="I712" s="46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 spans="1:26" ht="14.4">
      <c r="A713" s="191"/>
      <c r="B713" s="191"/>
      <c r="C713" s="191"/>
      <c r="D713" s="191"/>
      <c r="E713" s="191"/>
      <c r="F713" s="191"/>
      <c r="G713" s="386"/>
      <c r="H713" s="386"/>
      <c r="I713" s="46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 spans="1:26" ht="14.4">
      <c r="A714" s="191"/>
      <c r="B714" s="191"/>
      <c r="C714" s="191"/>
      <c r="D714" s="191"/>
      <c r="E714" s="191"/>
      <c r="F714" s="191"/>
      <c r="G714" s="386"/>
      <c r="H714" s="386"/>
      <c r="I714" s="46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 spans="1:26" ht="14.4">
      <c r="A715" s="191"/>
      <c r="B715" s="191"/>
      <c r="C715" s="191"/>
      <c r="D715" s="191"/>
      <c r="E715" s="191"/>
      <c r="F715" s="191"/>
      <c r="G715" s="386"/>
      <c r="H715" s="386"/>
      <c r="I715" s="46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 spans="1:26" ht="14.4">
      <c r="A716" s="191"/>
      <c r="B716" s="191"/>
      <c r="C716" s="191"/>
      <c r="D716" s="191"/>
      <c r="E716" s="191"/>
      <c r="F716" s="191"/>
      <c r="G716" s="386"/>
      <c r="H716" s="386"/>
      <c r="I716" s="46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 spans="1:26" ht="14.4">
      <c r="A717" s="191"/>
      <c r="B717" s="191"/>
      <c r="C717" s="191"/>
      <c r="D717" s="191"/>
      <c r="E717" s="191"/>
      <c r="F717" s="191"/>
      <c r="G717" s="386"/>
      <c r="H717" s="386"/>
      <c r="I717" s="46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 spans="1:26" ht="14.4">
      <c r="A718" s="191"/>
      <c r="B718" s="191"/>
      <c r="C718" s="191"/>
      <c r="D718" s="191"/>
      <c r="E718" s="191"/>
      <c r="F718" s="191"/>
      <c r="G718" s="386"/>
      <c r="H718" s="386"/>
      <c r="I718" s="46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 spans="1:26" ht="14.4">
      <c r="A719" s="191"/>
      <c r="B719" s="191"/>
      <c r="C719" s="191"/>
      <c r="D719" s="191"/>
      <c r="E719" s="191"/>
      <c r="F719" s="191"/>
      <c r="G719" s="386"/>
      <c r="H719" s="386"/>
      <c r="I719" s="46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 spans="1:26" ht="14.4">
      <c r="A720" s="191"/>
      <c r="B720" s="191"/>
      <c r="C720" s="191"/>
      <c r="D720" s="191"/>
      <c r="E720" s="191"/>
      <c r="F720" s="191"/>
      <c r="G720" s="386"/>
      <c r="H720" s="386"/>
      <c r="I720" s="46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 spans="1:26" ht="14.4">
      <c r="A721" s="191"/>
      <c r="B721" s="191"/>
      <c r="C721" s="191"/>
      <c r="D721" s="191"/>
      <c r="E721" s="191"/>
      <c r="F721" s="191"/>
      <c r="G721" s="386"/>
      <c r="H721" s="386"/>
      <c r="I721" s="46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 spans="1:26" ht="14.4">
      <c r="A722" s="191"/>
      <c r="B722" s="191"/>
      <c r="C722" s="191"/>
      <c r="D722" s="191"/>
      <c r="E722" s="191"/>
      <c r="F722" s="191"/>
      <c r="G722" s="386"/>
      <c r="H722" s="386"/>
      <c r="I722" s="46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 spans="1:26" ht="14.4">
      <c r="A723" s="191"/>
      <c r="B723" s="191"/>
      <c r="C723" s="191"/>
      <c r="D723" s="191"/>
      <c r="E723" s="191"/>
      <c r="F723" s="191"/>
      <c r="G723" s="386"/>
      <c r="H723" s="386"/>
      <c r="I723" s="46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 spans="1:26" ht="14.4">
      <c r="A724" s="191"/>
      <c r="B724" s="191"/>
      <c r="C724" s="191"/>
      <c r="D724" s="191"/>
      <c r="E724" s="191"/>
      <c r="F724" s="191"/>
      <c r="G724" s="386"/>
      <c r="H724" s="386"/>
      <c r="I724" s="46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 spans="1:26" ht="14.4">
      <c r="A725" s="191"/>
      <c r="B725" s="191"/>
      <c r="C725" s="191"/>
      <c r="D725" s="191"/>
      <c r="E725" s="191"/>
      <c r="F725" s="191"/>
      <c r="G725" s="386"/>
      <c r="H725" s="386"/>
      <c r="I725" s="46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 spans="1:26" ht="14.4">
      <c r="A726" s="191"/>
      <c r="B726" s="191"/>
      <c r="C726" s="191"/>
      <c r="D726" s="191"/>
      <c r="E726" s="191"/>
      <c r="F726" s="191"/>
      <c r="G726" s="386"/>
      <c r="H726" s="386"/>
      <c r="I726" s="46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 spans="1:26" ht="14.4">
      <c r="A727" s="191"/>
      <c r="B727" s="191"/>
      <c r="C727" s="191"/>
      <c r="D727" s="191"/>
      <c r="E727" s="191"/>
      <c r="F727" s="191"/>
      <c r="G727" s="386"/>
      <c r="H727" s="386"/>
      <c r="I727" s="46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 spans="1:26" ht="14.4">
      <c r="A728" s="191"/>
      <c r="B728" s="191"/>
      <c r="C728" s="191"/>
      <c r="D728" s="191"/>
      <c r="E728" s="191"/>
      <c r="F728" s="191"/>
      <c r="G728" s="386"/>
      <c r="H728" s="386"/>
      <c r="I728" s="46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 spans="1:26" ht="14.4">
      <c r="A729" s="191"/>
      <c r="B729" s="191"/>
      <c r="C729" s="191"/>
      <c r="D729" s="191"/>
      <c r="E729" s="191"/>
      <c r="F729" s="191"/>
      <c r="G729" s="386"/>
      <c r="H729" s="386"/>
      <c r="I729" s="46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 spans="1:26" ht="14.4">
      <c r="A730" s="191"/>
      <c r="B730" s="191"/>
      <c r="C730" s="191"/>
      <c r="D730" s="191"/>
      <c r="E730" s="191"/>
      <c r="F730" s="191"/>
      <c r="G730" s="386"/>
      <c r="H730" s="386"/>
      <c r="I730" s="46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 spans="1:26" ht="14.4">
      <c r="A731" s="191"/>
      <c r="B731" s="191"/>
      <c r="C731" s="191"/>
      <c r="D731" s="191"/>
      <c r="E731" s="191"/>
      <c r="F731" s="191"/>
      <c r="G731" s="386"/>
      <c r="H731" s="386"/>
      <c r="I731" s="46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 spans="1:26" ht="14.4">
      <c r="A732" s="191"/>
      <c r="B732" s="191"/>
      <c r="C732" s="191"/>
      <c r="D732" s="191"/>
      <c r="E732" s="191"/>
      <c r="F732" s="191"/>
      <c r="G732" s="386"/>
      <c r="H732" s="386"/>
      <c r="I732" s="46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 spans="1:26" ht="14.4">
      <c r="A733" s="191"/>
      <c r="B733" s="191"/>
      <c r="C733" s="191"/>
      <c r="D733" s="191"/>
      <c r="E733" s="191"/>
      <c r="F733" s="191"/>
      <c r="G733" s="386"/>
      <c r="H733" s="386"/>
      <c r="I733" s="46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 spans="1:26" ht="14.4">
      <c r="A734" s="191"/>
      <c r="B734" s="191"/>
      <c r="C734" s="191"/>
      <c r="D734" s="191"/>
      <c r="E734" s="191"/>
      <c r="F734" s="191"/>
      <c r="G734" s="386"/>
      <c r="H734" s="386"/>
      <c r="I734" s="46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 spans="1:26" ht="14.4">
      <c r="A735" s="191"/>
      <c r="B735" s="191"/>
      <c r="C735" s="191"/>
      <c r="D735" s="191"/>
      <c r="E735" s="191"/>
      <c r="F735" s="191"/>
      <c r="G735" s="386"/>
      <c r="H735" s="386"/>
      <c r="I735" s="46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 spans="1:26" ht="14.4">
      <c r="A736" s="191"/>
      <c r="B736" s="191"/>
      <c r="C736" s="191"/>
      <c r="D736" s="191"/>
      <c r="E736" s="191"/>
      <c r="F736" s="191"/>
      <c r="G736" s="386"/>
      <c r="H736" s="386"/>
      <c r="I736" s="46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 spans="1:26" ht="14.4">
      <c r="A737" s="191"/>
      <c r="B737" s="191"/>
      <c r="C737" s="191"/>
      <c r="D737" s="191"/>
      <c r="E737" s="191"/>
      <c r="F737" s="191"/>
      <c r="G737" s="386"/>
      <c r="H737" s="386"/>
      <c r="I737" s="46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 spans="1:26" ht="14.4">
      <c r="A738" s="191"/>
      <c r="B738" s="191"/>
      <c r="C738" s="191"/>
      <c r="D738" s="191"/>
      <c r="E738" s="191"/>
      <c r="F738" s="191"/>
      <c r="G738" s="386"/>
      <c r="H738" s="386"/>
      <c r="I738" s="46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 spans="1:26" ht="14.4">
      <c r="A739" s="191"/>
      <c r="B739" s="191"/>
      <c r="C739" s="191"/>
      <c r="D739" s="191"/>
      <c r="E739" s="191"/>
      <c r="F739" s="191"/>
      <c r="G739" s="386"/>
      <c r="H739" s="386"/>
      <c r="I739" s="46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 spans="1:26" ht="14.4">
      <c r="A740" s="191"/>
      <c r="B740" s="191"/>
      <c r="C740" s="191"/>
      <c r="D740" s="191"/>
      <c r="E740" s="191"/>
      <c r="F740" s="191"/>
      <c r="G740" s="386"/>
      <c r="H740" s="386"/>
      <c r="I740" s="46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 spans="1:26" ht="14.4">
      <c r="A741" s="191"/>
      <c r="B741" s="191"/>
      <c r="C741" s="191"/>
      <c r="D741" s="191"/>
      <c r="E741" s="191"/>
      <c r="F741" s="191"/>
      <c r="G741" s="386"/>
      <c r="H741" s="386"/>
      <c r="I741" s="46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 spans="1:26" ht="14.4">
      <c r="A742" s="191"/>
      <c r="B742" s="191"/>
      <c r="C742" s="191"/>
      <c r="D742" s="191"/>
      <c r="E742" s="191"/>
      <c r="F742" s="191"/>
      <c r="G742" s="386"/>
      <c r="H742" s="386"/>
      <c r="I742" s="46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 spans="1:26" ht="14.4">
      <c r="A743" s="191"/>
      <c r="B743" s="191"/>
      <c r="C743" s="191"/>
      <c r="D743" s="191"/>
      <c r="E743" s="191"/>
      <c r="F743" s="191"/>
      <c r="G743" s="386"/>
      <c r="H743" s="386"/>
      <c r="I743" s="46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 spans="1:26" ht="14.4">
      <c r="A744" s="191"/>
      <c r="B744" s="191"/>
      <c r="C744" s="191"/>
      <c r="D744" s="191"/>
      <c r="E744" s="191"/>
      <c r="F744" s="191"/>
      <c r="G744" s="386"/>
      <c r="H744" s="386"/>
      <c r="I744" s="46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 spans="1:26" ht="14.4">
      <c r="A745" s="191"/>
      <c r="B745" s="191"/>
      <c r="C745" s="191"/>
      <c r="D745" s="191"/>
      <c r="E745" s="191"/>
      <c r="F745" s="191"/>
      <c r="G745" s="386"/>
      <c r="H745" s="386"/>
      <c r="I745" s="46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 spans="1:26" ht="14.4">
      <c r="A746" s="191"/>
      <c r="B746" s="191"/>
      <c r="C746" s="191"/>
      <c r="D746" s="191"/>
      <c r="E746" s="191"/>
      <c r="F746" s="191"/>
      <c r="G746" s="386"/>
      <c r="H746" s="386"/>
      <c r="I746" s="46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 spans="1:26" ht="14.4">
      <c r="A747" s="191"/>
      <c r="B747" s="191"/>
      <c r="C747" s="191"/>
      <c r="D747" s="191"/>
      <c r="E747" s="191"/>
      <c r="F747" s="191"/>
      <c r="G747" s="386"/>
      <c r="H747" s="386"/>
      <c r="I747" s="46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 spans="1:26" ht="14.4">
      <c r="A748" s="191"/>
      <c r="B748" s="191"/>
      <c r="C748" s="191"/>
      <c r="D748" s="191"/>
      <c r="E748" s="191"/>
      <c r="F748" s="191"/>
      <c r="G748" s="386"/>
      <c r="H748" s="386"/>
      <c r="I748" s="46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 spans="1:26" ht="14.4">
      <c r="A749" s="191"/>
      <c r="B749" s="191"/>
      <c r="C749" s="191"/>
      <c r="D749" s="191"/>
      <c r="E749" s="191"/>
      <c r="F749" s="191"/>
      <c r="G749" s="386"/>
      <c r="H749" s="386"/>
      <c r="I749" s="46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 spans="1:26" ht="14.4">
      <c r="A750" s="191"/>
      <c r="B750" s="191"/>
      <c r="C750" s="191"/>
      <c r="D750" s="191"/>
      <c r="E750" s="191"/>
      <c r="F750" s="191"/>
      <c r="G750" s="386"/>
      <c r="H750" s="386"/>
      <c r="I750" s="46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 spans="1:26" ht="14.4">
      <c r="A751" s="191"/>
      <c r="B751" s="191"/>
      <c r="C751" s="191"/>
      <c r="D751" s="191"/>
      <c r="E751" s="191"/>
      <c r="F751" s="191"/>
      <c r="G751" s="386"/>
      <c r="H751" s="386"/>
      <c r="I751" s="46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 spans="1:26" ht="14.4">
      <c r="A752" s="191"/>
      <c r="B752" s="191"/>
      <c r="C752" s="191"/>
      <c r="D752" s="191"/>
      <c r="E752" s="191"/>
      <c r="F752" s="191"/>
      <c r="G752" s="386"/>
      <c r="H752" s="386"/>
      <c r="I752" s="46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 spans="1:26" ht="14.4">
      <c r="A753" s="191"/>
      <c r="B753" s="191"/>
      <c r="C753" s="191"/>
      <c r="D753" s="191"/>
      <c r="E753" s="191"/>
      <c r="F753" s="191"/>
      <c r="G753" s="386"/>
      <c r="H753" s="386"/>
      <c r="I753" s="46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 spans="1:26" ht="14.4">
      <c r="A754" s="191"/>
      <c r="B754" s="191"/>
      <c r="C754" s="191"/>
      <c r="D754" s="191"/>
      <c r="E754" s="191"/>
      <c r="F754" s="191"/>
      <c r="G754" s="386"/>
      <c r="H754" s="386"/>
      <c r="I754" s="46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 spans="1:26" ht="14.4">
      <c r="A755" s="191"/>
      <c r="B755" s="191"/>
      <c r="C755" s="191"/>
      <c r="D755" s="191"/>
      <c r="E755" s="191"/>
      <c r="F755" s="191"/>
      <c r="G755" s="386"/>
      <c r="H755" s="386"/>
      <c r="I755" s="46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 spans="1:26" ht="14.4">
      <c r="A756" s="191"/>
      <c r="B756" s="191"/>
      <c r="C756" s="191"/>
      <c r="D756" s="191"/>
      <c r="E756" s="191"/>
      <c r="F756" s="191"/>
      <c r="G756" s="386"/>
      <c r="H756" s="386"/>
      <c r="I756" s="46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 spans="1:26" ht="14.4">
      <c r="A757" s="191"/>
      <c r="B757" s="191"/>
      <c r="C757" s="191"/>
      <c r="D757" s="191"/>
      <c r="E757" s="191"/>
      <c r="F757" s="191"/>
      <c r="G757" s="386"/>
      <c r="H757" s="386"/>
      <c r="I757" s="46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 spans="1:26" ht="14.4">
      <c r="A758" s="191"/>
      <c r="B758" s="191"/>
      <c r="C758" s="191"/>
      <c r="D758" s="191"/>
      <c r="E758" s="191"/>
      <c r="F758" s="191"/>
      <c r="G758" s="386"/>
      <c r="H758" s="386"/>
      <c r="I758" s="46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 spans="1:26" ht="14.4">
      <c r="A759" s="191"/>
      <c r="B759" s="191"/>
      <c r="C759" s="191"/>
      <c r="D759" s="191"/>
      <c r="E759" s="191"/>
      <c r="F759" s="191"/>
      <c r="G759" s="386"/>
      <c r="H759" s="386"/>
      <c r="I759" s="46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 spans="1:26" ht="14.4">
      <c r="A760" s="191"/>
      <c r="B760" s="191"/>
      <c r="C760" s="191"/>
      <c r="D760" s="191"/>
      <c r="E760" s="191"/>
      <c r="F760" s="191"/>
      <c r="G760" s="386"/>
      <c r="H760" s="386"/>
      <c r="I760" s="46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 spans="1:26" ht="14.4">
      <c r="A761" s="191"/>
      <c r="B761" s="191"/>
      <c r="C761" s="191"/>
      <c r="D761" s="191"/>
      <c r="E761" s="191"/>
      <c r="F761" s="191"/>
      <c r="G761" s="386"/>
      <c r="H761" s="386"/>
      <c r="I761" s="46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 spans="1:26" ht="14.4">
      <c r="A762" s="191"/>
      <c r="B762" s="191"/>
      <c r="C762" s="191"/>
      <c r="D762" s="191"/>
      <c r="E762" s="191"/>
      <c r="F762" s="191"/>
      <c r="G762" s="386"/>
      <c r="H762" s="386"/>
      <c r="I762" s="46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 spans="1:26" ht="14.4">
      <c r="A763" s="191"/>
      <c r="B763" s="191"/>
      <c r="C763" s="191"/>
      <c r="D763" s="191"/>
      <c r="E763" s="191"/>
      <c r="F763" s="191"/>
      <c r="G763" s="386"/>
      <c r="H763" s="386"/>
      <c r="I763" s="46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 spans="1:26" ht="14.4">
      <c r="A764" s="191"/>
      <c r="B764" s="191"/>
      <c r="C764" s="191"/>
      <c r="D764" s="191"/>
      <c r="E764" s="191"/>
      <c r="F764" s="191"/>
      <c r="G764" s="386"/>
      <c r="H764" s="386"/>
      <c r="I764" s="46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 spans="1:26" ht="14.4">
      <c r="A765" s="191"/>
      <c r="B765" s="191"/>
      <c r="C765" s="191"/>
      <c r="D765" s="191"/>
      <c r="E765" s="191"/>
      <c r="F765" s="191"/>
      <c r="G765" s="386"/>
      <c r="H765" s="386"/>
      <c r="I765" s="46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 spans="1:26" ht="14.4">
      <c r="A766" s="191"/>
      <c r="B766" s="191"/>
      <c r="C766" s="191"/>
      <c r="D766" s="191"/>
      <c r="E766" s="191"/>
      <c r="F766" s="191"/>
      <c r="G766" s="386"/>
      <c r="H766" s="386"/>
      <c r="I766" s="46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 spans="1:26" ht="14.4">
      <c r="A767" s="191"/>
      <c r="B767" s="191"/>
      <c r="C767" s="191"/>
      <c r="D767" s="191"/>
      <c r="E767" s="191"/>
      <c r="F767" s="191"/>
      <c r="G767" s="386"/>
      <c r="H767" s="386"/>
      <c r="I767" s="46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 spans="1:26" ht="14.4">
      <c r="A768" s="191"/>
      <c r="B768" s="191"/>
      <c r="C768" s="191"/>
      <c r="D768" s="191"/>
      <c r="E768" s="191"/>
      <c r="F768" s="191"/>
      <c r="G768" s="386"/>
      <c r="H768" s="386"/>
      <c r="I768" s="46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 spans="1:26" ht="14.4">
      <c r="A769" s="191"/>
      <c r="B769" s="191"/>
      <c r="C769" s="191"/>
      <c r="D769" s="191"/>
      <c r="E769" s="191"/>
      <c r="F769" s="191"/>
      <c r="G769" s="386"/>
      <c r="H769" s="386"/>
      <c r="I769" s="46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 spans="1:26" ht="14.4">
      <c r="A770" s="191"/>
      <c r="B770" s="191"/>
      <c r="C770" s="191"/>
      <c r="D770" s="191"/>
      <c r="E770" s="191"/>
      <c r="F770" s="191"/>
      <c r="G770" s="386"/>
      <c r="H770" s="386"/>
      <c r="I770" s="46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 spans="1:26" ht="14.4">
      <c r="A771" s="191"/>
      <c r="B771" s="191"/>
      <c r="C771" s="191"/>
      <c r="D771" s="191"/>
      <c r="E771" s="191"/>
      <c r="F771" s="191"/>
      <c r="G771" s="386"/>
      <c r="H771" s="386"/>
      <c r="I771" s="46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 spans="1:26" ht="14.4">
      <c r="A772" s="191"/>
      <c r="B772" s="191"/>
      <c r="C772" s="191"/>
      <c r="D772" s="191"/>
      <c r="E772" s="191"/>
      <c r="F772" s="191"/>
      <c r="G772" s="386"/>
      <c r="H772" s="386"/>
      <c r="I772" s="46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 spans="1:26" ht="14.4">
      <c r="A773" s="191"/>
      <c r="B773" s="191"/>
      <c r="C773" s="191"/>
      <c r="D773" s="191"/>
      <c r="E773" s="191"/>
      <c r="F773" s="191"/>
      <c r="G773" s="386"/>
      <c r="H773" s="386"/>
      <c r="I773" s="46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 spans="1:26" ht="14.4">
      <c r="A774" s="191"/>
      <c r="B774" s="191"/>
      <c r="C774" s="191"/>
      <c r="D774" s="191"/>
      <c r="E774" s="191"/>
      <c r="F774" s="191"/>
      <c r="G774" s="386"/>
      <c r="H774" s="386"/>
      <c r="I774" s="46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 spans="1:26" ht="14.4">
      <c r="A775" s="191"/>
      <c r="B775" s="191"/>
      <c r="C775" s="191"/>
      <c r="D775" s="191"/>
      <c r="E775" s="191"/>
      <c r="F775" s="191"/>
      <c r="G775" s="386"/>
      <c r="H775" s="386"/>
      <c r="I775" s="46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 spans="1:26" ht="14.4">
      <c r="A776" s="191"/>
      <c r="B776" s="191"/>
      <c r="C776" s="191"/>
      <c r="D776" s="191"/>
      <c r="E776" s="191"/>
      <c r="F776" s="191"/>
      <c r="G776" s="386"/>
      <c r="H776" s="386"/>
      <c r="I776" s="46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 spans="1:26" ht="14.4">
      <c r="A777" s="191"/>
      <c r="B777" s="191"/>
      <c r="C777" s="191"/>
      <c r="D777" s="191"/>
      <c r="E777" s="191"/>
      <c r="F777" s="191"/>
      <c r="G777" s="386"/>
      <c r="H777" s="386"/>
      <c r="I777" s="46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 spans="1:26" ht="14.4">
      <c r="A778" s="191"/>
      <c r="B778" s="191"/>
      <c r="C778" s="191"/>
      <c r="D778" s="191"/>
      <c r="E778" s="191"/>
      <c r="F778" s="191"/>
      <c r="G778" s="386"/>
      <c r="H778" s="386"/>
      <c r="I778" s="46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 spans="1:26" ht="14.4">
      <c r="A779" s="191"/>
      <c r="B779" s="191"/>
      <c r="C779" s="191"/>
      <c r="D779" s="191"/>
      <c r="E779" s="191"/>
      <c r="F779" s="191"/>
      <c r="G779" s="386"/>
      <c r="H779" s="386"/>
      <c r="I779" s="46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 spans="1:26" ht="14.4">
      <c r="A780" s="191"/>
      <c r="B780" s="191"/>
      <c r="C780" s="191"/>
      <c r="D780" s="191"/>
      <c r="E780" s="191"/>
      <c r="F780" s="191"/>
      <c r="G780" s="386"/>
      <c r="H780" s="386"/>
      <c r="I780" s="46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 spans="1:26" ht="14.4">
      <c r="A781" s="191"/>
      <c r="B781" s="191"/>
      <c r="C781" s="191"/>
      <c r="D781" s="191"/>
      <c r="E781" s="191"/>
      <c r="F781" s="191"/>
      <c r="G781" s="386"/>
      <c r="H781" s="386"/>
      <c r="I781" s="46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 spans="1:26" ht="14.4">
      <c r="A782" s="191"/>
      <c r="B782" s="191"/>
      <c r="C782" s="191"/>
      <c r="D782" s="191"/>
      <c r="E782" s="191"/>
      <c r="F782" s="191"/>
      <c r="G782" s="386"/>
      <c r="H782" s="386"/>
      <c r="I782" s="46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 spans="1:26" ht="14.4">
      <c r="A783" s="191"/>
      <c r="B783" s="191"/>
      <c r="C783" s="191"/>
      <c r="D783" s="191"/>
      <c r="E783" s="191"/>
      <c r="F783" s="191"/>
      <c r="G783" s="386"/>
      <c r="H783" s="386"/>
      <c r="I783" s="46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 spans="1:26" ht="14.4">
      <c r="A784" s="191"/>
      <c r="B784" s="191"/>
      <c r="C784" s="191"/>
      <c r="D784" s="191"/>
      <c r="E784" s="191"/>
      <c r="F784" s="191"/>
      <c r="G784" s="386"/>
      <c r="H784" s="386"/>
      <c r="I784" s="46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 spans="1:26" ht="14.4">
      <c r="A785" s="191"/>
      <c r="B785" s="191"/>
      <c r="C785" s="191"/>
      <c r="D785" s="191"/>
      <c r="E785" s="191"/>
      <c r="F785" s="191"/>
      <c r="G785" s="386"/>
      <c r="H785" s="386"/>
      <c r="I785" s="46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 spans="1:26" ht="14.4">
      <c r="A786" s="191"/>
      <c r="B786" s="191"/>
      <c r="C786" s="191"/>
      <c r="D786" s="191"/>
      <c r="E786" s="191"/>
      <c r="F786" s="191"/>
      <c r="G786" s="386"/>
      <c r="H786" s="386"/>
      <c r="I786" s="46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 spans="1:26" ht="14.4">
      <c r="A787" s="191"/>
      <c r="B787" s="191"/>
      <c r="C787" s="191"/>
      <c r="D787" s="191"/>
      <c r="E787" s="191"/>
      <c r="F787" s="191"/>
      <c r="G787" s="386"/>
      <c r="H787" s="386"/>
      <c r="I787" s="46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 spans="1:26" ht="14.4">
      <c r="A788" s="191"/>
      <c r="B788" s="191"/>
      <c r="C788" s="191"/>
      <c r="D788" s="191"/>
      <c r="E788" s="191"/>
      <c r="F788" s="191"/>
      <c r="G788" s="386"/>
      <c r="H788" s="386"/>
      <c r="I788" s="46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 spans="1:26" ht="14.4">
      <c r="A789" s="191"/>
      <c r="B789" s="191"/>
      <c r="C789" s="191"/>
      <c r="D789" s="191"/>
      <c r="E789" s="191"/>
      <c r="F789" s="191"/>
      <c r="G789" s="386"/>
      <c r="H789" s="386"/>
      <c r="I789" s="46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 spans="1:26" ht="14.4">
      <c r="A790" s="191"/>
      <c r="B790" s="191"/>
      <c r="C790" s="191"/>
      <c r="D790" s="191"/>
      <c r="E790" s="191"/>
      <c r="F790" s="191"/>
      <c r="G790" s="386"/>
      <c r="H790" s="386"/>
      <c r="I790" s="46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 spans="1:26" ht="14.4">
      <c r="A791" s="191"/>
      <c r="B791" s="191"/>
      <c r="C791" s="191"/>
      <c r="D791" s="191"/>
      <c r="E791" s="191"/>
      <c r="F791" s="191"/>
      <c r="G791" s="386"/>
      <c r="H791" s="386"/>
      <c r="I791" s="46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 spans="1:26" ht="14.4">
      <c r="A792" s="191"/>
      <c r="B792" s="191"/>
      <c r="C792" s="191"/>
      <c r="D792" s="191"/>
      <c r="E792" s="191"/>
      <c r="F792" s="191"/>
      <c r="G792" s="386"/>
      <c r="H792" s="386"/>
      <c r="I792" s="46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 spans="1:26" ht="14.4">
      <c r="A793" s="191"/>
      <c r="B793" s="191"/>
      <c r="C793" s="191"/>
      <c r="D793" s="191"/>
      <c r="E793" s="191"/>
      <c r="F793" s="191"/>
      <c r="G793" s="386"/>
      <c r="H793" s="386"/>
      <c r="I793" s="46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 spans="1:26" ht="14.4">
      <c r="A794" s="191"/>
      <c r="B794" s="191"/>
      <c r="C794" s="191"/>
      <c r="D794" s="191"/>
      <c r="E794" s="191"/>
      <c r="F794" s="191"/>
      <c r="G794" s="386"/>
      <c r="H794" s="386"/>
      <c r="I794" s="46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 spans="1:26" ht="14.4">
      <c r="A795" s="191"/>
      <c r="B795" s="191"/>
      <c r="C795" s="191"/>
      <c r="D795" s="191"/>
      <c r="E795" s="191"/>
      <c r="F795" s="191"/>
      <c r="G795" s="386"/>
      <c r="H795" s="386"/>
      <c r="I795" s="46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 spans="1:26" ht="14.4">
      <c r="A796" s="191"/>
      <c r="B796" s="191"/>
      <c r="C796" s="191"/>
      <c r="D796" s="191"/>
      <c r="E796" s="191"/>
      <c r="F796" s="191"/>
      <c r="G796" s="386"/>
      <c r="H796" s="386"/>
      <c r="I796" s="46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 spans="1:26" ht="14.4">
      <c r="A797" s="191"/>
      <c r="B797" s="191"/>
      <c r="C797" s="191"/>
      <c r="D797" s="191"/>
      <c r="E797" s="191"/>
      <c r="F797" s="191"/>
      <c r="G797" s="386"/>
      <c r="H797" s="386"/>
      <c r="I797" s="46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 spans="1:26" ht="14.4">
      <c r="A798" s="191"/>
      <c r="B798" s="191"/>
      <c r="C798" s="191"/>
      <c r="D798" s="191"/>
      <c r="E798" s="191"/>
      <c r="F798" s="191"/>
      <c r="G798" s="386"/>
      <c r="H798" s="386"/>
      <c r="I798" s="46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 spans="1:26" ht="14.4">
      <c r="A799" s="191"/>
      <c r="B799" s="191"/>
      <c r="C799" s="191"/>
      <c r="D799" s="191"/>
      <c r="E799" s="191"/>
      <c r="F799" s="191"/>
      <c r="G799" s="386"/>
      <c r="H799" s="386"/>
      <c r="I799" s="46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 spans="1:26" ht="14.4">
      <c r="A800" s="191"/>
      <c r="B800" s="191"/>
      <c r="C800" s="191"/>
      <c r="D800" s="191"/>
      <c r="E800" s="191"/>
      <c r="F800" s="191"/>
      <c r="G800" s="386"/>
      <c r="H800" s="386"/>
      <c r="I800" s="46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 spans="1:26" ht="14.4">
      <c r="A801" s="191"/>
      <c r="B801" s="191"/>
      <c r="C801" s="191"/>
      <c r="D801" s="191"/>
      <c r="E801" s="191"/>
      <c r="F801" s="191"/>
      <c r="G801" s="386"/>
      <c r="H801" s="386"/>
      <c r="I801" s="46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 spans="1:26" ht="14.4">
      <c r="A802" s="191"/>
      <c r="B802" s="191"/>
      <c r="C802" s="191"/>
      <c r="D802" s="191"/>
      <c r="E802" s="191"/>
      <c r="F802" s="191"/>
      <c r="G802" s="386"/>
      <c r="H802" s="386"/>
      <c r="I802" s="46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 spans="1:26" ht="14.4">
      <c r="A803" s="191"/>
      <c r="B803" s="191"/>
      <c r="C803" s="191"/>
      <c r="D803" s="191"/>
      <c r="E803" s="191"/>
      <c r="F803" s="191"/>
      <c r="G803" s="386"/>
      <c r="H803" s="386"/>
      <c r="I803" s="46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 spans="1:26" ht="14.4">
      <c r="A804" s="191"/>
      <c r="B804" s="191"/>
      <c r="C804" s="191"/>
      <c r="D804" s="191"/>
      <c r="E804" s="191"/>
      <c r="F804" s="191"/>
      <c r="G804" s="386"/>
      <c r="H804" s="386"/>
      <c r="I804" s="46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 spans="1:26" ht="14.4">
      <c r="A805" s="191"/>
      <c r="B805" s="191"/>
      <c r="C805" s="191"/>
      <c r="D805" s="191"/>
      <c r="E805" s="191"/>
      <c r="F805" s="191"/>
      <c r="G805" s="386"/>
      <c r="H805" s="386"/>
      <c r="I805" s="46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 spans="1:26" ht="14.4">
      <c r="A806" s="191"/>
      <c r="B806" s="191"/>
      <c r="C806" s="191"/>
      <c r="D806" s="191"/>
      <c r="E806" s="191"/>
      <c r="F806" s="191"/>
      <c r="G806" s="386"/>
      <c r="H806" s="386"/>
      <c r="I806" s="46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 spans="1:26" ht="14.4">
      <c r="A807" s="191"/>
      <c r="B807" s="191"/>
      <c r="C807" s="191"/>
      <c r="D807" s="191"/>
      <c r="E807" s="191"/>
      <c r="F807" s="191"/>
      <c r="G807" s="386"/>
      <c r="H807" s="386"/>
      <c r="I807" s="46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 spans="1:26" ht="14.4">
      <c r="A808" s="191"/>
      <c r="B808" s="191"/>
      <c r="C808" s="191"/>
      <c r="D808" s="191"/>
      <c r="E808" s="191"/>
      <c r="F808" s="191"/>
      <c r="G808" s="386"/>
      <c r="H808" s="386"/>
      <c r="I808" s="46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 spans="1:26" ht="14.4">
      <c r="A809" s="191"/>
      <c r="B809" s="191"/>
      <c r="C809" s="191"/>
      <c r="D809" s="191"/>
      <c r="E809" s="191"/>
      <c r="F809" s="191"/>
      <c r="G809" s="386"/>
      <c r="H809" s="386"/>
      <c r="I809" s="46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 spans="1:26" ht="14.4">
      <c r="A810" s="191"/>
      <c r="B810" s="191"/>
      <c r="C810" s="191"/>
      <c r="D810" s="191"/>
      <c r="E810" s="191"/>
      <c r="F810" s="191"/>
      <c r="G810" s="386"/>
      <c r="H810" s="386"/>
      <c r="I810" s="46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 spans="1:26" ht="14.4">
      <c r="A811" s="191"/>
      <c r="B811" s="191"/>
      <c r="C811" s="191"/>
      <c r="D811" s="191"/>
      <c r="E811" s="191"/>
      <c r="F811" s="191"/>
      <c r="G811" s="386"/>
      <c r="H811" s="386"/>
      <c r="I811" s="46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 spans="1:26" ht="14.4">
      <c r="A812" s="191"/>
      <c r="B812" s="191"/>
      <c r="C812" s="191"/>
      <c r="D812" s="191"/>
      <c r="E812" s="191"/>
      <c r="F812" s="191"/>
      <c r="G812" s="386"/>
      <c r="H812" s="386"/>
      <c r="I812" s="46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 spans="1:26" ht="14.4">
      <c r="A813" s="191"/>
      <c r="B813" s="191"/>
      <c r="C813" s="191"/>
      <c r="D813" s="191"/>
      <c r="E813" s="191"/>
      <c r="F813" s="191"/>
      <c r="G813" s="386"/>
      <c r="H813" s="386"/>
      <c r="I813" s="46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 spans="1:26" ht="14.4">
      <c r="A814" s="191"/>
      <c r="B814" s="191"/>
      <c r="C814" s="191"/>
      <c r="D814" s="191"/>
      <c r="E814" s="191"/>
      <c r="F814" s="191"/>
      <c r="G814" s="386"/>
      <c r="H814" s="386"/>
      <c r="I814" s="46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 spans="1:26" ht="14.4">
      <c r="A815" s="191"/>
      <c r="B815" s="191"/>
      <c r="C815" s="191"/>
      <c r="D815" s="191"/>
      <c r="E815" s="191"/>
      <c r="F815" s="191"/>
      <c r="G815" s="386"/>
      <c r="H815" s="386"/>
      <c r="I815" s="46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 spans="1:26" ht="14.4">
      <c r="A816" s="191"/>
      <c r="B816" s="191"/>
      <c r="C816" s="191"/>
      <c r="D816" s="191"/>
      <c r="E816" s="191"/>
      <c r="F816" s="191"/>
      <c r="G816" s="386"/>
      <c r="H816" s="386"/>
      <c r="I816" s="46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 spans="1:26" ht="14.4">
      <c r="A817" s="191"/>
      <c r="B817" s="191"/>
      <c r="C817" s="191"/>
      <c r="D817" s="191"/>
      <c r="E817" s="191"/>
      <c r="F817" s="191"/>
      <c r="G817" s="386"/>
      <c r="H817" s="386"/>
      <c r="I817" s="46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 spans="1:26" ht="14.4">
      <c r="A818" s="191"/>
      <c r="B818" s="191"/>
      <c r="C818" s="191"/>
      <c r="D818" s="191"/>
      <c r="E818" s="191"/>
      <c r="F818" s="191"/>
      <c r="G818" s="386"/>
      <c r="H818" s="386"/>
      <c r="I818" s="46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 spans="1:26" ht="14.4">
      <c r="A819" s="191"/>
      <c r="B819" s="191"/>
      <c r="C819" s="191"/>
      <c r="D819" s="191"/>
      <c r="E819" s="191"/>
      <c r="F819" s="191"/>
      <c r="G819" s="386"/>
      <c r="H819" s="386"/>
      <c r="I819" s="46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 spans="1:26" ht="14.4">
      <c r="A820" s="191"/>
      <c r="B820" s="191"/>
      <c r="C820" s="191"/>
      <c r="D820" s="191"/>
      <c r="E820" s="191"/>
      <c r="F820" s="191"/>
      <c r="G820" s="386"/>
      <c r="H820" s="386"/>
      <c r="I820" s="46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 spans="1:26" ht="14.4">
      <c r="A821" s="191"/>
      <c r="B821" s="191"/>
      <c r="C821" s="191"/>
      <c r="D821" s="191"/>
      <c r="E821" s="191"/>
      <c r="F821" s="191"/>
      <c r="G821" s="386"/>
      <c r="H821" s="386"/>
      <c r="I821" s="46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 spans="1:26" ht="14.4">
      <c r="A822" s="191"/>
      <c r="B822" s="191"/>
      <c r="C822" s="191"/>
      <c r="D822" s="191"/>
      <c r="E822" s="191"/>
      <c r="F822" s="191"/>
      <c r="G822" s="386"/>
      <c r="H822" s="386"/>
      <c r="I822" s="46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 spans="1:26" ht="14.4">
      <c r="A823" s="191"/>
      <c r="B823" s="191"/>
      <c r="C823" s="191"/>
      <c r="D823" s="191"/>
      <c r="E823" s="191"/>
      <c r="F823" s="191"/>
      <c r="G823" s="386"/>
      <c r="H823" s="386"/>
      <c r="I823" s="46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 spans="1:26" ht="14.4">
      <c r="A824" s="191"/>
      <c r="B824" s="191"/>
      <c r="C824" s="191"/>
      <c r="D824" s="191"/>
      <c r="E824" s="191"/>
      <c r="F824" s="191"/>
      <c r="G824" s="386"/>
      <c r="H824" s="386"/>
      <c r="I824" s="46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 spans="1:26" ht="14.4">
      <c r="A825" s="191"/>
      <c r="B825" s="191"/>
      <c r="C825" s="191"/>
      <c r="D825" s="191"/>
      <c r="E825" s="191"/>
      <c r="F825" s="191"/>
      <c r="G825" s="386"/>
      <c r="H825" s="386"/>
      <c r="I825" s="46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 spans="1:26" ht="14.4">
      <c r="A826" s="191"/>
      <c r="B826" s="191"/>
      <c r="C826" s="191"/>
      <c r="D826" s="191"/>
      <c r="E826" s="191"/>
      <c r="F826" s="191"/>
      <c r="G826" s="386"/>
      <c r="H826" s="386"/>
      <c r="I826" s="46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 spans="1:26" ht="14.4">
      <c r="A827" s="191"/>
      <c r="B827" s="191"/>
      <c r="C827" s="191"/>
      <c r="D827" s="191"/>
      <c r="E827" s="191"/>
      <c r="F827" s="191"/>
      <c r="G827" s="386"/>
      <c r="H827" s="386"/>
      <c r="I827" s="46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 spans="1:26" ht="14.4">
      <c r="A828" s="191"/>
      <c r="B828" s="191"/>
      <c r="C828" s="191"/>
      <c r="D828" s="191"/>
      <c r="E828" s="191"/>
      <c r="F828" s="191"/>
      <c r="G828" s="386"/>
      <c r="H828" s="386"/>
      <c r="I828" s="46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 spans="1:26" ht="14.4">
      <c r="A829" s="191"/>
      <c r="B829" s="191"/>
      <c r="C829" s="191"/>
      <c r="D829" s="191"/>
      <c r="E829" s="191"/>
      <c r="F829" s="191"/>
      <c r="G829" s="386"/>
      <c r="H829" s="386"/>
      <c r="I829" s="46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 spans="1:26" ht="14.4">
      <c r="A830" s="191"/>
      <c r="B830" s="191"/>
      <c r="C830" s="191"/>
      <c r="D830" s="191"/>
      <c r="E830" s="191"/>
      <c r="F830" s="191"/>
      <c r="G830" s="386"/>
      <c r="H830" s="386"/>
      <c r="I830" s="46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 spans="1:26" ht="14.4">
      <c r="A831" s="191"/>
      <c r="B831" s="191"/>
      <c r="C831" s="191"/>
      <c r="D831" s="191"/>
      <c r="E831" s="191"/>
      <c r="F831" s="191"/>
      <c r="G831" s="386"/>
      <c r="H831" s="386"/>
      <c r="I831" s="46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 spans="1:26" ht="14.4">
      <c r="A832" s="191"/>
      <c r="B832" s="191"/>
      <c r="C832" s="191"/>
      <c r="D832" s="191"/>
      <c r="E832" s="191"/>
      <c r="F832" s="191"/>
      <c r="G832" s="386"/>
      <c r="H832" s="386"/>
      <c r="I832" s="46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 spans="1:26" ht="14.4">
      <c r="A833" s="191"/>
      <c r="B833" s="191"/>
      <c r="C833" s="191"/>
      <c r="D833" s="191"/>
      <c r="E833" s="191"/>
      <c r="F833" s="191"/>
      <c r="G833" s="386"/>
      <c r="H833" s="386"/>
      <c r="I833" s="46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 spans="1:26" ht="14.4">
      <c r="A834" s="191"/>
      <c r="B834" s="191"/>
      <c r="C834" s="191"/>
      <c r="D834" s="191"/>
      <c r="E834" s="191"/>
      <c r="F834" s="191"/>
      <c r="G834" s="386"/>
      <c r="H834" s="386"/>
      <c r="I834" s="46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 spans="1:26" ht="14.4">
      <c r="A835" s="191"/>
      <c r="B835" s="191"/>
      <c r="C835" s="191"/>
      <c r="D835" s="191"/>
      <c r="E835" s="191"/>
      <c r="F835" s="191"/>
      <c r="G835" s="386"/>
      <c r="H835" s="386"/>
      <c r="I835" s="46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 spans="1:26" ht="14.4">
      <c r="A836" s="191"/>
      <c r="B836" s="191"/>
      <c r="C836" s="191"/>
      <c r="D836" s="191"/>
      <c r="E836" s="191"/>
      <c r="F836" s="191"/>
      <c r="G836" s="386"/>
      <c r="H836" s="386"/>
      <c r="I836" s="46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 spans="1:26" ht="14.4">
      <c r="A837" s="191"/>
      <c r="B837" s="191"/>
      <c r="C837" s="191"/>
      <c r="D837" s="191"/>
      <c r="E837" s="191"/>
      <c r="F837" s="191"/>
      <c r="G837" s="386"/>
      <c r="H837" s="386"/>
      <c r="I837" s="46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 spans="1:26" ht="14.4">
      <c r="A838" s="191"/>
      <c r="B838" s="191"/>
      <c r="C838" s="191"/>
      <c r="D838" s="191"/>
      <c r="E838" s="191"/>
      <c r="F838" s="191"/>
      <c r="G838" s="386"/>
      <c r="H838" s="386"/>
      <c r="I838" s="46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 spans="1:26" ht="14.4">
      <c r="A839" s="191"/>
      <c r="B839" s="191"/>
      <c r="C839" s="191"/>
      <c r="D839" s="191"/>
      <c r="E839" s="191"/>
      <c r="F839" s="191"/>
      <c r="G839" s="386"/>
      <c r="H839" s="386"/>
      <c r="I839" s="46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 spans="1:26" ht="14.4">
      <c r="A840" s="191"/>
      <c r="B840" s="191"/>
      <c r="C840" s="191"/>
      <c r="D840" s="191"/>
      <c r="E840" s="191"/>
      <c r="F840" s="191"/>
      <c r="G840" s="386"/>
      <c r="H840" s="386"/>
      <c r="I840" s="46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 spans="1:26" ht="14.4">
      <c r="A841" s="191"/>
      <c r="B841" s="191"/>
      <c r="C841" s="191"/>
      <c r="D841" s="191"/>
      <c r="E841" s="191"/>
      <c r="F841" s="191"/>
      <c r="G841" s="386"/>
      <c r="H841" s="386"/>
      <c r="I841" s="46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 spans="1:26" ht="14.4">
      <c r="A842" s="191"/>
      <c r="B842" s="191"/>
      <c r="C842" s="191"/>
      <c r="D842" s="191"/>
      <c r="E842" s="191"/>
      <c r="F842" s="191"/>
      <c r="G842" s="386"/>
      <c r="H842" s="386"/>
      <c r="I842" s="46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 spans="1:26" ht="14.4">
      <c r="A843" s="191"/>
      <c r="B843" s="191"/>
      <c r="C843" s="191"/>
      <c r="D843" s="191"/>
      <c r="E843" s="191"/>
      <c r="F843" s="191"/>
      <c r="G843" s="386"/>
      <c r="H843" s="386"/>
      <c r="I843" s="46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 spans="1:26" ht="14.4">
      <c r="A844" s="191"/>
      <c r="B844" s="191"/>
      <c r="C844" s="191"/>
      <c r="D844" s="191"/>
      <c r="E844" s="191"/>
      <c r="F844" s="191"/>
      <c r="G844" s="386"/>
      <c r="H844" s="386"/>
      <c r="I844" s="46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 spans="1:26" ht="14.4">
      <c r="A845" s="191"/>
      <c r="B845" s="191"/>
      <c r="C845" s="191"/>
      <c r="D845" s="191"/>
      <c r="E845" s="191"/>
      <c r="F845" s="191"/>
      <c r="G845" s="386"/>
      <c r="H845" s="386"/>
      <c r="I845" s="46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 spans="1:26" ht="14.4">
      <c r="A846" s="191"/>
      <c r="B846" s="191"/>
      <c r="C846" s="191"/>
      <c r="D846" s="191"/>
      <c r="E846" s="191"/>
      <c r="F846" s="191"/>
      <c r="G846" s="386"/>
      <c r="H846" s="386"/>
      <c r="I846" s="46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 spans="1:26" ht="14.4">
      <c r="A847" s="191"/>
      <c r="B847" s="191"/>
      <c r="C847" s="191"/>
      <c r="D847" s="191"/>
      <c r="E847" s="191"/>
      <c r="F847" s="191"/>
      <c r="G847" s="386"/>
      <c r="H847" s="386"/>
      <c r="I847" s="46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 spans="1:26" ht="14.4">
      <c r="A848" s="191"/>
      <c r="B848" s="191"/>
      <c r="C848" s="191"/>
      <c r="D848" s="191"/>
      <c r="E848" s="191"/>
      <c r="F848" s="191"/>
      <c r="G848" s="386"/>
      <c r="H848" s="386"/>
      <c r="I848" s="46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 spans="1:26" ht="14.4">
      <c r="A849" s="191"/>
      <c r="B849" s="191"/>
      <c r="C849" s="191"/>
      <c r="D849" s="191"/>
      <c r="E849" s="191"/>
      <c r="F849" s="191"/>
      <c r="G849" s="386"/>
      <c r="H849" s="386"/>
      <c r="I849" s="46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 spans="1:26" ht="14.4">
      <c r="A850" s="191"/>
      <c r="B850" s="191"/>
      <c r="C850" s="191"/>
      <c r="D850" s="191"/>
      <c r="E850" s="191"/>
      <c r="F850" s="191"/>
      <c r="G850" s="386"/>
      <c r="H850" s="386"/>
      <c r="I850" s="46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 spans="1:26" ht="14.4">
      <c r="A851" s="191"/>
      <c r="B851" s="191"/>
      <c r="C851" s="191"/>
      <c r="D851" s="191"/>
      <c r="E851" s="191"/>
      <c r="F851" s="191"/>
      <c r="G851" s="386"/>
      <c r="H851" s="386"/>
      <c r="I851" s="46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 spans="1:26" ht="14.4">
      <c r="A852" s="191"/>
      <c r="B852" s="191"/>
      <c r="C852" s="191"/>
      <c r="D852" s="191"/>
      <c r="E852" s="191"/>
      <c r="F852" s="191"/>
      <c r="G852" s="386"/>
      <c r="H852" s="386"/>
      <c r="I852" s="46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 spans="1:26" ht="14.4">
      <c r="A853" s="191"/>
      <c r="B853" s="191"/>
      <c r="C853" s="191"/>
      <c r="D853" s="191"/>
      <c r="E853" s="191"/>
      <c r="F853" s="191"/>
      <c r="G853" s="386"/>
      <c r="H853" s="386"/>
      <c r="I853" s="46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 spans="1:26" ht="14.4">
      <c r="A854" s="191"/>
      <c r="B854" s="191"/>
      <c r="C854" s="191"/>
      <c r="D854" s="191"/>
      <c r="E854" s="191"/>
      <c r="F854" s="191"/>
      <c r="G854" s="386"/>
      <c r="H854" s="386"/>
      <c r="I854" s="46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 spans="1:26" ht="14.4">
      <c r="A855" s="191"/>
      <c r="B855" s="191"/>
      <c r="C855" s="191"/>
      <c r="D855" s="191"/>
      <c r="E855" s="191"/>
      <c r="F855" s="191"/>
      <c r="G855" s="386"/>
      <c r="H855" s="386"/>
      <c r="I855" s="46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 spans="1:26" ht="14.4">
      <c r="A856" s="191"/>
      <c r="B856" s="191"/>
      <c r="C856" s="191"/>
      <c r="D856" s="191"/>
      <c r="E856" s="191"/>
      <c r="F856" s="191"/>
      <c r="G856" s="386"/>
      <c r="H856" s="386"/>
      <c r="I856" s="46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 spans="1:26" ht="14.4">
      <c r="A857" s="191"/>
      <c r="B857" s="191"/>
      <c r="C857" s="191"/>
      <c r="D857" s="191"/>
      <c r="E857" s="191"/>
      <c r="F857" s="191"/>
      <c r="G857" s="386"/>
      <c r="H857" s="386"/>
      <c r="I857" s="46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 spans="1:26" ht="14.4">
      <c r="A858" s="191"/>
      <c r="B858" s="191"/>
      <c r="C858" s="191"/>
      <c r="D858" s="191"/>
      <c r="E858" s="191"/>
      <c r="F858" s="191"/>
      <c r="G858" s="386"/>
      <c r="H858" s="386"/>
      <c r="I858" s="46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 spans="1:26" ht="14.4">
      <c r="A859" s="191"/>
      <c r="B859" s="191"/>
      <c r="C859" s="191"/>
      <c r="D859" s="191"/>
      <c r="E859" s="191"/>
      <c r="F859" s="191"/>
      <c r="G859" s="386"/>
      <c r="H859" s="386"/>
      <c r="I859" s="46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 spans="1:26" ht="14.4">
      <c r="A860" s="191"/>
      <c r="B860" s="191"/>
      <c r="C860" s="191"/>
      <c r="D860" s="191"/>
      <c r="E860" s="191"/>
      <c r="F860" s="191"/>
      <c r="G860" s="386"/>
      <c r="H860" s="386"/>
      <c r="I860" s="46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 spans="1:26" ht="14.4">
      <c r="A861" s="191"/>
      <c r="B861" s="191"/>
      <c r="C861" s="191"/>
      <c r="D861" s="191"/>
      <c r="E861" s="191"/>
      <c r="F861" s="191"/>
      <c r="G861" s="386"/>
      <c r="H861" s="386"/>
      <c r="I861" s="46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 spans="1:26" ht="14.4">
      <c r="A862" s="191"/>
      <c r="B862" s="191"/>
      <c r="C862" s="191"/>
      <c r="D862" s="191"/>
      <c r="E862" s="191"/>
      <c r="F862" s="191"/>
      <c r="G862" s="386"/>
      <c r="H862" s="386"/>
      <c r="I862" s="46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 spans="1:26" ht="14.4">
      <c r="A863" s="191"/>
      <c r="B863" s="191"/>
      <c r="C863" s="191"/>
      <c r="D863" s="191"/>
      <c r="E863" s="191"/>
      <c r="F863" s="191"/>
      <c r="G863" s="386"/>
      <c r="H863" s="386"/>
      <c r="I863" s="46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 spans="1:26" ht="14.4">
      <c r="A864" s="191"/>
      <c r="B864" s="191"/>
      <c r="C864" s="191"/>
      <c r="D864" s="191"/>
      <c r="E864" s="191"/>
      <c r="F864" s="191"/>
      <c r="G864" s="386"/>
      <c r="H864" s="386"/>
      <c r="I864" s="46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 spans="1:26" ht="14.4">
      <c r="A865" s="191"/>
      <c r="B865" s="191"/>
      <c r="C865" s="191"/>
      <c r="D865" s="191"/>
      <c r="E865" s="191"/>
      <c r="F865" s="191"/>
      <c r="G865" s="386"/>
      <c r="H865" s="386"/>
      <c r="I865" s="46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 spans="1:26" ht="14.4">
      <c r="A866" s="191"/>
      <c r="B866" s="191"/>
      <c r="C866" s="191"/>
      <c r="D866" s="191"/>
      <c r="E866" s="191"/>
      <c r="F866" s="191"/>
      <c r="G866" s="386"/>
      <c r="H866" s="386"/>
      <c r="I866" s="46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 spans="1:26" ht="14.4">
      <c r="A867" s="191"/>
      <c r="B867" s="191"/>
      <c r="C867" s="191"/>
      <c r="D867" s="191"/>
      <c r="E867" s="191"/>
      <c r="F867" s="191"/>
      <c r="G867" s="386"/>
      <c r="H867" s="386"/>
      <c r="I867" s="46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 spans="1:26" ht="14.4">
      <c r="A868" s="191"/>
      <c r="B868" s="191"/>
      <c r="C868" s="191"/>
      <c r="D868" s="191"/>
      <c r="E868" s="191"/>
      <c r="F868" s="191"/>
      <c r="G868" s="386"/>
      <c r="H868" s="386"/>
      <c r="I868" s="46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 spans="1:26" ht="14.4">
      <c r="A869" s="191"/>
      <c r="B869" s="191"/>
      <c r="C869" s="191"/>
      <c r="D869" s="191"/>
      <c r="E869" s="191"/>
      <c r="F869" s="191"/>
      <c r="G869" s="386"/>
      <c r="H869" s="386"/>
      <c r="I869" s="46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 spans="1:26" ht="14.4">
      <c r="A870" s="191"/>
      <c r="B870" s="191"/>
      <c r="C870" s="191"/>
      <c r="D870" s="191"/>
      <c r="E870" s="191"/>
      <c r="F870" s="191"/>
      <c r="G870" s="386"/>
      <c r="H870" s="386"/>
      <c r="I870" s="46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 spans="1:26" ht="14.4">
      <c r="A871" s="191"/>
      <c r="B871" s="191"/>
      <c r="C871" s="191"/>
      <c r="D871" s="191"/>
      <c r="E871" s="191"/>
      <c r="F871" s="191"/>
      <c r="G871" s="386"/>
      <c r="H871" s="386"/>
      <c r="I871" s="46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 spans="1:26" ht="14.4">
      <c r="A872" s="191"/>
      <c r="B872" s="191"/>
      <c r="C872" s="191"/>
      <c r="D872" s="191"/>
      <c r="E872" s="191"/>
      <c r="F872" s="191"/>
      <c r="G872" s="386"/>
      <c r="H872" s="386"/>
      <c r="I872" s="46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 spans="1:26" ht="14.4">
      <c r="A873" s="191"/>
      <c r="B873" s="191"/>
      <c r="C873" s="191"/>
      <c r="D873" s="191"/>
      <c r="E873" s="191"/>
      <c r="F873" s="191"/>
      <c r="G873" s="386"/>
      <c r="H873" s="386"/>
      <c r="I873" s="46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 spans="1:26" ht="14.4">
      <c r="A874" s="191"/>
      <c r="B874" s="191"/>
      <c r="C874" s="191"/>
      <c r="D874" s="191"/>
      <c r="E874" s="191"/>
      <c r="F874" s="191"/>
      <c r="G874" s="386"/>
      <c r="H874" s="386"/>
      <c r="I874" s="46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 spans="1:26" ht="14.4">
      <c r="A875" s="191"/>
      <c r="B875" s="191"/>
      <c r="C875" s="191"/>
      <c r="D875" s="191"/>
      <c r="E875" s="191"/>
      <c r="F875" s="191"/>
      <c r="G875" s="386"/>
      <c r="H875" s="386"/>
      <c r="I875" s="46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 spans="1:26" ht="14.4">
      <c r="A876" s="191"/>
      <c r="B876" s="191"/>
      <c r="C876" s="191"/>
      <c r="D876" s="191"/>
      <c r="E876" s="191"/>
      <c r="F876" s="191"/>
      <c r="G876" s="386"/>
      <c r="H876" s="386"/>
      <c r="I876" s="46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 spans="1:26" ht="14.4">
      <c r="A877" s="191"/>
      <c r="B877" s="191"/>
      <c r="C877" s="191"/>
      <c r="D877" s="191"/>
      <c r="E877" s="191"/>
      <c r="F877" s="191"/>
      <c r="G877" s="386"/>
      <c r="H877" s="386"/>
      <c r="I877" s="46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 spans="1:26" ht="14.4">
      <c r="A878" s="191"/>
      <c r="B878" s="191"/>
      <c r="C878" s="191"/>
      <c r="D878" s="191"/>
      <c r="E878" s="191"/>
      <c r="F878" s="191"/>
      <c r="G878" s="386"/>
      <c r="H878" s="386"/>
      <c r="I878" s="46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 spans="1:26" ht="14.4">
      <c r="A879" s="191"/>
      <c r="B879" s="191"/>
      <c r="C879" s="191"/>
      <c r="D879" s="191"/>
      <c r="E879" s="191"/>
      <c r="F879" s="191"/>
      <c r="G879" s="386"/>
      <c r="H879" s="386"/>
      <c r="I879" s="46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 spans="1:26" ht="14.4">
      <c r="A880" s="191"/>
      <c r="B880" s="191"/>
      <c r="C880" s="191"/>
      <c r="D880" s="191"/>
      <c r="E880" s="191"/>
      <c r="F880" s="191"/>
      <c r="G880" s="386"/>
      <c r="H880" s="386"/>
      <c r="I880" s="46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 spans="1:26" ht="14.4">
      <c r="A881" s="191"/>
      <c r="B881" s="191"/>
      <c r="C881" s="191"/>
      <c r="D881" s="191"/>
      <c r="E881" s="191"/>
      <c r="F881" s="191"/>
      <c r="G881" s="386"/>
      <c r="H881" s="386"/>
      <c r="I881" s="46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 spans="1:26" ht="14.4">
      <c r="A882" s="191"/>
      <c r="B882" s="191"/>
      <c r="C882" s="191"/>
      <c r="D882" s="191"/>
      <c r="E882" s="191"/>
      <c r="F882" s="191"/>
      <c r="G882" s="386"/>
      <c r="H882" s="386"/>
      <c r="I882" s="46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 spans="1:26" ht="14.4">
      <c r="A883" s="191"/>
      <c r="B883" s="191"/>
      <c r="C883" s="191"/>
      <c r="D883" s="191"/>
      <c r="E883" s="191"/>
      <c r="F883" s="191"/>
      <c r="G883" s="386"/>
      <c r="H883" s="386"/>
      <c r="I883" s="46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 spans="1:26" ht="14.4">
      <c r="A884" s="191"/>
      <c r="B884" s="191"/>
      <c r="C884" s="191"/>
      <c r="D884" s="191"/>
      <c r="E884" s="191"/>
      <c r="F884" s="191"/>
      <c r="G884" s="386"/>
      <c r="H884" s="386"/>
      <c r="I884" s="46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 spans="1:26" ht="14.4">
      <c r="A885" s="191"/>
      <c r="B885" s="191"/>
      <c r="C885" s="191"/>
      <c r="D885" s="191"/>
      <c r="E885" s="191"/>
      <c r="F885" s="191"/>
      <c r="G885" s="386"/>
      <c r="H885" s="386"/>
      <c r="I885" s="46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 spans="1:26" ht="14.4">
      <c r="A886" s="191"/>
      <c r="B886" s="191"/>
      <c r="C886" s="191"/>
      <c r="D886" s="191"/>
      <c r="E886" s="191"/>
      <c r="F886" s="191"/>
      <c r="G886" s="386"/>
      <c r="H886" s="386"/>
      <c r="I886" s="46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 spans="1:26" ht="14.4">
      <c r="A887" s="191"/>
      <c r="B887" s="191"/>
      <c r="C887" s="191"/>
      <c r="D887" s="191"/>
      <c r="E887" s="191"/>
      <c r="F887" s="191"/>
      <c r="G887" s="386"/>
      <c r="H887" s="386"/>
      <c r="I887" s="46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 spans="1:26" ht="14.4">
      <c r="A888" s="191"/>
      <c r="B888" s="191"/>
      <c r="C888" s="191"/>
      <c r="D888" s="191"/>
      <c r="E888" s="191"/>
      <c r="F888" s="191"/>
      <c r="G888" s="386"/>
      <c r="H888" s="386"/>
      <c r="I888" s="46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 spans="1:26" ht="14.4">
      <c r="A889" s="191"/>
      <c r="B889" s="191"/>
      <c r="C889" s="191"/>
      <c r="D889" s="191"/>
      <c r="E889" s="191"/>
      <c r="F889" s="191"/>
      <c r="G889" s="386"/>
      <c r="H889" s="386"/>
      <c r="I889" s="46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 spans="1:26" ht="14.4">
      <c r="A890" s="191"/>
      <c r="B890" s="191"/>
      <c r="C890" s="191"/>
      <c r="D890" s="191"/>
      <c r="E890" s="191"/>
      <c r="F890" s="191"/>
      <c r="G890" s="386"/>
      <c r="H890" s="386"/>
      <c r="I890" s="46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 spans="1:26" ht="14.4">
      <c r="A891" s="191"/>
      <c r="B891" s="191"/>
      <c r="C891" s="191"/>
      <c r="D891" s="191"/>
      <c r="E891" s="191"/>
      <c r="F891" s="191"/>
      <c r="G891" s="386"/>
      <c r="H891" s="386"/>
      <c r="I891" s="46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 spans="1:26" ht="14.4">
      <c r="A892" s="191"/>
      <c r="B892" s="191"/>
      <c r="C892" s="191"/>
      <c r="D892" s="191"/>
      <c r="E892" s="191"/>
      <c r="F892" s="191"/>
      <c r="G892" s="386"/>
      <c r="H892" s="386"/>
      <c r="I892" s="46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 spans="1:26" ht="14.4">
      <c r="A893" s="191"/>
      <c r="B893" s="191"/>
      <c r="C893" s="191"/>
      <c r="D893" s="191"/>
      <c r="E893" s="191"/>
      <c r="F893" s="191"/>
      <c r="G893" s="386"/>
      <c r="H893" s="386"/>
      <c r="I893" s="46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 spans="1:26" ht="14.4">
      <c r="A894" s="191"/>
      <c r="B894" s="191"/>
      <c r="C894" s="191"/>
      <c r="D894" s="191"/>
      <c r="E894" s="191"/>
      <c r="F894" s="191"/>
      <c r="G894" s="386"/>
      <c r="H894" s="386"/>
      <c r="I894" s="46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 spans="1:26" ht="14.4">
      <c r="A895" s="191"/>
      <c r="B895" s="191"/>
      <c r="C895" s="191"/>
      <c r="D895" s="191"/>
      <c r="E895" s="191"/>
      <c r="F895" s="191"/>
      <c r="G895" s="386"/>
      <c r="H895" s="386"/>
      <c r="I895" s="46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 spans="1:26" ht="14.4">
      <c r="A896" s="191"/>
      <c r="B896" s="191"/>
      <c r="C896" s="191"/>
      <c r="D896" s="191"/>
      <c r="E896" s="191"/>
      <c r="F896" s="191"/>
      <c r="G896" s="386"/>
      <c r="H896" s="386"/>
      <c r="I896" s="46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 spans="1:26" ht="14.4">
      <c r="A897" s="191"/>
      <c r="B897" s="191"/>
      <c r="C897" s="191"/>
      <c r="D897" s="191"/>
      <c r="E897" s="191"/>
      <c r="F897" s="191"/>
      <c r="G897" s="386"/>
      <c r="H897" s="386"/>
      <c r="I897" s="46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 spans="1:26" ht="14.4">
      <c r="A898" s="191"/>
      <c r="B898" s="191"/>
      <c r="C898" s="191"/>
      <c r="D898" s="191"/>
      <c r="E898" s="191"/>
      <c r="F898" s="191"/>
      <c r="G898" s="386"/>
      <c r="H898" s="386"/>
      <c r="I898" s="46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 spans="1:26" ht="14.4">
      <c r="A899" s="191"/>
      <c r="B899" s="191"/>
      <c r="C899" s="191"/>
      <c r="D899" s="191"/>
      <c r="E899" s="191"/>
      <c r="F899" s="191"/>
      <c r="G899" s="386"/>
      <c r="H899" s="386"/>
      <c r="I899" s="46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 spans="1:26" ht="14.4">
      <c r="A900" s="191"/>
      <c r="B900" s="191"/>
      <c r="C900" s="191"/>
      <c r="D900" s="191"/>
      <c r="E900" s="191"/>
      <c r="F900" s="191"/>
      <c r="G900" s="386"/>
      <c r="H900" s="386"/>
      <c r="I900" s="46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 spans="1:26" ht="14.4">
      <c r="A901" s="191"/>
      <c r="B901" s="191"/>
      <c r="C901" s="191"/>
      <c r="D901" s="191"/>
      <c r="E901" s="191"/>
      <c r="F901" s="191"/>
      <c r="G901" s="386"/>
      <c r="H901" s="386"/>
      <c r="I901" s="46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 spans="1:26" ht="14.4">
      <c r="A902" s="191"/>
      <c r="B902" s="191"/>
      <c r="C902" s="191"/>
      <c r="D902" s="191"/>
      <c r="E902" s="191"/>
      <c r="F902" s="191"/>
      <c r="G902" s="386"/>
      <c r="H902" s="386"/>
      <c r="I902" s="46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 spans="1:26" ht="14.4">
      <c r="A903" s="191"/>
      <c r="B903" s="191"/>
      <c r="C903" s="191"/>
      <c r="D903" s="191"/>
      <c r="E903" s="191"/>
      <c r="F903" s="191"/>
      <c r="G903" s="386"/>
      <c r="H903" s="386"/>
      <c r="I903" s="46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 spans="1:26" ht="14.4">
      <c r="A904" s="191"/>
      <c r="B904" s="191"/>
      <c r="C904" s="191"/>
      <c r="D904" s="191"/>
      <c r="E904" s="191"/>
      <c r="F904" s="191"/>
      <c r="G904" s="386"/>
      <c r="H904" s="386"/>
      <c r="I904" s="46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 spans="1:26" ht="14.4">
      <c r="A905" s="191"/>
      <c r="B905" s="191"/>
      <c r="C905" s="191"/>
      <c r="D905" s="191"/>
      <c r="E905" s="191"/>
      <c r="F905" s="191"/>
      <c r="G905" s="386"/>
      <c r="H905" s="386"/>
      <c r="I905" s="46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 spans="1:26" ht="14.4">
      <c r="A906" s="191"/>
      <c r="B906" s="191"/>
      <c r="C906" s="191"/>
      <c r="D906" s="191"/>
      <c r="E906" s="191"/>
      <c r="F906" s="191"/>
      <c r="G906" s="386"/>
      <c r="H906" s="386"/>
      <c r="I906" s="46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 spans="1:26" ht="14.4">
      <c r="A907" s="191"/>
      <c r="B907" s="191"/>
      <c r="C907" s="191"/>
      <c r="D907" s="191"/>
      <c r="E907" s="191"/>
      <c r="F907" s="191"/>
      <c r="G907" s="386"/>
      <c r="H907" s="386"/>
      <c r="I907" s="46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 spans="1:26" ht="14.4">
      <c r="A908" s="191"/>
      <c r="B908" s="191"/>
      <c r="C908" s="191"/>
      <c r="D908" s="191"/>
      <c r="E908" s="191"/>
      <c r="F908" s="191"/>
      <c r="G908" s="386"/>
      <c r="H908" s="386"/>
      <c r="I908" s="46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 spans="1:26" ht="14.4">
      <c r="A909" s="191"/>
      <c r="B909" s="191"/>
      <c r="C909" s="191"/>
      <c r="D909" s="191"/>
      <c r="E909" s="191"/>
      <c r="F909" s="191"/>
      <c r="G909" s="386"/>
      <c r="H909" s="386"/>
      <c r="I909" s="46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 spans="1:26" ht="14.4">
      <c r="A910" s="191"/>
      <c r="B910" s="191"/>
      <c r="C910" s="191"/>
      <c r="D910" s="191"/>
      <c r="E910" s="191"/>
      <c r="F910" s="191"/>
      <c r="G910" s="386"/>
      <c r="H910" s="386"/>
      <c r="I910" s="46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 spans="1:26" ht="14.4">
      <c r="A911" s="191"/>
      <c r="B911" s="191"/>
      <c r="C911" s="191"/>
      <c r="D911" s="191"/>
      <c r="E911" s="191"/>
      <c r="F911" s="191"/>
      <c r="G911" s="386"/>
      <c r="H911" s="386"/>
      <c r="I911" s="46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 spans="1:26" ht="14.4">
      <c r="A912" s="191"/>
      <c r="B912" s="191"/>
      <c r="C912" s="191"/>
      <c r="D912" s="191"/>
      <c r="E912" s="191"/>
      <c r="F912" s="191"/>
      <c r="G912" s="386"/>
      <c r="H912" s="386"/>
      <c r="I912" s="46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 spans="1:26" ht="14.4">
      <c r="A913" s="191"/>
      <c r="B913" s="191"/>
      <c r="C913" s="191"/>
      <c r="D913" s="191"/>
      <c r="E913" s="191"/>
      <c r="F913" s="191"/>
      <c r="G913" s="386"/>
      <c r="H913" s="386"/>
      <c r="I913" s="46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 spans="1:26" ht="14.4">
      <c r="A914" s="191"/>
      <c r="B914" s="191"/>
      <c r="C914" s="191"/>
      <c r="D914" s="191"/>
      <c r="E914" s="191"/>
      <c r="F914" s="191"/>
      <c r="G914" s="386"/>
      <c r="H914" s="386"/>
      <c r="I914" s="46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 spans="1:26" ht="14.4">
      <c r="A915" s="191"/>
      <c r="B915" s="191"/>
      <c r="C915" s="191"/>
      <c r="D915" s="191"/>
      <c r="E915" s="191"/>
      <c r="F915" s="191"/>
      <c r="G915" s="386"/>
      <c r="H915" s="386"/>
      <c r="I915" s="46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 spans="1:26" ht="14.4">
      <c r="A916" s="191"/>
      <c r="B916" s="191"/>
      <c r="C916" s="191"/>
      <c r="D916" s="191"/>
      <c r="E916" s="191"/>
      <c r="F916" s="191"/>
      <c r="G916" s="386"/>
      <c r="H916" s="386"/>
      <c r="I916" s="46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 spans="1:26" ht="14.4">
      <c r="A917" s="191"/>
      <c r="B917" s="191"/>
      <c r="C917" s="191"/>
      <c r="D917" s="191"/>
      <c r="E917" s="191"/>
      <c r="F917" s="191"/>
      <c r="G917" s="386"/>
      <c r="H917" s="386"/>
      <c r="I917" s="46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 spans="1:26" ht="14.4">
      <c r="A918" s="191"/>
      <c r="B918" s="191"/>
      <c r="C918" s="191"/>
      <c r="D918" s="191"/>
      <c r="E918" s="191"/>
      <c r="F918" s="191"/>
      <c r="G918" s="386"/>
      <c r="H918" s="386"/>
      <c r="I918" s="46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 spans="1:26" ht="14.4">
      <c r="A919" s="191"/>
      <c r="B919" s="191"/>
      <c r="C919" s="191"/>
      <c r="D919" s="191"/>
      <c r="E919" s="191"/>
      <c r="F919" s="191"/>
      <c r="G919" s="386"/>
      <c r="H919" s="386"/>
      <c r="I919" s="46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 spans="1:26" ht="14.4">
      <c r="A920" s="191"/>
      <c r="B920" s="191"/>
      <c r="C920" s="191"/>
      <c r="D920" s="191"/>
      <c r="E920" s="191"/>
      <c r="F920" s="191"/>
      <c r="G920" s="386"/>
      <c r="H920" s="386"/>
      <c r="I920" s="46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 spans="1:26" ht="14.4">
      <c r="A921" s="191"/>
      <c r="B921" s="191"/>
      <c r="C921" s="191"/>
      <c r="D921" s="191"/>
      <c r="E921" s="191"/>
      <c r="F921" s="191"/>
      <c r="G921" s="386"/>
      <c r="H921" s="386"/>
      <c r="I921" s="46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 spans="1:26" ht="14.4">
      <c r="A922" s="191"/>
      <c r="B922" s="191"/>
      <c r="C922" s="191"/>
      <c r="D922" s="191"/>
      <c r="E922" s="191"/>
      <c r="F922" s="191"/>
      <c r="G922" s="386"/>
      <c r="H922" s="386"/>
      <c r="I922" s="46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 spans="1:26" ht="14.4">
      <c r="A923" s="191"/>
      <c r="B923" s="191"/>
      <c r="C923" s="191"/>
      <c r="D923" s="191"/>
      <c r="E923" s="191"/>
      <c r="F923" s="191"/>
      <c r="G923" s="386"/>
      <c r="H923" s="386"/>
      <c r="I923" s="46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 spans="1:26" ht="14.4">
      <c r="A924" s="191"/>
      <c r="B924" s="191"/>
      <c r="C924" s="191"/>
      <c r="D924" s="191"/>
      <c r="E924" s="191"/>
      <c r="F924" s="191"/>
      <c r="G924" s="386"/>
      <c r="H924" s="386"/>
      <c r="I924" s="46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 spans="1:26" ht="14.4">
      <c r="A925" s="191"/>
      <c r="B925" s="191"/>
      <c r="C925" s="191"/>
      <c r="D925" s="191"/>
      <c r="E925" s="191"/>
      <c r="F925" s="191"/>
      <c r="G925" s="386"/>
      <c r="H925" s="386"/>
      <c r="I925" s="46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 spans="1:26" ht="14.4">
      <c r="A926" s="191"/>
      <c r="B926" s="191"/>
      <c r="C926" s="191"/>
      <c r="D926" s="191"/>
      <c r="E926" s="191"/>
      <c r="F926" s="191"/>
      <c r="G926" s="386"/>
      <c r="H926" s="386"/>
      <c r="I926" s="46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 spans="1:26" ht="14.4">
      <c r="A927" s="191"/>
      <c r="B927" s="191"/>
      <c r="C927" s="191"/>
      <c r="D927" s="191"/>
      <c r="E927" s="191"/>
      <c r="F927" s="191"/>
      <c r="G927" s="386"/>
      <c r="H927" s="386"/>
      <c r="I927" s="46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 spans="1:26" ht="14.4">
      <c r="A928" s="191"/>
      <c r="B928" s="191"/>
      <c r="C928" s="191"/>
      <c r="D928" s="191"/>
      <c r="E928" s="191"/>
      <c r="F928" s="191"/>
      <c r="G928" s="386"/>
      <c r="H928" s="386"/>
      <c r="I928" s="46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 spans="1:26" ht="14.4">
      <c r="A929" s="191"/>
      <c r="B929" s="191"/>
      <c r="C929" s="191"/>
      <c r="D929" s="191"/>
      <c r="E929" s="191"/>
      <c r="F929" s="191"/>
      <c r="G929" s="386"/>
      <c r="H929" s="386"/>
      <c r="I929" s="46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 spans="1:26" ht="14.4">
      <c r="A930" s="191"/>
      <c r="B930" s="191"/>
      <c r="C930" s="191"/>
      <c r="D930" s="191"/>
      <c r="E930" s="191"/>
      <c r="F930" s="191"/>
      <c r="G930" s="386"/>
      <c r="H930" s="386"/>
      <c r="I930" s="46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 spans="1:26" ht="14.4">
      <c r="A931" s="191"/>
      <c r="B931" s="191"/>
      <c r="C931" s="191"/>
      <c r="D931" s="191"/>
      <c r="E931" s="191"/>
      <c r="F931" s="191"/>
      <c r="G931" s="386"/>
      <c r="H931" s="386"/>
      <c r="I931" s="46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 spans="1:26" ht="14.4">
      <c r="A932" s="191"/>
      <c r="B932" s="191"/>
      <c r="C932" s="191"/>
      <c r="D932" s="191"/>
      <c r="E932" s="191"/>
      <c r="F932" s="191"/>
      <c r="G932" s="386"/>
      <c r="H932" s="386"/>
      <c r="I932" s="46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 spans="1:26" ht="14.4">
      <c r="A933" s="191"/>
      <c r="B933" s="191"/>
      <c r="C933" s="191"/>
      <c r="D933" s="191"/>
      <c r="E933" s="191"/>
      <c r="F933" s="191"/>
      <c r="G933" s="386"/>
      <c r="H933" s="386"/>
      <c r="I933" s="46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 spans="1:26" ht="14.4">
      <c r="A934" s="191"/>
      <c r="B934" s="191"/>
      <c r="C934" s="191"/>
      <c r="D934" s="191"/>
      <c r="E934" s="191"/>
      <c r="F934" s="191"/>
      <c r="G934" s="386"/>
      <c r="H934" s="386"/>
      <c r="I934" s="46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 spans="1:26" ht="14.4">
      <c r="A935" s="191"/>
      <c r="B935" s="191"/>
      <c r="C935" s="191"/>
      <c r="D935" s="191"/>
      <c r="E935" s="191"/>
      <c r="F935" s="191"/>
      <c r="G935" s="386"/>
      <c r="H935" s="386"/>
      <c r="I935" s="46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 spans="1:26" ht="14.4">
      <c r="A936" s="191"/>
      <c r="B936" s="191"/>
      <c r="C936" s="191"/>
      <c r="D936" s="191"/>
      <c r="E936" s="191"/>
      <c r="F936" s="191"/>
      <c r="G936" s="386"/>
      <c r="H936" s="386"/>
      <c r="I936" s="46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 spans="1:26" ht="14.4">
      <c r="A937" s="191"/>
      <c r="B937" s="191"/>
      <c r="C937" s="191"/>
      <c r="D937" s="191"/>
      <c r="E937" s="191"/>
      <c r="F937" s="191"/>
      <c r="G937" s="386"/>
      <c r="H937" s="386"/>
      <c r="I937" s="46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 spans="1:26" ht="14.4">
      <c r="A938" s="191"/>
      <c r="B938" s="191"/>
      <c r="C938" s="191"/>
      <c r="D938" s="191"/>
      <c r="E938" s="191"/>
      <c r="F938" s="191"/>
      <c r="G938" s="386"/>
      <c r="H938" s="386"/>
      <c r="I938" s="46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 spans="1:26" ht="14.4">
      <c r="A939" s="191"/>
      <c r="B939" s="191"/>
      <c r="C939" s="191"/>
      <c r="D939" s="191"/>
      <c r="E939" s="191"/>
      <c r="F939" s="191"/>
      <c r="G939" s="386"/>
      <c r="H939" s="386"/>
      <c r="I939" s="46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 spans="1:26" ht="14.4">
      <c r="A940" s="191"/>
      <c r="B940" s="191"/>
      <c r="C940" s="191"/>
      <c r="D940" s="191"/>
      <c r="E940" s="191"/>
      <c r="F940" s="191"/>
      <c r="G940" s="386"/>
      <c r="H940" s="386"/>
      <c r="I940" s="46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 spans="1:26" ht="14.4">
      <c r="A941" s="191"/>
      <c r="B941" s="191"/>
      <c r="C941" s="191"/>
      <c r="D941" s="191"/>
      <c r="E941" s="191"/>
      <c r="F941" s="191"/>
      <c r="G941" s="386"/>
      <c r="H941" s="386"/>
      <c r="I941" s="46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 spans="1:26" ht="14.4">
      <c r="A942" s="191"/>
      <c r="B942" s="191"/>
      <c r="C942" s="191"/>
      <c r="D942" s="191"/>
      <c r="E942" s="191"/>
      <c r="F942" s="191"/>
      <c r="G942" s="386"/>
      <c r="H942" s="386"/>
      <c r="I942" s="46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 spans="1:26" ht="14.4">
      <c r="A943" s="191"/>
      <c r="B943" s="191"/>
      <c r="C943" s="191"/>
      <c r="D943" s="191"/>
      <c r="E943" s="191"/>
      <c r="F943" s="191"/>
      <c r="G943" s="386"/>
      <c r="H943" s="386"/>
      <c r="I943" s="46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 spans="1:26" ht="14.4">
      <c r="A944" s="191"/>
      <c r="B944" s="191"/>
      <c r="C944" s="191"/>
      <c r="D944" s="191"/>
      <c r="E944" s="191"/>
      <c r="F944" s="191"/>
      <c r="G944" s="386"/>
      <c r="H944" s="386"/>
      <c r="I944" s="46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 spans="1:26" ht="14.4">
      <c r="A945" s="191"/>
      <c r="B945" s="191"/>
      <c r="C945" s="191"/>
      <c r="D945" s="191"/>
      <c r="E945" s="191"/>
      <c r="F945" s="191"/>
      <c r="G945" s="386"/>
      <c r="H945" s="386"/>
      <c r="I945" s="46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 spans="1:26" ht="14.4">
      <c r="A946" s="191"/>
      <c r="B946" s="191"/>
      <c r="C946" s="191"/>
      <c r="D946" s="191"/>
      <c r="E946" s="191"/>
      <c r="F946" s="191"/>
      <c r="G946" s="386"/>
      <c r="H946" s="386"/>
      <c r="I946" s="46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 spans="1:26" ht="14.4">
      <c r="A947" s="191"/>
      <c r="B947" s="191"/>
      <c r="C947" s="191"/>
      <c r="D947" s="191"/>
      <c r="E947" s="191"/>
      <c r="F947" s="191"/>
      <c r="G947" s="386"/>
      <c r="H947" s="386"/>
      <c r="I947" s="46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 spans="1:26" ht="14.4">
      <c r="A948" s="191"/>
      <c r="B948" s="191"/>
      <c r="C948" s="191"/>
      <c r="D948" s="191"/>
      <c r="E948" s="191"/>
      <c r="F948" s="191"/>
      <c r="G948" s="386"/>
      <c r="H948" s="386"/>
      <c r="I948" s="46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 spans="1:26" ht="14.4">
      <c r="A949" s="191"/>
      <c r="B949" s="191"/>
      <c r="C949" s="191"/>
      <c r="D949" s="191"/>
      <c r="E949" s="191"/>
      <c r="F949" s="191"/>
      <c r="G949" s="386"/>
      <c r="H949" s="386"/>
      <c r="I949" s="46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 spans="1:26" ht="14.4">
      <c r="A950" s="191"/>
      <c r="B950" s="191"/>
      <c r="C950" s="191"/>
      <c r="D950" s="191"/>
      <c r="E950" s="191"/>
      <c r="F950" s="191"/>
      <c r="G950" s="386"/>
      <c r="H950" s="386"/>
      <c r="I950" s="46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 spans="1:26" ht="14.4">
      <c r="A951" s="191"/>
      <c r="B951" s="191"/>
      <c r="C951" s="191"/>
      <c r="D951" s="191"/>
      <c r="E951" s="191"/>
      <c r="F951" s="191"/>
      <c r="G951" s="386"/>
      <c r="H951" s="386"/>
      <c r="I951" s="46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 spans="1:26" ht="14.4">
      <c r="A952" s="191"/>
      <c r="B952" s="191"/>
      <c r="C952" s="191"/>
      <c r="D952" s="191"/>
      <c r="E952" s="191"/>
      <c r="F952" s="191"/>
      <c r="G952" s="386"/>
      <c r="H952" s="386"/>
      <c r="I952" s="46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 spans="1:26" ht="14.4">
      <c r="A953" s="191"/>
      <c r="B953" s="191"/>
      <c r="C953" s="191"/>
      <c r="D953" s="191"/>
      <c r="E953" s="191"/>
      <c r="F953" s="191"/>
      <c r="G953" s="386"/>
      <c r="H953" s="386"/>
      <c r="I953" s="46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 spans="1:26" ht="14.4">
      <c r="A954" s="191"/>
      <c r="B954" s="191"/>
      <c r="C954" s="191"/>
      <c r="D954" s="191"/>
      <c r="E954" s="191"/>
      <c r="F954" s="191"/>
      <c r="G954" s="386"/>
      <c r="H954" s="386"/>
      <c r="I954" s="46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 spans="1:26" ht="14.4">
      <c r="A955" s="191"/>
      <c r="B955" s="191"/>
      <c r="C955" s="191"/>
      <c r="D955" s="191"/>
      <c r="E955" s="191"/>
      <c r="F955" s="191"/>
      <c r="G955" s="386"/>
      <c r="H955" s="386"/>
      <c r="I955" s="46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 spans="1:26" ht="14.4">
      <c r="A956" s="191"/>
      <c r="B956" s="191"/>
      <c r="C956" s="191"/>
      <c r="D956" s="191"/>
      <c r="E956" s="191"/>
      <c r="F956" s="191"/>
      <c r="G956" s="386"/>
      <c r="H956" s="386"/>
      <c r="I956" s="46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 spans="1:26" ht="14.4">
      <c r="A957" s="191"/>
      <c r="B957" s="191"/>
      <c r="C957" s="191"/>
      <c r="D957" s="191"/>
      <c r="E957" s="191"/>
      <c r="F957" s="191"/>
      <c r="G957" s="386"/>
      <c r="H957" s="386"/>
      <c r="I957" s="46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 spans="1:26" ht="14.4">
      <c r="A958" s="191"/>
      <c r="B958" s="191"/>
      <c r="C958" s="191"/>
      <c r="D958" s="191"/>
      <c r="E958" s="191"/>
      <c r="F958" s="191"/>
      <c r="G958" s="386"/>
      <c r="H958" s="386"/>
      <c r="I958" s="46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 spans="1:26" ht="14.4">
      <c r="A959" s="191"/>
      <c r="B959" s="191"/>
      <c r="C959" s="191"/>
      <c r="D959" s="191"/>
      <c r="E959" s="191"/>
      <c r="F959" s="191"/>
      <c r="G959" s="386"/>
      <c r="H959" s="386"/>
      <c r="I959" s="46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 spans="1:26" ht="14.4">
      <c r="A960" s="191"/>
      <c r="B960" s="191"/>
      <c r="C960" s="191"/>
      <c r="D960" s="191"/>
      <c r="E960" s="191"/>
      <c r="F960" s="191"/>
      <c r="G960" s="386"/>
      <c r="H960" s="386"/>
      <c r="I960" s="46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 spans="1:26" ht="14.4">
      <c r="A961" s="191"/>
      <c r="B961" s="191"/>
      <c r="C961" s="191"/>
      <c r="D961" s="191"/>
      <c r="E961" s="191"/>
      <c r="F961" s="191"/>
      <c r="G961" s="386"/>
      <c r="H961" s="386"/>
      <c r="I961" s="46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 spans="1:26" ht="14.4">
      <c r="A962" s="191"/>
      <c r="B962" s="191"/>
      <c r="C962" s="191"/>
      <c r="D962" s="191"/>
      <c r="E962" s="191"/>
      <c r="F962" s="191"/>
      <c r="G962" s="386"/>
      <c r="H962" s="386"/>
      <c r="I962" s="46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 spans="1:26" ht="14.4">
      <c r="A963" s="191"/>
      <c r="B963" s="191"/>
      <c r="C963" s="191"/>
      <c r="D963" s="191"/>
      <c r="E963" s="191"/>
      <c r="F963" s="191"/>
      <c r="G963" s="386"/>
      <c r="H963" s="386"/>
      <c r="I963" s="46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</sheetData>
  <mergeCells count="12">
    <mergeCell ref="A147:A158"/>
    <mergeCell ref="A159:A180"/>
    <mergeCell ref="A1:B1"/>
    <mergeCell ref="A3:A22"/>
    <mergeCell ref="A23:A60"/>
    <mergeCell ref="A61:A87"/>
    <mergeCell ref="A88:A146"/>
    <mergeCell ref="A243:A305"/>
    <mergeCell ref="A306:A322"/>
    <mergeCell ref="H324:I324"/>
    <mergeCell ref="K324:L324"/>
    <mergeCell ref="A340:B3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Z974"/>
  <sheetViews>
    <sheetView workbookViewId="0"/>
  </sheetViews>
  <sheetFormatPr baseColWidth="10" defaultColWidth="12.6640625" defaultRowHeight="15.75" customHeight="1"/>
  <cols>
    <col min="2" max="2" width="38.21875" customWidth="1"/>
    <col min="8" max="8" width="16" customWidth="1"/>
    <col min="11" max="11" width="15.44140625" customWidth="1"/>
  </cols>
  <sheetData>
    <row r="1" spans="1:26" ht="28.8">
      <c r="A1" s="681" t="s">
        <v>124</v>
      </c>
      <c r="B1" s="652"/>
      <c r="C1" s="1" t="s">
        <v>125</v>
      </c>
      <c r="D1" s="2" t="s">
        <v>126</v>
      </c>
      <c r="E1" s="2" t="s">
        <v>127</v>
      </c>
      <c r="F1" s="2" t="s">
        <v>0</v>
      </c>
      <c r="G1" s="186" t="s">
        <v>1</v>
      </c>
      <c r="H1" s="186" t="s">
        <v>128</v>
      </c>
      <c r="I1" s="187" t="s">
        <v>129</v>
      </c>
      <c r="J1" s="188" t="s">
        <v>130</v>
      </c>
      <c r="K1" s="189" t="s">
        <v>131</v>
      </c>
      <c r="L1" s="190" t="s">
        <v>2</v>
      </c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4.4">
      <c r="A2" s="192"/>
      <c r="B2" s="192"/>
      <c r="C2" s="193"/>
      <c r="D2" s="194"/>
      <c r="E2" s="194"/>
      <c r="F2" s="194"/>
      <c r="G2" s="195"/>
      <c r="H2" s="195"/>
      <c r="I2" s="196"/>
      <c r="J2" s="197"/>
      <c r="K2" s="198"/>
      <c r="L2" s="198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spans="1:26" ht="14.4">
      <c r="A3" s="682" t="s">
        <v>3</v>
      </c>
      <c r="B3" s="199" t="s">
        <v>4</v>
      </c>
      <c r="C3" s="200">
        <f>26+6</f>
        <v>32</v>
      </c>
      <c r="D3" s="201">
        <f>162+135+4</f>
        <v>301</v>
      </c>
      <c r="E3" s="201"/>
      <c r="F3" s="202">
        <f t="shared" ref="F3:F21" si="0">+C3+D3-E3</f>
        <v>333</v>
      </c>
      <c r="G3" s="203">
        <v>63202</v>
      </c>
      <c r="H3" s="203">
        <v>65000</v>
      </c>
      <c r="I3" s="204"/>
      <c r="J3" s="205">
        <f t="shared" ref="J3:J21" si="1">+H3*I3</f>
        <v>0</v>
      </c>
      <c r="K3" s="205">
        <f t="shared" ref="K3:K21" si="2">+(H3-G3)*I3</f>
        <v>0</v>
      </c>
      <c r="L3" s="205">
        <f t="shared" ref="L3:L21" si="3">+G3*F3</f>
        <v>21046266</v>
      </c>
      <c r="M3" s="206">
        <f t="shared" ref="M3:M21" si="4">F3*H3</f>
        <v>21645000</v>
      </c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26" ht="14.4">
      <c r="A4" s="654"/>
      <c r="B4" s="199" t="s">
        <v>5</v>
      </c>
      <c r="C4" s="200">
        <v>7.75</v>
      </c>
      <c r="D4" s="201"/>
      <c r="E4" s="201"/>
      <c r="F4" s="202">
        <f t="shared" si="0"/>
        <v>7.75</v>
      </c>
      <c r="G4" s="203">
        <v>60456</v>
      </c>
      <c r="H4" s="203">
        <v>62000</v>
      </c>
      <c r="I4" s="204"/>
      <c r="J4" s="205">
        <f t="shared" si="1"/>
        <v>0</v>
      </c>
      <c r="K4" s="205">
        <f t="shared" si="2"/>
        <v>0</v>
      </c>
      <c r="L4" s="205">
        <f t="shared" si="3"/>
        <v>468534</v>
      </c>
      <c r="M4" s="207">
        <f t="shared" si="4"/>
        <v>480500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26" ht="14.4">
      <c r="A5" s="654"/>
      <c r="B5" s="199" t="s">
        <v>132</v>
      </c>
      <c r="C5" s="200">
        <v>50</v>
      </c>
      <c r="D5" s="201"/>
      <c r="E5" s="201"/>
      <c r="F5" s="202">
        <f t="shared" si="0"/>
        <v>50</v>
      </c>
      <c r="G5" s="203">
        <v>50000</v>
      </c>
      <c r="H5" s="203">
        <v>55000</v>
      </c>
      <c r="I5" s="204"/>
      <c r="J5" s="205">
        <f t="shared" si="1"/>
        <v>0</v>
      </c>
      <c r="K5" s="205">
        <f t="shared" si="2"/>
        <v>0</v>
      </c>
      <c r="L5" s="205">
        <f t="shared" si="3"/>
        <v>2500000</v>
      </c>
      <c r="M5" s="207">
        <f t="shared" si="4"/>
        <v>2750000</v>
      </c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26" ht="14.4">
      <c r="A6" s="654"/>
      <c r="B6" s="199" t="s">
        <v>20</v>
      </c>
      <c r="C6" s="200">
        <v>1</v>
      </c>
      <c r="D6" s="201"/>
      <c r="E6" s="201"/>
      <c r="F6" s="202">
        <f t="shared" si="0"/>
        <v>1</v>
      </c>
      <c r="G6" s="203">
        <v>59000</v>
      </c>
      <c r="H6" s="203">
        <v>62000</v>
      </c>
      <c r="I6" s="204"/>
      <c r="J6" s="205">
        <f t="shared" si="1"/>
        <v>0</v>
      </c>
      <c r="K6" s="205">
        <f t="shared" si="2"/>
        <v>0</v>
      </c>
      <c r="L6" s="205">
        <f t="shared" si="3"/>
        <v>59000</v>
      </c>
      <c r="M6" s="207">
        <f t="shared" si="4"/>
        <v>62000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14.4">
      <c r="A7" s="654"/>
      <c r="B7" s="199" t="s">
        <v>7</v>
      </c>
      <c r="C7" s="200">
        <f>0.5+1</f>
        <v>1.5</v>
      </c>
      <c r="D7" s="201">
        <v>75</v>
      </c>
      <c r="E7" s="201"/>
      <c r="F7" s="202">
        <f t="shared" si="0"/>
        <v>76.5</v>
      </c>
      <c r="G7" s="203">
        <v>50262</v>
      </c>
      <c r="H7" s="203">
        <v>52000</v>
      </c>
      <c r="I7" s="204"/>
      <c r="J7" s="205">
        <f t="shared" si="1"/>
        <v>0</v>
      </c>
      <c r="K7" s="205">
        <f t="shared" si="2"/>
        <v>0</v>
      </c>
      <c r="L7" s="205">
        <f t="shared" si="3"/>
        <v>3845043</v>
      </c>
      <c r="M7" s="207">
        <f t="shared" si="4"/>
        <v>3978000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14.4">
      <c r="A8" s="654"/>
      <c r="B8" s="199" t="s">
        <v>8</v>
      </c>
      <c r="C8" s="200"/>
      <c r="D8" s="201">
        <v>10</v>
      </c>
      <c r="E8" s="201"/>
      <c r="F8" s="202">
        <f t="shared" si="0"/>
        <v>10</v>
      </c>
      <c r="G8" s="203">
        <v>57359</v>
      </c>
      <c r="H8" s="203">
        <v>62000</v>
      </c>
      <c r="I8" s="204"/>
      <c r="J8" s="205">
        <f t="shared" si="1"/>
        <v>0</v>
      </c>
      <c r="K8" s="205">
        <f t="shared" si="2"/>
        <v>0</v>
      </c>
      <c r="L8" s="205">
        <f t="shared" si="3"/>
        <v>573590</v>
      </c>
      <c r="M8" s="207">
        <f t="shared" si="4"/>
        <v>620000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spans="1:26" ht="14.4">
      <c r="A9" s="654"/>
      <c r="B9" s="199" t="s">
        <v>9</v>
      </c>
      <c r="C9" s="200">
        <f>119.5+2</f>
        <v>121.5</v>
      </c>
      <c r="D9" s="201"/>
      <c r="E9" s="201"/>
      <c r="F9" s="202">
        <f t="shared" si="0"/>
        <v>121.5</v>
      </c>
      <c r="G9" s="203">
        <v>80000</v>
      </c>
      <c r="H9" s="203">
        <v>85000</v>
      </c>
      <c r="I9" s="204"/>
      <c r="J9" s="205">
        <f t="shared" si="1"/>
        <v>0</v>
      </c>
      <c r="K9" s="205">
        <f t="shared" si="2"/>
        <v>0</v>
      </c>
      <c r="L9" s="205">
        <f t="shared" si="3"/>
        <v>9720000</v>
      </c>
      <c r="M9" s="207">
        <f t="shared" si="4"/>
        <v>10327500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spans="1:26" ht="14.4">
      <c r="A10" s="654"/>
      <c r="B10" s="199" t="s">
        <v>133</v>
      </c>
      <c r="C10" s="208">
        <v>3</v>
      </c>
      <c r="D10" s="201"/>
      <c r="E10" s="201"/>
      <c r="F10" s="202">
        <f t="shared" si="0"/>
        <v>3</v>
      </c>
      <c r="G10" s="203">
        <v>84091</v>
      </c>
      <c r="H10" s="203">
        <v>85000</v>
      </c>
      <c r="I10" s="204"/>
      <c r="J10" s="205">
        <f t="shared" si="1"/>
        <v>0</v>
      </c>
      <c r="K10" s="205">
        <f t="shared" si="2"/>
        <v>0</v>
      </c>
      <c r="L10" s="205">
        <f t="shared" si="3"/>
        <v>252273</v>
      </c>
      <c r="M10" s="207">
        <f t="shared" si="4"/>
        <v>255000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spans="1:26" ht="14.4">
      <c r="A11" s="654"/>
      <c r="B11" s="199" t="s">
        <v>10</v>
      </c>
      <c r="C11" s="200"/>
      <c r="D11" s="201">
        <v>5</v>
      </c>
      <c r="E11" s="201"/>
      <c r="F11" s="202">
        <f t="shared" si="0"/>
        <v>5</v>
      </c>
      <c r="G11" s="203">
        <v>84091</v>
      </c>
      <c r="H11" s="203">
        <v>85000</v>
      </c>
      <c r="I11" s="204"/>
      <c r="J11" s="205">
        <f t="shared" si="1"/>
        <v>0</v>
      </c>
      <c r="K11" s="205">
        <f t="shared" si="2"/>
        <v>0</v>
      </c>
      <c r="L11" s="205">
        <f t="shared" si="3"/>
        <v>420455</v>
      </c>
      <c r="M11" s="207">
        <f t="shared" si="4"/>
        <v>425000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spans="1:26" ht="14.4">
      <c r="A12" s="654"/>
      <c r="B12" s="199" t="s">
        <v>11</v>
      </c>
      <c r="C12" s="200">
        <f>17</f>
        <v>17</v>
      </c>
      <c r="D12" s="201"/>
      <c r="E12" s="201"/>
      <c r="F12" s="202">
        <f t="shared" si="0"/>
        <v>17</v>
      </c>
      <c r="G12" s="203">
        <v>50682</v>
      </c>
      <c r="H12" s="203">
        <v>52000</v>
      </c>
      <c r="I12" s="204"/>
      <c r="J12" s="205">
        <f t="shared" si="1"/>
        <v>0</v>
      </c>
      <c r="K12" s="205">
        <f t="shared" si="2"/>
        <v>0</v>
      </c>
      <c r="L12" s="205">
        <f t="shared" si="3"/>
        <v>861594</v>
      </c>
      <c r="M12" s="207">
        <f t="shared" si="4"/>
        <v>884000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spans="1:26" ht="14.4">
      <c r="A13" s="654"/>
      <c r="B13" s="199" t="s">
        <v>12</v>
      </c>
      <c r="C13" s="200">
        <f>9+2</f>
        <v>11</v>
      </c>
      <c r="D13" s="201"/>
      <c r="E13" s="201"/>
      <c r="F13" s="202">
        <f t="shared" si="0"/>
        <v>11</v>
      </c>
      <c r="G13" s="203">
        <v>59857</v>
      </c>
      <c r="H13" s="203">
        <v>61000</v>
      </c>
      <c r="I13" s="204"/>
      <c r="J13" s="205">
        <f t="shared" si="1"/>
        <v>0</v>
      </c>
      <c r="K13" s="205">
        <f t="shared" si="2"/>
        <v>0</v>
      </c>
      <c r="L13" s="205">
        <f t="shared" si="3"/>
        <v>658427</v>
      </c>
      <c r="M13" s="207">
        <f t="shared" si="4"/>
        <v>671000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spans="1:26" ht="14.4">
      <c r="A14" s="654"/>
      <c r="B14" s="199" t="s">
        <v>13</v>
      </c>
      <c r="C14" s="200">
        <f>212</f>
        <v>212</v>
      </c>
      <c r="D14" s="201">
        <f>255+154</f>
        <v>409</v>
      </c>
      <c r="E14" s="201"/>
      <c r="F14" s="202">
        <f t="shared" si="0"/>
        <v>621</v>
      </c>
      <c r="G14" s="203">
        <v>45494</v>
      </c>
      <c r="H14" s="203">
        <v>47000</v>
      </c>
      <c r="I14" s="204"/>
      <c r="J14" s="205">
        <f t="shared" si="1"/>
        <v>0</v>
      </c>
      <c r="K14" s="205">
        <f t="shared" si="2"/>
        <v>0</v>
      </c>
      <c r="L14" s="205">
        <f t="shared" si="3"/>
        <v>28251774</v>
      </c>
      <c r="M14" s="207">
        <f t="shared" si="4"/>
        <v>29187000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spans="1:26" ht="14.4">
      <c r="A15" s="654"/>
      <c r="B15" s="209" t="s">
        <v>14</v>
      </c>
      <c r="C15" s="200"/>
      <c r="D15" s="201"/>
      <c r="E15" s="201"/>
      <c r="F15" s="202">
        <f t="shared" si="0"/>
        <v>0</v>
      </c>
      <c r="G15" s="203">
        <v>84091</v>
      </c>
      <c r="H15" s="203">
        <v>85000</v>
      </c>
      <c r="I15" s="204"/>
      <c r="J15" s="205">
        <f t="shared" si="1"/>
        <v>0</v>
      </c>
      <c r="K15" s="205">
        <f t="shared" si="2"/>
        <v>0</v>
      </c>
      <c r="L15" s="205">
        <f t="shared" si="3"/>
        <v>0</v>
      </c>
      <c r="M15" s="207">
        <f t="shared" si="4"/>
        <v>0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ht="14.4">
      <c r="A16" s="654"/>
      <c r="B16" s="209" t="s">
        <v>15</v>
      </c>
      <c r="C16" s="200"/>
      <c r="D16" s="201"/>
      <c r="E16" s="201"/>
      <c r="F16" s="202">
        <f t="shared" si="0"/>
        <v>0</v>
      </c>
      <c r="G16" s="203">
        <v>42676</v>
      </c>
      <c r="H16" s="203">
        <v>44000</v>
      </c>
      <c r="I16" s="204"/>
      <c r="J16" s="205">
        <f t="shared" si="1"/>
        <v>0</v>
      </c>
      <c r="K16" s="205">
        <f t="shared" si="2"/>
        <v>0</v>
      </c>
      <c r="L16" s="205">
        <f t="shared" si="3"/>
        <v>0</v>
      </c>
      <c r="M16" s="207">
        <f t="shared" si="4"/>
        <v>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ht="14.4">
      <c r="A17" s="654"/>
      <c r="B17" s="209" t="s">
        <v>134</v>
      </c>
      <c r="C17" s="200">
        <v>22</v>
      </c>
      <c r="D17" s="201"/>
      <c r="E17" s="201"/>
      <c r="F17" s="202">
        <f t="shared" si="0"/>
        <v>22</v>
      </c>
      <c r="G17" s="203">
        <v>60500</v>
      </c>
      <c r="H17" s="203">
        <v>63000</v>
      </c>
      <c r="I17" s="204"/>
      <c r="J17" s="205">
        <f t="shared" si="1"/>
        <v>0</v>
      </c>
      <c r="K17" s="205">
        <f t="shared" si="2"/>
        <v>0</v>
      </c>
      <c r="L17" s="205">
        <f t="shared" si="3"/>
        <v>1331000</v>
      </c>
      <c r="M17" s="207">
        <f t="shared" si="4"/>
        <v>1386000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spans="1:26" ht="14.4">
      <c r="A18" s="654"/>
      <c r="B18" s="199" t="s">
        <v>17</v>
      </c>
      <c r="C18" s="200">
        <f>28+6+45+45</f>
        <v>124</v>
      </c>
      <c r="D18" s="201">
        <f>45+45</f>
        <v>90</v>
      </c>
      <c r="E18" s="201"/>
      <c r="F18" s="202">
        <f t="shared" si="0"/>
        <v>214</v>
      </c>
      <c r="G18" s="210">
        <v>67780</v>
      </c>
      <c r="H18" s="210">
        <v>69000</v>
      </c>
      <c r="I18" s="204"/>
      <c r="J18" s="205">
        <f t="shared" si="1"/>
        <v>0</v>
      </c>
      <c r="K18" s="205">
        <f t="shared" si="2"/>
        <v>0</v>
      </c>
      <c r="L18" s="205">
        <f t="shared" si="3"/>
        <v>14504920</v>
      </c>
      <c r="M18" s="207">
        <f t="shared" si="4"/>
        <v>14766000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4.4">
      <c r="A19" s="654"/>
      <c r="B19" s="211" t="s">
        <v>18</v>
      </c>
      <c r="C19" s="200">
        <f>75.5+3</f>
        <v>78.5</v>
      </c>
      <c r="D19" s="201">
        <v>25</v>
      </c>
      <c r="E19" s="201"/>
      <c r="F19" s="202">
        <f t="shared" si="0"/>
        <v>103.5</v>
      </c>
      <c r="G19" s="210">
        <v>63202</v>
      </c>
      <c r="H19" s="210">
        <v>65000</v>
      </c>
      <c r="I19" s="204"/>
      <c r="J19" s="205">
        <f t="shared" si="1"/>
        <v>0</v>
      </c>
      <c r="K19" s="205">
        <f t="shared" si="2"/>
        <v>0</v>
      </c>
      <c r="L19" s="205">
        <f t="shared" si="3"/>
        <v>6541407</v>
      </c>
      <c r="M19" s="207">
        <f t="shared" si="4"/>
        <v>6727500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spans="1:26" ht="14.4">
      <c r="A20" s="654"/>
      <c r="B20" s="211" t="s">
        <v>135</v>
      </c>
      <c r="C20" s="200">
        <v>2</v>
      </c>
      <c r="D20" s="201"/>
      <c r="E20" s="201"/>
      <c r="F20" s="202">
        <f t="shared" si="0"/>
        <v>2</v>
      </c>
      <c r="G20" s="210">
        <v>63954</v>
      </c>
      <c r="H20" s="210">
        <v>63000</v>
      </c>
      <c r="I20" s="204"/>
      <c r="J20" s="205">
        <f t="shared" si="1"/>
        <v>0</v>
      </c>
      <c r="K20" s="205">
        <f t="shared" si="2"/>
        <v>0</v>
      </c>
      <c r="L20" s="205">
        <f t="shared" si="3"/>
        <v>127908</v>
      </c>
      <c r="M20" s="207">
        <f t="shared" si="4"/>
        <v>126000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spans="1:26" ht="14.4">
      <c r="A21" s="654"/>
      <c r="B21" s="211" t="s">
        <v>136</v>
      </c>
      <c r="C21" s="200"/>
      <c r="D21" s="201"/>
      <c r="E21" s="201"/>
      <c r="F21" s="202">
        <f t="shared" si="0"/>
        <v>0</v>
      </c>
      <c r="G21" s="212">
        <v>60453</v>
      </c>
      <c r="H21" s="212">
        <v>62000</v>
      </c>
      <c r="I21" s="213"/>
      <c r="J21" s="205">
        <f t="shared" si="1"/>
        <v>0</v>
      </c>
      <c r="K21" s="205">
        <f t="shared" si="2"/>
        <v>0</v>
      </c>
      <c r="L21" s="205">
        <f t="shared" si="3"/>
        <v>0</v>
      </c>
      <c r="M21" s="214">
        <f t="shared" si="4"/>
        <v>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spans="1:26" ht="14.4">
      <c r="A22" s="655"/>
      <c r="B22" s="215"/>
      <c r="C22" s="216">
        <f t="shared" ref="C22:F22" si="5">+SUM(C3:C18)</f>
        <v>602.75</v>
      </c>
      <c r="D22" s="216">
        <f t="shared" si="5"/>
        <v>890</v>
      </c>
      <c r="E22" s="216">
        <f t="shared" si="5"/>
        <v>0</v>
      </c>
      <c r="F22" s="216">
        <f t="shared" si="5"/>
        <v>1492.75</v>
      </c>
      <c r="G22" s="217">
        <f t="shared" ref="G22:M22" si="6">SUM(G3:G21)</f>
        <v>1187150</v>
      </c>
      <c r="H22" s="217">
        <f t="shared" si="6"/>
        <v>1224000</v>
      </c>
      <c r="I22" s="218">
        <f t="shared" si="6"/>
        <v>0</v>
      </c>
      <c r="J22" s="219">
        <f t="shared" si="6"/>
        <v>0</v>
      </c>
      <c r="K22" s="220">
        <f t="shared" si="6"/>
        <v>0</v>
      </c>
      <c r="L22" s="220">
        <f t="shared" si="6"/>
        <v>91162191</v>
      </c>
      <c r="M22" s="221">
        <f t="shared" si="6"/>
        <v>94290500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spans="1:26" ht="14.4">
      <c r="A23" s="683" t="s">
        <v>137</v>
      </c>
      <c r="B23" s="222" t="s">
        <v>138</v>
      </c>
      <c r="C23" s="223">
        <v>0.75</v>
      </c>
      <c r="D23" s="201"/>
      <c r="E23" s="201"/>
      <c r="F23" s="202">
        <f t="shared" ref="F23:F35" si="7">+C23+D23-E23</f>
        <v>0.75</v>
      </c>
      <c r="G23" s="203">
        <v>43252</v>
      </c>
      <c r="H23" s="203">
        <v>44000</v>
      </c>
      <c r="I23" s="224"/>
      <c r="J23" s="205">
        <f t="shared" ref="J23:J59" si="8">+I23*H23</f>
        <v>0</v>
      </c>
      <c r="K23" s="205">
        <f t="shared" ref="K23:K59" si="9">+(H23-G23)*I23</f>
        <v>0</v>
      </c>
      <c r="L23" s="225">
        <f t="shared" ref="L23:L59" si="10">+G23*F23</f>
        <v>32439</v>
      </c>
      <c r="M23" s="226">
        <f t="shared" ref="M23:M59" si="11">F23*H23</f>
        <v>33000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spans="1:26" ht="14.4">
      <c r="A24" s="684"/>
      <c r="B24" s="222" t="s">
        <v>21</v>
      </c>
      <c r="C24" s="227">
        <f>852+2.75+1</f>
        <v>855.75</v>
      </c>
      <c r="D24" s="201"/>
      <c r="E24" s="201"/>
      <c r="F24" s="202">
        <f t="shared" si="7"/>
        <v>855.75</v>
      </c>
      <c r="G24" s="203">
        <v>62000</v>
      </c>
      <c r="H24" s="203">
        <v>67000</v>
      </c>
      <c r="I24" s="224"/>
      <c r="J24" s="205">
        <f t="shared" si="8"/>
        <v>0</v>
      </c>
      <c r="K24" s="205">
        <f t="shared" si="9"/>
        <v>0</v>
      </c>
      <c r="L24" s="225">
        <f t="shared" si="10"/>
        <v>53056500</v>
      </c>
      <c r="M24" s="226">
        <f t="shared" si="11"/>
        <v>57335250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spans="1:26" ht="14.4">
      <c r="A25" s="684"/>
      <c r="B25" s="222" t="s">
        <v>139</v>
      </c>
      <c r="C25" s="227">
        <v>4</v>
      </c>
      <c r="D25" s="201"/>
      <c r="E25" s="201"/>
      <c r="F25" s="202">
        <f t="shared" si="7"/>
        <v>4</v>
      </c>
      <c r="G25" s="203">
        <v>41000</v>
      </c>
      <c r="H25" s="203">
        <v>44000</v>
      </c>
      <c r="I25" s="224"/>
      <c r="J25" s="205">
        <f t="shared" si="8"/>
        <v>0</v>
      </c>
      <c r="K25" s="205">
        <f t="shared" si="9"/>
        <v>0</v>
      </c>
      <c r="L25" s="225">
        <f t="shared" si="10"/>
        <v>164000</v>
      </c>
      <c r="M25" s="226">
        <f t="shared" si="11"/>
        <v>176000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26" ht="14.4">
      <c r="A26" s="684"/>
      <c r="B26" s="222" t="s">
        <v>140</v>
      </c>
      <c r="C26" s="227"/>
      <c r="D26" s="201">
        <v>5</v>
      </c>
      <c r="E26" s="201"/>
      <c r="F26" s="202">
        <f t="shared" si="7"/>
        <v>5</v>
      </c>
      <c r="G26" s="203">
        <v>53523</v>
      </c>
      <c r="H26" s="203">
        <v>50000</v>
      </c>
      <c r="I26" s="224"/>
      <c r="J26" s="205">
        <f t="shared" si="8"/>
        <v>0</v>
      </c>
      <c r="K26" s="205">
        <f t="shared" si="9"/>
        <v>0</v>
      </c>
      <c r="L26" s="225">
        <f t="shared" si="10"/>
        <v>267615</v>
      </c>
      <c r="M26" s="226">
        <f t="shared" si="11"/>
        <v>250000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t="14.4">
      <c r="A27" s="684"/>
      <c r="B27" s="222" t="s">
        <v>141</v>
      </c>
      <c r="C27" s="227">
        <v>9</v>
      </c>
      <c r="D27" s="201"/>
      <c r="E27" s="201"/>
      <c r="F27" s="202">
        <f t="shared" si="7"/>
        <v>9</v>
      </c>
      <c r="G27" s="203">
        <v>39714</v>
      </c>
      <c r="H27" s="203">
        <v>42000</v>
      </c>
      <c r="I27" s="224"/>
      <c r="J27" s="205">
        <f t="shared" si="8"/>
        <v>0</v>
      </c>
      <c r="K27" s="205">
        <f t="shared" si="9"/>
        <v>0</v>
      </c>
      <c r="L27" s="225">
        <f t="shared" si="10"/>
        <v>357426</v>
      </c>
      <c r="M27" s="226">
        <f t="shared" si="11"/>
        <v>378000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spans="1:26" ht="14.4">
      <c r="A28" s="684"/>
      <c r="B28" s="222" t="s">
        <v>142</v>
      </c>
      <c r="C28" s="227">
        <v>0.25</v>
      </c>
      <c r="D28" s="201"/>
      <c r="E28" s="201"/>
      <c r="F28" s="202">
        <f t="shared" si="7"/>
        <v>0.25</v>
      </c>
      <c r="G28" s="203">
        <v>80900</v>
      </c>
      <c r="H28" s="203">
        <v>84000</v>
      </c>
      <c r="I28" s="224"/>
      <c r="J28" s="205">
        <f t="shared" si="8"/>
        <v>0</v>
      </c>
      <c r="K28" s="205">
        <f t="shared" si="9"/>
        <v>0</v>
      </c>
      <c r="L28" s="225">
        <f t="shared" si="10"/>
        <v>20225</v>
      </c>
      <c r="M28" s="226">
        <f t="shared" si="11"/>
        <v>21000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spans="1:26" ht="14.4">
      <c r="A29" s="684"/>
      <c r="B29" s="222" t="s">
        <v>143</v>
      </c>
      <c r="C29" s="227">
        <v>3.5</v>
      </c>
      <c r="D29" s="201"/>
      <c r="E29" s="201"/>
      <c r="F29" s="202">
        <f t="shared" si="7"/>
        <v>3.5</v>
      </c>
      <c r="G29" s="203">
        <v>71369</v>
      </c>
      <c r="H29" s="203">
        <v>73000</v>
      </c>
      <c r="I29" s="224"/>
      <c r="J29" s="205">
        <f t="shared" si="8"/>
        <v>0</v>
      </c>
      <c r="K29" s="205">
        <f t="shared" si="9"/>
        <v>0</v>
      </c>
      <c r="L29" s="225">
        <f t="shared" si="10"/>
        <v>249791.5</v>
      </c>
      <c r="M29" s="226">
        <f t="shared" si="11"/>
        <v>255500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spans="1:26" ht="14.4">
      <c r="A30" s="684"/>
      <c r="B30" s="222" t="s">
        <v>144</v>
      </c>
      <c r="C30" s="227">
        <f>136.5+5+1</f>
        <v>142.5</v>
      </c>
      <c r="D30" s="201"/>
      <c r="E30" s="201"/>
      <c r="F30" s="202">
        <f t="shared" si="7"/>
        <v>142.5</v>
      </c>
      <c r="G30" s="203">
        <v>47000</v>
      </c>
      <c r="H30" s="203">
        <v>53000</v>
      </c>
      <c r="I30" s="224"/>
      <c r="J30" s="205">
        <f t="shared" si="8"/>
        <v>0</v>
      </c>
      <c r="K30" s="205">
        <f t="shared" si="9"/>
        <v>0</v>
      </c>
      <c r="L30" s="225">
        <f t="shared" si="10"/>
        <v>6697500</v>
      </c>
      <c r="M30" s="226">
        <f t="shared" si="11"/>
        <v>7552500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spans="1:26" ht="14.4">
      <c r="A31" s="684"/>
      <c r="B31" s="222" t="s">
        <v>145</v>
      </c>
      <c r="C31" s="227"/>
      <c r="D31" s="201"/>
      <c r="E31" s="201"/>
      <c r="F31" s="202">
        <f t="shared" si="7"/>
        <v>0</v>
      </c>
      <c r="G31" s="203">
        <v>51536</v>
      </c>
      <c r="H31" s="203">
        <v>53000</v>
      </c>
      <c r="I31" s="224"/>
      <c r="J31" s="205">
        <f t="shared" si="8"/>
        <v>0</v>
      </c>
      <c r="K31" s="205">
        <f t="shared" si="9"/>
        <v>0</v>
      </c>
      <c r="L31" s="225">
        <f t="shared" si="10"/>
        <v>0</v>
      </c>
      <c r="M31" s="226">
        <f t="shared" si="11"/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spans="1:26" ht="14.4">
      <c r="A32" s="684"/>
      <c r="B32" s="222" t="s">
        <v>146</v>
      </c>
      <c r="C32" s="227">
        <v>0.5</v>
      </c>
      <c r="D32" s="201"/>
      <c r="E32" s="201"/>
      <c r="F32" s="202">
        <f t="shared" si="7"/>
        <v>0.5</v>
      </c>
      <c r="G32" s="203">
        <v>71369</v>
      </c>
      <c r="H32" s="203">
        <v>73000</v>
      </c>
      <c r="I32" s="224"/>
      <c r="J32" s="205">
        <f t="shared" si="8"/>
        <v>0</v>
      </c>
      <c r="K32" s="205">
        <f t="shared" si="9"/>
        <v>0</v>
      </c>
      <c r="L32" s="225">
        <f t="shared" si="10"/>
        <v>35684.5</v>
      </c>
      <c r="M32" s="226">
        <f t="shared" si="11"/>
        <v>36500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spans="1:26" ht="14.4">
      <c r="A33" s="684"/>
      <c r="B33" s="228" t="s">
        <v>147</v>
      </c>
      <c r="C33" s="229"/>
      <c r="D33" s="201"/>
      <c r="E33" s="201"/>
      <c r="F33" s="202">
        <f t="shared" si="7"/>
        <v>0</v>
      </c>
      <c r="G33" s="203">
        <v>71369</v>
      </c>
      <c r="H33" s="203">
        <v>73000</v>
      </c>
      <c r="I33" s="224"/>
      <c r="J33" s="205">
        <f t="shared" si="8"/>
        <v>0</v>
      </c>
      <c r="K33" s="205">
        <f t="shared" si="9"/>
        <v>0</v>
      </c>
      <c r="L33" s="225">
        <f t="shared" si="10"/>
        <v>0</v>
      </c>
      <c r="M33" s="226">
        <f t="shared" si="11"/>
        <v>0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spans="1:26" ht="14.4">
      <c r="A34" s="684"/>
      <c r="B34" s="222" t="s">
        <v>148</v>
      </c>
      <c r="C34" s="229">
        <v>1</v>
      </c>
      <c r="D34" s="201">
        <v>5</v>
      </c>
      <c r="E34" s="201"/>
      <c r="F34" s="202">
        <f t="shared" si="7"/>
        <v>6</v>
      </c>
      <c r="G34" s="203">
        <v>71369</v>
      </c>
      <c r="H34" s="203">
        <v>73000</v>
      </c>
      <c r="I34" s="224"/>
      <c r="J34" s="205">
        <f t="shared" si="8"/>
        <v>0</v>
      </c>
      <c r="K34" s="205">
        <f t="shared" si="9"/>
        <v>0</v>
      </c>
      <c r="L34" s="225">
        <f t="shared" si="10"/>
        <v>428214</v>
      </c>
      <c r="M34" s="226">
        <f t="shared" si="11"/>
        <v>438000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spans="1:26" ht="14.4">
      <c r="A35" s="684"/>
      <c r="B35" s="222" t="s">
        <v>149</v>
      </c>
      <c r="C35" s="229">
        <v>0.25</v>
      </c>
      <c r="D35" s="201">
        <v>10</v>
      </c>
      <c r="E35" s="201"/>
      <c r="F35" s="202">
        <f t="shared" si="7"/>
        <v>10.25</v>
      </c>
      <c r="G35" s="203">
        <v>25500</v>
      </c>
      <c r="H35" s="203">
        <v>26000</v>
      </c>
      <c r="I35" s="224"/>
      <c r="J35" s="205">
        <f t="shared" si="8"/>
        <v>0</v>
      </c>
      <c r="K35" s="205">
        <f t="shared" si="9"/>
        <v>0</v>
      </c>
      <c r="L35" s="225">
        <f t="shared" si="10"/>
        <v>261375</v>
      </c>
      <c r="M35" s="226">
        <f t="shared" si="11"/>
        <v>266500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spans="1:26" ht="14.4">
      <c r="A36" s="684"/>
      <c r="B36" s="222" t="s">
        <v>150</v>
      </c>
      <c r="C36" s="227">
        <v>1.25</v>
      </c>
      <c r="D36" s="201"/>
      <c r="E36" s="201"/>
      <c r="F36" s="202">
        <f>+C36+D36-E38</f>
        <v>1.25</v>
      </c>
      <c r="G36" s="203">
        <v>44000</v>
      </c>
      <c r="H36" s="203">
        <v>50000</v>
      </c>
      <c r="I36" s="224"/>
      <c r="J36" s="205">
        <f t="shared" si="8"/>
        <v>0</v>
      </c>
      <c r="K36" s="205">
        <f t="shared" si="9"/>
        <v>0</v>
      </c>
      <c r="L36" s="225">
        <f t="shared" si="10"/>
        <v>55000</v>
      </c>
      <c r="M36" s="226">
        <f t="shared" si="11"/>
        <v>62500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spans="1:26" ht="14.4">
      <c r="A37" s="684"/>
      <c r="B37" s="222" t="s">
        <v>151</v>
      </c>
      <c r="C37" s="227">
        <v>4.75</v>
      </c>
      <c r="D37" s="201"/>
      <c r="E37" s="201"/>
      <c r="F37" s="202">
        <f t="shared" ref="F37:F59" si="12">+C37+D37-E37</f>
        <v>4.75</v>
      </c>
      <c r="G37" s="203">
        <v>34500</v>
      </c>
      <c r="H37" s="203">
        <v>36000</v>
      </c>
      <c r="I37" s="224"/>
      <c r="J37" s="205">
        <f t="shared" si="8"/>
        <v>0</v>
      </c>
      <c r="K37" s="205">
        <f t="shared" si="9"/>
        <v>0</v>
      </c>
      <c r="L37" s="225">
        <f t="shared" si="10"/>
        <v>163875</v>
      </c>
      <c r="M37" s="226">
        <f t="shared" si="11"/>
        <v>171000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spans="1:26" ht="14.4">
      <c r="A38" s="684"/>
      <c r="B38" s="222" t="s">
        <v>152</v>
      </c>
      <c r="C38" s="227">
        <f>1+1.5</f>
        <v>2.5</v>
      </c>
      <c r="D38" s="201">
        <v>1</v>
      </c>
      <c r="E38" s="201"/>
      <c r="F38" s="202">
        <f t="shared" si="12"/>
        <v>3.5</v>
      </c>
      <c r="G38" s="203">
        <v>79000</v>
      </c>
      <c r="H38" s="203">
        <v>88000</v>
      </c>
      <c r="I38" s="224"/>
      <c r="J38" s="205">
        <f t="shared" si="8"/>
        <v>0</v>
      </c>
      <c r="K38" s="205">
        <f t="shared" si="9"/>
        <v>0</v>
      </c>
      <c r="L38" s="225">
        <f t="shared" si="10"/>
        <v>276500</v>
      </c>
      <c r="M38" s="226">
        <f t="shared" si="11"/>
        <v>308000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spans="1:26" ht="14.4">
      <c r="A39" s="684"/>
      <c r="B39" s="222" t="s">
        <v>153</v>
      </c>
      <c r="C39" s="227">
        <v>8.75</v>
      </c>
      <c r="D39" s="201"/>
      <c r="E39" s="201"/>
      <c r="F39" s="202">
        <f t="shared" si="12"/>
        <v>8.75</v>
      </c>
      <c r="G39" s="203">
        <v>82280</v>
      </c>
      <c r="H39" s="203">
        <v>86000</v>
      </c>
      <c r="I39" s="224"/>
      <c r="J39" s="205">
        <f t="shared" si="8"/>
        <v>0</v>
      </c>
      <c r="K39" s="205">
        <f t="shared" si="9"/>
        <v>0</v>
      </c>
      <c r="L39" s="225">
        <f t="shared" si="10"/>
        <v>719950</v>
      </c>
      <c r="M39" s="226">
        <f t="shared" si="11"/>
        <v>752500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spans="1:26" ht="14.4">
      <c r="A40" s="684"/>
      <c r="B40" s="222" t="s">
        <v>154</v>
      </c>
      <c r="C40" s="227">
        <v>54</v>
      </c>
      <c r="D40" s="201"/>
      <c r="E40" s="201"/>
      <c r="F40" s="202">
        <f t="shared" si="12"/>
        <v>54</v>
      </c>
      <c r="G40" s="203">
        <v>59000</v>
      </c>
      <c r="H40" s="203">
        <v>64000</v>
      </c>
      <c r="I40" s="224"/>
      <c r="J40" s="205">
        <f t="shared" si="8"/>
        <v>0</v>
      </c>
      <c r="K40" s="205">
        <f t="shared" si="9"/>
        <v>0</v>
      </c>
      <c r="L40" s="225">
        <f t="shared" si="10"/>
        <v>3186000</v>
      </c>
      <c r="M40" s="226">
        <f t="shared" si="11"/>
        <v>3456000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spans="1:26" ht="14.4">
      <c r="A41" s="684"/>
      <c r="B41" s="222" t="s">
        <v>155</v>
      </c>
      <c r="C41" s="227"/>
      <c r="D41" s="201"/>
      <c r="E41" s="201"/>
      <c r="F41" s="202">
        <f t="shared" si="12"/>
        <v>0</v>
      </c>
      <c r="G41" s="203">
        <v>25555</v>
      </c>
      <c r="H41" s="203">
        <v>27000</v>
      </c>
      <c r="I41" s="224"/>
      <c r="J41" s="205">
        <f t="shared" si="8"/>
        <v>0</v>
      </c>
      <c r="K41" s="205">
        <f t="shared" si="9"/>
        <v>0</v>
      </c>
      <c r="L41" s="225">
        <f t="shared" si="10"/>
        <v>0</v>
      </c>
      <c r="M41" s="226">
        <f t="shared" si="11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spans="1:26" ht="14.4">
      <c r="A42" s="684"/>
      <c r="B42" s="222" t="s">
        <v>22</v>
      </c>
      <c r="C42" s="227">
        <f>219.25+3.75+1</f>
        <v>224</v>
      </c>
      <c r="D42" s="201">
        <v>26</v>
      </c>
      <c r="E42" s="201"/>
      <c r="F42" s="202">
        <f t="shared" si="12"/>
        <v>250</v>
      </c>
      <c r="G42" s="203">
        <v>62000</v>
      </c>
      <c r="H42" s="203">
        <v>66000</v>
      </c>
      <c r="I42" s="224"/>
      <c r="J42" s="205">
        <f t="shared" si="8"/>
        <v>0</v>
      </c>
      <c r="K42" s="205">
        <f t="shared" si="9"/>
        <v>0</v>
      </c>
      <c r="L42" s="225">
        <f t="shared" si="10"/>
        <v>15500000</v>
      </c>
      <c r="M42" s="226">
        <f t="shared" si="11"/>
        <v>16500000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spans="1:26" ht="14.4">
      <c r="A43" s="684"/>
      <c r="B43" s="222" t="s">
        <v>23</v>
      </c>
      <c r="C43" s="227">
        <v>0.75</v>
      </c>
      <c r="D43" s="201"/>
      <c r="E43" s="201"/>
      <c r="F43" s="202">
        <f t="shared" si="12"/>
        <v>0.75</v>
      </c>
      <c r="G43" s="203">
        <v>42000</v>
      </c>
      <c r="H43" s="203">
        <v>48000</v>
      </c>
      <c r="I43" s="224"/>
      <c r="J43" s="205">
        <f t="shared" si="8"/>
        <v>0</v>
      </c>
      <c r="K43" s="205">
        <f t="shared" si="9"/>
        <v>0</v>
      </c>
      <c r="L43" s="225">
        <f t="shared" si="10"/>
        <v>31500</v>
      </c>
      <c r="M43" s="226">
        <f t="shared" si="11"/>
        <v>36000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spans="1:26" ht="14.4">
      <c r="A44" s="684"/>
      <c r="B44" s="222" t="s">
        <v>156</v>
      </c>
      <c r="C44" s="227">
        <f>195+4</f>
        <v>199</v>
      </c>
      <c r="D44" s="201"/>
      <c r="E44" s="201"/>
      <c r="F44" s="202">
        <f t="shared" si="12"/>
        <v>199</v>
      </c>
      <c r="G44" s="203">
        <v>37084</v>
      </c>
      <c r="H44" s="203">
        <v>40000</v>
      </c>
      <c r="I44" s="224"/>
      <c r="J44" s="205">
        <f t="shared" si="8"/>
        <v>0</v>
      </c>
      <c r="K44" s="205">
        <f t="shared" si="9"/>
        <v>0</v>
      </c>
      <c r="L44" s="225">
        <f t="shared" si="10"/>
        <v>7379716</v>
      </c>
      <c r="M44" s="226">
        <f t="shared" si="11"/>
        <v>7960000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spans="1:26" ht="14.4">
      <c r="A45" s="684"/>
      <c r="B45" s="230" t="s">
        <v>157</v>
      </c>
      <c r="C45" s="229">
        <v>32</v>
      </c>
      <c r="D45" s="201"/>
      <c r="E45" s="201"/>
      <c r="F45" s="202">
        <f t="shared" si="12"/>
        <v>32</v>
      </c>
      <c r="G45" s="203">
        <v>29750</v>
      </c>
      <c r="H45" s="203">
        <v>31500</v>
      </c>
      <c r="I45" s="224"/>
      <c r="J45" s="205">
        <f t="shared" si="8"/>
        <v>0</v>
      </c>
      <c r="K45" s="205">
        <f t="shared" si="9"/>
        <v>0</v>
      </c>
      <c r="L45" s="225">
        <f t="shared" si="10"/>
        <v>952000</v>
      </c>
      <c r="M45" s="226">
        <f t="shared" si="11"/>
        <v>1008000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spans="1:26" ht="14.4">
      <c r="A46" s="684"/>
      <c r="B46" s="231" t="s">
        <v>158</v>
      </c>
      <c r="C46" s="232">
        <v>109</v>
      </c>
      <c r="D46" s="233"/>
      <c r="E46" s="233"/>
      <c r="F46" s="234">
        <f t="shared" si="12"/>
        <v>109</v>
      </c>
      <c r="G46" s="235">
        <v>6200</v>
      </c>
      <c r="H46" s="235">
        <v>7000</v>
      </c>
      <c r="I46" s="224"/>
      <c r="J46" s="205">
        <f t="shared" si="8"/>
        <v>0</v>
      </c>
      <c r="K46" s="205">
        <f t="shared" si="9"/>
        <v>0</v>
      </c>
      <c r="L46" s="225">
        <f t="shared" si="10"/>
        <v>675800</v>
      </c>
      <c r="M46" s="226">
        <f t="shared" si="11"/>
        <v>763000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spans="1:26" ht="14.4">
      <c r="A47" s="684"/>
      <c r="B47" s="231" t="s">
        <v>159</v>
      </c>
      <c r="C47" s="232">
        <v>41</v>
      </c>
      <c r="D47" s="233"/>
      <c r="E47" s="233"/>
      <c r="F47" s="234">
        <f t="shared" si="12"/>
        <v>41</v>
      </c>
      <c r="G47" s="235">
        <v>3333</v>
      </c>
      <c r="H47" s="235">
        <v>3600</v>
      </c>
      <c r="I47" s="224"/>
      <c r="J47" s="205">
        <f t="shared" si="8"/>
        <v>0</v>
      </c>
      <c r="K47" s="205">
        <f t="shared" si="9"/>
        <v>0</v>
      </c>
      <c r="L47" s="225">
        <f t="shared" si="10"/>
        <v>136653</v>
      </c>
      <c r="M47" s="226">
        <f t="shared" si="11"/>
        <v>147600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spans="1:26" ht="14.4">
      <c r="A48" s="684"/>
      <c r="B48" s="230" t="s">
        <v>160</v>
      </c>
      <c r="C48" s="236"/>
      <c r="D48" s="233"/>
      <c r="E48" s="233"/>
      <c r="F48" s="234">
        <f t="shared" si="12"/>
        <v>0</v>
      </c>
      <c r="G48" s="235">
        <v>39000</v>
      </c>
      <c r="H48" s="235">
        <v>44000</v>
      </c>
      <c r="I48" s="224"/>
      <c r="J48" s="205">
        <f t="shared" si="8"/>
        <v>0</v>
      </c>
      <c r="K48" s="205">
        <f t="shared" si="9"/>
        <v>0</v>
      </c>
      <c r="L48" s="225">
        <f t="shared" si="10"/>
        <v>0</v>
      </c>
      <c r="M48" s="226">
        <f t="shared" si="11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spans="1:26" ht="14.4">
      <c r="A49" s="684"/>
      <c r="B49" s="222" t="s">
        <v>161</v>
      </c>
      <c r="C49" s="232">
        <v>0.75</v>
      </c>
      <c r="D49" s="233"/>
      <c r="E49" s="233"/>
      <c r="F49" s="234">
        <f t="shared" si="12"/>
        <v>0.75</v>
      </c>
      <c r="G49" s="235">
        <v>65000</v>
      </c>
      <c r="H49" s="235">
        <v>70000</v>
      </c>
      <c r="I49" s="224"/>
      <c r="J49" s="205">
        <f t="shared" si="8"/>
        <v>0</v>
      </c>
      <c r="K49" s="205">
        <f t="shared" si="9"/>
        <v>0</v>
      </c>
      <c r="L49" s="225">
        <f t="shared" si="10"/>
        <v>48750</v>
      </c>
      <c r="M49" s="226">
        <f t="shared" si="11"/>
        <v>52500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spans="1:26" ht="14.4">
      <c r="A50" s="684"/>
      <c r="B50" s="228" t="s">
        <v>162</v>
      </c>
      <c r="C50" s="232">
        <v>71</v>
      </c>
      <c r="D50" s="233"/>
      <c r="E50" s="237"/>
      <c r="F50" s="234">
        <f t="shared" si="12"/>
        <v>71</v>
      </c>
      <c r="G50" s="235">
        <v>2500</v>
      </c>
      <c r="H50" s="235">
        <v>3000</v>
      </c>
      <c r="I50" s="224"/>
      <c r="J50" s="205">
        <f t="shared" si="8"/>
        <v>0</v>
      </c>
      <c r="K50" s="205">
        <f t="shared" si="9"/>
        <v>0</v>
      </c>
      <c r="L50" s="225">
        <f t="shared" si="10"/>
        <v>177500</v>
      </c>
      <c r="M50" s="226">
        <f t="shared" si="11"/>
        <v>213000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spans="1:26" ht="14.4">
      <c r="A51" s="684"/>
      <c r="B51" s="228" t="s">
        <v>163</v>
      </c>
      <c r="C51" s="232">
        <v>7.25</v>
      </c>
      <c r="D51" s="233"/>
      <c r="E51" s="237"/>
      <c r="F51" s="234">
        <f t="shared" si="12"/>
        <v>7.25</v>
      </c>
      <c r="G51" s="235">
        <v>50000</v>
      </c>
      <c r="H51" s="235">
        <v>12500</v>
      </c>
      <c r="I51" s="204"/>
      <c r="J51" s="205">
        <f t="shared" si="8"/>
        <v>0</v>
      </c>
      <c r="K51" s="205">
        <f t="shared" si="9"/>
        <v>0</v>
      </c>
      <c r="L51" s="225">
        <f t="shared" si="10"/>
        <v>362500</v>
      </c>
      <c r="M51" s="226">
        <f t="shared" si="11"/>
        <v>90625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spans="1:26" ht="14.4">
      <c r="A52" s="684"/>
      <c r="B52" s="222" t="s">
        <v>164</v>
      </c>
      <c r="C52" s="232">
        <v>0.25</v>
      </c>
      <c r="D52" s="233"/>
      <c r="E52" s="237"/>
      <c r="F52" s="234">
        <f t="shared" si="12"/>
        <v>0.25</v>
      </c>
      <c r="G52" s="235">
        <v>78640</v>
      </c>
      <c r="H52" s="235">
        <v>7000</v>
      </c>
      <c r="I52" s="224"/>
      <c r="J52" s="205">
        <f t="shared" si="8"/>
        <v>0</v>
      </c>
      <c r="K52" s="205">
        <f t="shared" si="9"/>
        <v>0</v>
      </c>
      <c r="L52" s="225">
        <f t="shared" si="10"/>
        <v>19660</v>
      </c>
      <c r="M52" s="226">
        <f t="shared" si="11"/>
        <v>1750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spans="1:26" ht="14.4">
      <c r="A53" s="684"/>
      <c r="B53" s="222" t="s">
        <v>165</v>
      </c>
      <c r="C53" s="232">
        <f>105.75+4.75+1</f>
        <v>111.5</v>
      </c>
      <c r="D53" s="233"/>
      <c r="E53" s="237"/>
      <c r="F53" s="234">
        <f t="shared" si="12"/>
        <v>111.5</v>
      </c>
      <c r="G53" s="235">
        <v>62000</v>
      </c>
      <c r="H53" s="235">
        <v>67000</v>
      </c>
      <c r="I53" s="224"/>
      <c r="J53" s="205">
        <f t="shared" si="8"/>
        <v>0</v>
      </c>
      <c r="K53" s="205">
        <f t="shared" si="9"/>
        <v>0</v>
      </c>
      <c r="L53" s="225">
        <f t="shared" si="10"/>
        <v>6913000</v>
      </c>
      <c r="M53" s="226">
        <f t="shared" si="11"/>
        <v>7470500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spans="1:26" ht="14.4">
      <c r="A54" s="684"/>
      <c r="B54" s="230" t="s">
        <v>166</v>
      </c>
      <c r="C54" s="232">
        <f>9.5+4</f>
        <v>13.5</v>
      </c>
      <c r="D54" s="233"/>
      <c r="E54" s="233"/>
      <c r="F54" s="234">
        <f t="shared" si="12"/>
        <v>13.5</v>
      </c>
      <c r="G54" s="235">
        <v>66987</v>
      </c>
      <c r="H54" s="235">
        <v>68000</v>
      </c>
      <c r="I54" s="224"/>
      <c r="J54" s="205">
        <f t="shared" si="8"/>
        <v>0</v>
      </c>
      <c r="K54" s="205">
        <f t="shared" si="9"/>
        <v>0</v>
      </c>
      <c r="L54" s="225">
        <f t="shared" si="10"/>
        <v>904324.5</v>
      </c>
      <c r="M54" s="226">
        <f t="shared" si="11"/>
        <v>918000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spans="1:26" ht="14.4">
      <c r="A55" s="684"/>
      <c r="B55" s="230" t="s">
        <v>167</v>
      </c>
      <c r="C55" s="238">
        <v>25.5</v>
      </c>
      <c r="D55" s="201">
        <v>2</v>
      </c>
      <c r="E55" s="201"/>
      <c r="F55" s="202">
        <f t="shared" si="12"/>
        <v>27.5</v>
      </c>
      <c r="G55" s="203">
        <v>80640</v>
      </c>
      <c r="H55" s="203">
        <v>86000</v>
      </c>
      <c r="I55" s="224"/>
      <c r="J55" s="205">
        <f t="shared" si="8"/>
        <v>0</v>
      </c>
      <c r="K55" s="205">
        <f t="shared" si="9"/>
        <v>0</v>
      </c>
      <c r="L55" s="225">
        <f t="shared" si="10"/>
        <v>2217600</v>
      </c>
      <c r="M55" s="226">
        <f t="shared" si="11"/>
        <v>2365000</v>
      </c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spans="1:26" ht="14.4">
      <c r="A56" s="684"/>
      <c r="B56" s="228" t="s">
        <v>168</v>
      </c>
      <c r="C56" s="227">
        <v>8</v>
      </c>
      <c r="D56" s="201"/>
      <c r="E56" s="201"/>
      <c r="F56" s="202">
        <f t="shared" si="12"/>
        <v>8</v>
      </c>
      <c r="G56" s="203">
        <v>68568</v>
      </c>
      <c r="H56" s="203">
        <v>72000</v>
      </c>
      <c r="I56" s="224"/>
      <c r="J56" s="205">
        <f t="shared" si="8"/>
        <v>0</v>
      </c>
      <c r="K56" s="205">
        <f t="shared" si="9"/>
        <v>0</v>
      </c>
      <c r="L56" s="225">
        <f t="shared" si="10"/>
        <v>548544</v>
      </c>
      <c r="M56" s="226">
        <f t="shared" si="11"/>
        <v>576000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spans="1:26" ht="14.4">
      <c r="A57" s="684"/>
      <c r="B57" s="231" t="s">
        <v>169</v>
      </c>
      <c r="C57" s="227"/>
      <c r="D57" s="201"/>
      <c r="E57" s="201"/>
      <c r="F57" s="202">
        <f t="shared" si="12"/>
        <v>0</v>
      </c>
      <c r="G57" s="203">
        <v>78640</v>
      </c>
      <c r="H57" s="203">
        <v>82000</v>
      </c>
      <c r="I57" s="224"/>
      <c r="J57" s="205">
        <f t="shared" si="8"/>
        <v>0</v>
      </c>
      <c r="K57" s="205">
        <f t="shared" si="9"/>
        <v>0</v>
      </c>
      <c r="L57" s="225">
        <f t="shared" si="10"/>
        <v>0</v>
      </c>
      <c r="M57" s="226">
        <f t="shared" si="11"/>
        <v>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spans="1:26" ht="14.4">
      <c r="A58" s="684"/>
      <c r="B58" s="231" t="s">
        <v>170</v>
      </c>
      <c r="C58" s="227">
        <v>0.5</v>
      </c>
      <c r="D58" s="201"/>
      <c r="E58" s="201"/>
      <c r="F58" s="202">
        <f t="shared" si="12"/>
        <v>0.5</v>
      </c>
      <c r="G58" s="203">
        <v>78640</v>
      </c>
      <c r="H58" s="203">
        <v>82000</v>
      </c>
      <c r="I58" s="224"/>
      <c r="J58" s="205">
        <f t="shared" si="8"/>
        <v>0</v>
      </c>
      <c r="K58" s="205">
        <f t="shared" si="9"/>
        <v>0</v>
      </c>
      <c r="L58" s="225">
        <f t="shared" si="10"/>
        <v>39320</v>
      </c>
      <c r="M58" s="226">
        <f t="shared" si="11"/>
        <v>41000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spans="1:26" ht="14.4">
      <c r="A59" s="684"/>
      <c r="B59" s="231" t="s">
        <v>171</v>
      </c>
      <c r="C59" s="227">
        <v>5</v>
      </c>
      <c r="D59" s="201"/>
      <c r="E59" s="201"/>
      <c r="F59" s="202">
        <f t="shared" si="12"/>
        <v>5</v>
      </c>
      <c r="G59" s="239">
        <v>44000</v>
      </c>
      <c r="H59" s="239">
        <v>48000</v>
      </c>
      <c r="I59" s="240"/>
      <c r="J59" s="205">
        <f t="shared" si="8"/>
        <v>0</v>
      </c>
      <c r="K59" s="205">
        <f t="shared" si="9"/>
        <v>0</v>
      </c>
      <c r="L59" s="225">
        <f t="shared" si="10"/>
        <v>220000</v>
      </c>
      <c r="M59" s="226">
        <f t="shared" si="11"/>
        <v>240000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spans="1:26" ht="14.4">
      <c r="A60" s="685"/>
      <c r="B60" s="241"/>
      <c r="C60" s="229"/>
      <c r="D60" s="242"/>
      <c r="E60" s="243"/>
      <c r="F60" s="244">
        <f>SUM(F23:F57)</f>
        <v>1981.25</v>
      </c>
      <c r="G60" s="245">
        <f t="shared" ref="G60:H60" si="13">SUM(G10:G57)</f>
        <v>3780599</v>
      </c>
      <c r="H60" s="245">
        <f t="shared" si="13"/>
        <v>3818600</v>
      </c>
      <c r="I60" s="246">
        <f>SUM(I23:I57)</f>
        <v>0</v>
      </c>
      <c r="J60" s="247">
        <f t="shared" ref="J60:M60" si="14">SUM(J23:J59)</f>
        <v>0</v>
      </c>
      <c r="K60" s="247">
        <f t="shared" si="14"/>
        <v>0</v>
      </c>
      <c r="L60" s="247">
        <f t="shared" si="14"/>
        <v>102098962.5</v>
      </c>
      <c r="M60" s="247">
        <f t="shared" si="14"/>
        <v>109875225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spans="1:26" ht="14.4">
      <c r="A61" s="686"/>
      <c r="B61" s="230" t="s">
        <v>172</v>
      </c>
      <c r="C61" s="229">
        <v>12</v>
      </c>
      <c r="D61" s="201"/>
      <c r="E61" s="201"/>
      <c r="F61" s="202">
        <f t="shared" ref="F61:F74" si="15">+C61+D61-E61</f>
        <v>12</v>
      </c>
      <c r="G61" s="203">
        <v>41500</v>
      </c>
      <c r="H61" s="203">
        <v>50000</v>
      </c>
      <c r="I61" s="204"/>
      <c r="J61" s="205">
        <f t="shared" ref="J61:J86" si="16">+I61*H61</f>
        <v>0</v>
      </c>
      <c r="K61" s="205">
        <f t="shared" ref="K61:K86" si="17">+(H61-G61)*I61</f>
        <v>0</v>
      </c>
      <c r="L61" s="248">
        <f t="shared" ref="L61:L86" si="18">+G61*F61</f>
        <v>498000</v>
      </c>
      <c r="M61" s="249">
        <f t="shared" ref="M61:M86" si="19">F61*H61</f>
        <v>600000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spans="1:26" ht="14.4">
      <c r="A62" s="687"/>
      <c r="B62" s="230" t="s">
        <v>173</v>
      </c>
      <c r="C62" s="227">
        <v>94</v>
      </c>
      <c r="D62" s="201"/>
      <c r="E62" s="201"/>
      <c r="F62" s="202">
        <f t="shared" si="15"/>
        <v>94</v>
      </c>
      <c r="G62" s="203">
        <v>43000</v>
      </c>
      <c r="H62" s="203">
        <v>50000</v>
      </c>
      <c r="I62" s="204"/>
      <c r="J62" s="205">
        <f t="shared" si="16"/>
        <v>0</v>
      </c>
      <c r="K62" s="205">
        <f t="shared" si="17"/>
        <v>0</v>
      </c>
      <c r="L62" s="248">
        <f t="shared" si="18"/>
        <v>4042000</v>
      </c>
      <c r="M62" s="249">
        <f t="shared" si="19"/>
        <v>4700000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spans="1:26" ht="14.4">
      <c r="A63" s="687"/>
      <c r="B63" s="230" t="s">
        <v>174</v>
      </c>
      <c r="C63" s="227">
        <v>0.5</v>
      </c>
      <c r="D63" s="201"/>
      <c r="E63" s="201"/>
      <c r="F63" s="202">
        <f t="shared" si="15"/>
        <v>0.5</v>
      </c>
      <c r="G63" s="203">
        <v>41600</v>
      </c>
      <c r="H63" s="203">
        <v>50000</v>
      </c>
      <c r="I63" s="204"/>
      <c r="J63" s="205">
        <f t="shared" si="16"/>
        <v>0</v>
      </c>
      <c r="K63" s="205">
        <f t="shared" si="17"/>
        <v>0</v>
      </c>
      <c r="L63" s="248">
        <f t="shared" si="18"/>
        <v>20800</v>
      </c>
      <c r="M63" s="249">
        <f t="shared" si="19"/>
        <v>25000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spans="1:26" ht="14.4">
      <c r="A64" s="687"/>
      <c r="B64" s="230" t="s">
        <v>175</v>
      </c>
      <c r="C64" s="227">
        <v>4.75</v>
      </c>
      <c r="D64" s="201"/>
      <c r="E64" s="201"/>
      <c r="F64" s="202">
        <f t="shared" si="15"/>
        <v>4.75</v>
      </c>
      <c r="G64" s="203">
        <v>51850</v>
      </c>
      <c r="H64" s="203">
        <v>51850</v>
      </c>
      <c r="I64" s="204"/>
      <c r="J64" s="205">
        <f t="shared" si="16"/>
        <v>0</v>
      </c>
      <c r="K64" s="205">
        <f t="shared" si="17"/>
        <v>0</v>
      </c>
      <c r="L64" s="248">
        <f t="shared" si="18"/>
        <v>246287.5</v>
      </c>
      <c r="M64" s="249">
        <f t="shared" si="19"/>
        <v>246287.5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spans="1:26" ht="14.4">
      <c r="A65" s="687"/>
      <c r="B65" s="230" t="s">
        <v>176</v>
      </c>
      <c r="C65" s="227">
        <v>2</v>
      </c>
      <c r="D65" s="201"/>
      <c r="E65" s="201"/>
      <c r="F65" s="202">
        <f t="shared" si="15"/>
        <v>2</v>
      </c>
      <c r="G65" s="203">
        <v>49890</v>
      </c>
      <c r="H65" s="203">
        <v>55000</v>
      </c>
      <c r="I65" s="204"/>
      <c r="J65" s="205">
        <f t="shared" si="16"/>
        <v>0</v>
      </c>
      <c r="K65" s="205">
        <f t="shared" si="17"/>
        <v>0</v>
      </c>
      <c r="L65" s="248">
        <f t="shared" si="18"/>
        <v>99780</v>
      </c>
      <c r="M65" s="249">
        <f t="shared" si="19"/>
        <v>110000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spans="1:26" ht="14.4">
      <c r="A66" s="687"/>
      <c r="B66" s="230" t="s">
        <v>177</v>
      </c>
      <c r="C66" s="238">
        <v>6.75</v>
      </c>
      <c r="D66" s="201"/>
      <c r="E66" s="201"/>
      <c r="F66" s="202">
        <f t="shared" si="15"/>
        <v>6.75</v>
      </c>
      <c r="G66" s="203">
        <v>60000</v>
      </c>
      <c r="H66" s="203">
        <v>63000</v>
      </c>
      <c r="I66" s="204"/>
      <c r="J66" s="205">
        <f t="shared" si="16"/>
        <v>0</v>
      </c>
      <c r="K66" s="205">
        <f t="shared" si="17"/>
        <v>0</v>
      </c>
      <c r="L66" s="248">
        <f t="shared" si="18"/>
        <v>405000</v>
      </c>
      <c r="M66" s="249">
        <f t="shared" si="19"/>
        <v>425250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spans="1:26" ht="14.4">
      <c r="A67" s="687"/>
      <c r="B67" s="230" t="s">
        <v>178</v>
      </c>
      <c r="C67" s="227">
        <v>7.25</v>
      </c>
      <c r="D67" s="201"/>
      <c r="E67" s="201"/>
      <c r="F67" s="202">
        <f t="shared" si="15"/>
        <v>7.25</v>
      </c>
      <c r="G67" s="203">
        <v>44116</v>
      </c>
      <c r="H67" s="203">
        <v>50000</v>
      </c>
      <c r="I67" s="204"/>
      <c r="J67" s="205">
        <f t="shared" si="16"/>
        <v>0</v>
      </c>
      <c r="K67" s="205">
        <f t="shared" si="17"/>
        <v>0</v>
      </c>
      <c r="L67" s="248">
        <f t="shared" si="18"/>
        <v>319841</v>
      </c>
      <c r="M67" s="249">
        <f t="shared" si="19"/>
        <v>362500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spans="1:26" ht="14.4">
      <c r="A68" s="687"/>
      <c r="B68" s="230" t="s">
        <v>179</v>
      </c>
      <c r="C68" s="238">
        <v>3</v>
      </c>
      <c r="D68" s="201"/>
      <c r="E68" s="201"/>
      <c r="F68" s="202">
        <f t="shared" si="15"/>
        <v>3</v>
      </c>
      <c r="G68" s="203">
        <v>25000</v>
      </c>
      <c r="H68" s="203">
        <v>26000</v>
      </c>
      <c r="I68" s="204"/>
      <c r="J68" s="205">
        <f t="shared" si="16"/>
        <v>0</v>
      </c>
      <c r="K68" s="205">
        <f t="shared" si="17"/>
        <v>0</v>
      </c>
      <c r="L68" s="248">
        <f t="shared" si="18"/>
        <v>75000</v>
      </c>
      <c r="M68" s="249">
        <f t="shared" si="19"/>
        <v>78000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spans="1:26" ht="14.4">
      <c r="A69" s="687"/>
      <c r="B69" s="230" t="s">
        <v>41</v>
      </c>
      <c r="C69" s="227">
        <f>36+2</f>
        <v>38</v>
      </c>
      <c r="D69" s="201"/>
      <c r="E69" s="201"/>
      <c r="F69" s="202">
        <f t="shared" si="15"/>
        <v>38</v>
      </c>
      <c r="G69" s="203">
        <v>43600</v>
      </c>
      <c r="H69" s="203">
        <v>49000</v>
      </c>
      <c r="I69" s="204"/>
      <c r="J69" s="205">
        <f t="shared" si="16"/>
        <v>0</v>
      </c>
      <c r="K69" s="205">
        <f t="shared" si="17"/>
        <v>0</v>
      </c>
      <c r="L69" s="248">
        <f t="shared" si="18"/>
        <v>1656800</v>
      </c>
      <c r="M69" s="249">
        <f t="shared" si="19"/>
        <v>1862000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spans="1:26" ht="14.4">
      <c r="A70" s="687"/>
      <c r="B70" s="230" t="s">
        <v>180</v>
      </c>
      <c r="C70" s="227">
        <v>9.5</v>
      </c>
      <c r="D70" s="201"/>
      <c r="E70" s="201"/>
      <c r="F70" s="202">
        <f t="shared" si="15"/>
        <v>9.5</v>
      </c>
      <c r="G70" s="203">
        <v>49000</v>
      </c>
      <c r="H70" s="203">
        <v>55000</v>
      </c>
      <c r="I70" s="204"/>
      <c r="J70" s="205">
        <f t="shared" si="16"/>
        <v>0</v>
      </c>
      <c r="K70" s="205">
        <f t="shared" si="17"/>
        <v>0</v>
      </c>
      <c r="L70" s="248">
        <f t="shared" si="18"/>
        <v>465500</v>
      </c>
      <c r="M70" s="249">
        <f t="shared" si="19"/>
        <v>522500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spans="1:26" ht="18" customHeight="1">
      <c r="A71" s="687"/>
      <c r="B71" s="230" t="s">
        <v>181</v>
      </c>
      <c r="C71" s="227">
        <v>8</v>
      </c>
      <c r="D71" s="201"/>
      <c r="E71" s="201"/>
      <c r="F71" s="202">
        <f t="shared" si="15"/>
        <v>8</v>
      </c>
      <c r="G71" s="203">
        <v>58050</v>
      </c>
      <c r="H71" s="203">
        <v>63700</v>
      </c>
      <c r="I71" s="204"/>
      <c r="J71" s="205">
        <f t="shared" si="16"/>
        <v>0</v>
      </c>
      <c r="K71" s="205">
        <f t="shared" si="17"/>
        <v>0</v>
      </c>
      <c r="L71" s="248">
        <f t="shared" si="18"/>
        <v>464400</v>
      </c>
      <c r="M71" s="249">
        <f t="shared" si="19"/>
        <v>509600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spans="1:26" ht="18" customHeight="1">
      <c r="A72" s="687"/>
      <c r="B72" s="230" t="s">
        <v>182</v>
      </c>
      <c r="C72" s="227">
        <v>0.5</v>
      </c>
      <c r="D72" s="201"/>
      <c r="E72" s="201"/>
      <c r="F72" s="202">
        <f t="shared" si="15"/>
        <v>0.5</v>
      </c>
      <c r="G72" s="203">
        <v>46000</v>
      </c>
      <c r="H72" s="203">
        <v>52000</v>
      </c>
      <c r="I72" s="204"/>
      <c r="J72" s="205">
        <f t="shared" si="16"/>
        <v>0</v>
      </c>
      <c r="K72" s="205">
        <f t="shared" si="17"/>
        <v>0</v>
      </c>
      <c r="L72" s="248">
        <f t="shared" si="18"/>
        <v>23000</v>
      </c>
      <c r="M72" s="249">
        <f t="shared" si="19"/>
        <v>26000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spans="1:26" ht="14.4">
      <c r="A73" s="687"/>
      <c r="B73" s="230" t="s">
        <v>183</v>
      </c>
      <c r="C73" s="227">
        <v>10</v>
      </c>
      <c r="D73" s="201"/>
      <c r="E73" s="201"/>
      <c r="F73" s="202">
        <f t="shared" si="15"/>
        <v>10</v>
      </c>
      <c r="G73" s="203">
        <v>53000</v>
      </c>
      <c r="H73" s="203">
        <v>63000</v>
      </c>
      <c r="I73" s="204"/>
      <c r="J73" s="205">
        <f t="shared" si="16"/>
        <v>0</v>
      </c>
      <c r="K73" s="205">
        <f t="shared" si="17"/>
        <v>0</v>
      </c>
      <c r="L73" s="248">
        <f t="shared" si="18"/>
        <v>530000</v>
      </c>
      <c r="M73" s="249">
        <f t="shared" si="19"/>
        <v>630000</v>
      </c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spans="1:26" ht="14.4">
      <c r="A74" s="687"/>
      <c r="B74" s="230" t="s">
        <v>184</v>
      </c>
      <c r="C74" s="227"/>
      <c r="D74" s="201"/>
      <c r="E74" s="201"/>
      <c r="F74" s="202">
        <f t="shared" si="15"/>
        <v>0</v>
      </c>
      <c r="G74" s="203">
        <v>62500</v>
      </c>
      <c r="H74" s="203">
        <v>68000</v>
      </c>
      <c r="I74" s="204"/>
      <c r="J74" s="205">
        <f t="shared" si="16"/>
        <v>0</v>
      </c>
      <c r="K74" s="205">
        <f t="shared" si="17"/>
        <v>0</v>
      </c>
      <c r="L74" s="248">
        <f t="shared" si="18"/>
        <v>0</v>
      </c>
      <c r="M74" s="249">
        <f t="shared" si="19"/>
        <v>0</v>
      </c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spans="1:26" ht="14.4">
      <c r="A75" s="687"/>
      <c r="B75" s="230" t="s">
        <v>44</v>
      </c>
      <c r="C75" s="227">
        <f>158+3</f>
        <v>161</v>
      </c>
      <c r="D75" s="201"/>
      <c r="E75" s="201"/>
      <c r="F75" s="202">
        <f t="shared" ref="F75:F76" si="20">+C75+D75-E66</f>
        <v>161</v>
      </c>
      <c r="G75" s="203">
        <v>31200</v>
      </c>
      <c r="H75" s="203">
        <v>34500</v>
      </c>
      <c r="I75" s="204"/>
      <c r="J75" s="205">
        <f t="shared" si="16"/>
        <v>0</v>
      </c>
      <c r="K75" s="205">
        <f t="shared" si="17"/>
        <v>0</v>
      </c>
      <c r="L75" s="248">
        <f t="shared" si="18"/>
        <v>5023200</v>
      </c>
      <c r="M75" s="249">
        <f t="shared" si="19"/>
        <v>5554500</v>
      </c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spans="1:26" ht="14.4">
      <c r="A76" s="687"/>
      <c r="B76" s="230" t="s">
        <v>185</v>
      </c>
      <c r="C76" s="227">
        <v>109</v>
      </c>
      <c r="D76" s="201"/>
      <c r="E76" s="201"/>
      <c r="F76" s="202">
        <f t="shared" si="20"/>
        <v>109</v>
      </c>
      <c r="G76" s="203">
        <v>34000</v>
      </c>
      <c r="H76" s="203">
        <v>37500</v>
      </c>
      <c r="I76" s="204"/>
      <c r="J76" s="205">
        <f t="shared" si="16"/>
        <v>0</v>
      </c>
      <c r="K76" s="205">
        <f t="shared" si="17"/>
        <v>0</v>
      </c>
      <c r="L76" s="248">
        <f t="shared" si="18"/>
        <v>3706000</v>
      </c>
      <c r="M76" s="249">
        <f t="shared" si="19"/>
        <v>4087500</v>
      </c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spans="1:26" ht="14.4">
      <c r="A77" s="687"/>
      <c r="B77" s="230" t="s">
        <v>186</v>
      </c>
      <c r="C77" s="227">
        <v>1.75</v>
      </c>
      <c r="D77" s="201"/>
      <c r="E77" s="201"/>
      <c r="F77" s="202">
        <f t="shared" ref="F77:F86" si="21">+C77+D77-E77</f>
        <v>1.75</v>
      </c>
      <c r="G77" s="203">
        <v>64000</v>
      </c>
      <c r="H77" s="203">
        <v>68000</v>
      </c>
      <c r="I77" s="204"/>
      <c r="J77" s="205">
        <f t="shared" si="16"/>
        <v>0</v>
      </c>
      <c r="K77" s="205">
        <f t="shared" si="17"/>
        <v>0</v>
      </c>
      <c r="L77" s="250">
        <f t="shared" si="18"/>
        <v>112000</v>
      </c>
      <c r="M77" s="251">
        <f t="shared" si="19"/>
        <v>119000</v>
      </c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spans="1:26" ht="14.4">
      <c r="A78" s="687"/>
      <c r="B78" s="230" t="s">
        <v>187</v>
      </c>
      <c r="C78" s="227">
        <v>2.5</v>
      </c>
      <c r="D78" s="201"/>
      <c r="E78" s="201"/>
      <c r="F78" s="202">
        <f t="shared" si="21"/>
        <v>2.5</v>
      </c>
      <c r="G78" s="203">
        <v>50000</v>
      </c>
      <c r="H78" s="203">
        <v>55500</v>
      </c>
      <c r="I78" s="204"/>
      <c r="J78" s="205">
        <f t="shared" si="16"/>
        <v>0</v>
      </c>
      <c r="K78" s="205">
        <f t="shared" si="17"/>
        <v>0</v>
      </c>
      <c r="L78" s="248">
        <f t="shared" si="18"/>
        <v>125000</v>
      </c>
      <c r="M78" s="249">
        <f t="shared" si="19"/>
        <v>138750</v>
      </c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spans="1:26" ht="14.4">
      <c r="A79" s="687"/>
      <c r="B79" s="230" t="s">
        <v>188</v>
      </c>
      <c r="C79" s="227">
        <v>0.25</v>
      </c>
      <c r="D79" s="201"/>
      <c r="E79" s="201"/>
      <c r="F79" s="202">
        <f t="shared" si="21"/>
        <v>0.25</v>
      </c>
      <c r="G79" s="203">
        <v>55111</v>
      </c>
      <c r="H79" s="203">
        <v>60000</v>
      </c>
      <c r="I79" s="204"/>
      <c r="J79" s="205">
        <f t="shared" si="16"/>
        <v>0</v>
      </c>
      <c r="K79" s="205">
        <f t="shared" si="17"/>
        <v>0</v>
      </c>
      <c r="L79" s="248">
        <f t="shared" si="18"/>
        <v>13777.75</v>
      </c>
      <c r="M79" s="249">
        <f t="shared" si="19"/>
        <v>15000</v>
      </c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spans="1:26" ht="14.4">
      <c r="A80" s="687"/>
      <c r="B80" s="230" t="s">
        <v>46</v>
      </c>
      <c r="C80" s="252">
        <f>105+1</f>
        <v>106</v>
      </c>
      <c r="D80" s="201"/>
      <c r="E80" s="201"/>
      <c r="F80" s="202">
        <f t="shared" si="21"/>
        <v>106</v>
      </c>
      <c r="G80" s="203">
        <v>37000</v>
      </c>
      <c r="H80" s="203">
        <v>39000</v>
      </c>
      <c r="I80" s="204"/>
      <c r="J80" s="205">
        <f t="shared" si="16"/>
        <v>0</v>
      </c>
      <c r="K80" s="205">
        <f t="shared" si="17"/>
        <v>0</v>
      </c>
      <c r="L80" s="248">
        <f t="shared" si="18"/>
        <v>3922000</v>
      </c>
      <c r="M80" s="249">
        <f t="shared" si="19"/>
        <v>4134000</v>
      </c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spans="1:26" ht="14.4">
      <c r="A81" s="687"/>
      <c r="B81" s="230" t="s">
        <v>189</v>
      </c>
      <c r="C81" s="227">
        <v>13</v>
      </c>
      <c r="D81" s="201"/>
      <c r="E81" s="201"/>
      <c r="F81" s="202">
        <f t="shared" si="21"/>
        <v>13</v>
      </c>
      <c r="G81" s="203">
        <v>37700</v>
      </c>
      <c r="H81" s="203">
        <v>40500</v>
      </c>
      <c r="I81" s="204"/>
      <c r="J81" s="205">
        <f t="shared" si="16"/>
        <v>0</v>
      </c>
      <c r="K81" s="205">
        <f t="shared" si="17"/>
        <v>0</v>
      </c>
      <c r="L81" s="248">
        <f t="shared" si="18"/>
        <v>490100</v>
      </c>
      <c r="M81" s="249">
        <f t="shared" si="19"/>
        <v>526500</v>
      </c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spans="1:26" ht="14.4">
      <c r="A82" s="687"/>
      <c r="B82" s="230" t="s">
        <v>49</v>
      </c>
      <c r="C82" s="238">
        <v>0.25</v>
      </c>
      <c r="D82" s="201"/>
      <c r="E82" s="201"/>
      <c r="F82" s="202">
        <f t="shared" si="21"/>
        <v>0.25</v>
      </c>
      <c r="G82" s="203">
        <v>44000</v>
      </c>
      <c r="H82" s="203">
        <v>50000</v>
      </c>
      <c r="I82" s="204"/>
      <c r="J82" s="205">
        <f t="shared" si="16"/>
        <v>0</v>
      </c>
      <c r="K82" s="205">
        <f t="shared" si="17"/>
        <v>0</v>
      </c>
      <c r="L82" s="248">
        <f t="shared" si="18"/>
        <v>11000</v>
      </c>
      <c r="M82" s="249">
        <f t="shared" si="19"/>
        <v>12500</v>
      </c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spans="1:26" ht="14.4">
      <c r="A83" s="687"/>
      <c r="B83" s="230" t="s">
        <v>190</v>
      </c>
      <c r="C83" s="238">
        <v>1.75</v>
      </c>
      <c r="D83" s="201"/>
      <c r="E83" s="201"/>
      <c r="F83" s="202">
        <f t="shared" si="21"/>
        <v>1.75</v>
      </c>
      <c r="G83" s="203">
        <v>40000</v>
      </c>
      <c r="H83" s="203">
        <v>43000</v>
      </c>
      <c r="I83" s="204"/>
      <c r="J83" s="205">
        <f t="shared" si="16"/>
        <v>0</v>
      </c>
      <c r="K83" s="205">
        <f t="shared" si="17"/>
        <v>0</v>
      </c>
      <c r="L83" s="248">
        <f t="shared" si="18"/>
        <v>70000</v>
      </c>
      <c r="M83" s="249">
        <f t="shared" si="19"/>
        <v>75250</v>
      </c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spans="1:26" ht="14.4">
      <c r="A84" s="687"/>
      <c r="B84" s="230" t="s">
        <v>191</v>
      </c>
      <c r="C84" s="253">
        <v>0.75</v>
      </c>
      <c r="D84" s="201"/>
      <c r="E84" s="201"/>
      <c r="F84" s="202">
        <f t="shared" si="21"/>
        <v>0.75</v>
      </c>
      <c r="G84" s="203">
        <v>58700</v>
      </c>
      <c r="H84" s="203">
        <v>68000</v>
      </c>
      <c r="I84" s="204"/>
      <c r="J84" s="205">
        <f t="shared" si="16"/>
        <v>0</v>
      </c>
      <c r="K84" s="205">
        <f t="shared" si="17"/>
        <v>0</v>
      </c>
      <c r="L84" s="248">
        <f t="shared" si="18"/>
        <v>44025</v>
      </c>
      <c r="M84" s="249">
        <f t="shared" si="19"/>
        <v>51000</v>
      </c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spans="1:26" ht="14.4">
      <c r="A85" s="687"/>
      <c r="B85" s="230" t="s">
        <v>192</v>
      </c>
      <c r="C85" s="227">
        <v>11.5</v>
      </c>
      <c r="D85" s="201"/>
      <c r="E85" s="201"/>
      <c r="F85" s="202">
        <f t="shared" si="21"/>
        <v>11.5</v>
      </c>
      <c r="G85" s="239">
        <v>68000</v>
      </c>
      <c r="H85" s="239">
        <v>73500</v>
      </c>
      <c r="I85" s="204"/>
      <c r="J85" s="205">
        <f t="shared" si="16"/>
        <v>0</v>
      </c>
      <c r="K85" s="205">
        <f t="shared" si="17"/>
        <v>0</v>
      </c>
      <c r="L85" s="248">
        <f t="shared" si="18"/>
        <v>782000</v>
      </c>
      <c r="M85" s="249">
        <f t="shared" si="19"/>
        <v>845250</v>
      </c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spans="1:26" ht="14.4">
      <c r="A86" s="687"/>
      <c r="B86" s="230" t="s">
        <v>193</v>
      </c>
      <c r="C86" s="227">
        <v>1</v>
      </c>
      <c r="D86" s="201"/>
      <c r="E86" s="201"/>
      <c r="F86" s="202">
        <f t="shared" si="21"/>
        <v>1</v>
      </c>
      <c r="G86" s="239">
        <v>86000</v>
      </c>
      <c r="H86" s="239">
        <v>90000</v>
      </c>
      <c r="I86" s="204"/>
      <c r="J86" s="205">
        <f t="shared" si="16"/>
        <v>0</v>
      </c>
      <c r="K86" s="205">
        <f t="shared" si="17"/>
        <v>0</v>
      </c>
      <c r="L86" s="248">
        <f t="shared" si="18"/>
        <v>86000</v>
      </c>
      <c r="M86" s="249">
        <f t="shared" si="19"/>
        <v>90000</v>
      </c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spans="1:26" ht="14.4">
      <c r="A87" s="688"/>
      <c r="B87" s="254"/>
      <c r="C87" s="255"/>
      <c r="D87" s="255"/>
      <c r="E87" s="256"/>
      <c r="F87" s="257">
        <f t="shared" ref="F87:I87" si="22">SUM(F61:F81)</f>
        <v>589.75</v>
      </c>
      <c r="G87" s="258">
        <f t="shared" si="22"/>
        <v>978117</v>
      </c>
      <c r="H87" s="258">
        <f t="shared" si="22"/>
        <v>1081550</v>
      </c>
      <c r="I87" s="259">
        <f t="shared" si="22"/>
        <v>0</v>
      </c>
      <c r="J87" s="260">
        <f t="shared" ref="J87:K87" si="23">SUM(J61:J85)</f>
        <v>0</v>
      </c>
      <c r="K87" s="260">
        <f t="shared" si="23"/>
        <v>0</v>
      </c>
      <c r="L87" s="260">
        <f>SUM(L61:L86)</f>
        <v>23231511.25</v>
      </c>
      <c r="M87" s="260">
        <f>SUM(M61:M85)</f>
        <v>25656387.5</v>
      </c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spans="1:26" ht="14.4">
      <c r="A88" s="689" t="s">
        <v>194</v>
      </c>
      <c r="B88" s="230" t="s">
        <v>195</v>
      </c>
      <c r="C88" s="261">
        <v>9</v>
      </c>
      <c r="D88" s="201"/>
      <c r="E88" s="201"/>
      <c r="F88" s="202">
        <f t="shared" ref="F88:F146" si="24">+C88+D88-E88</f>
        <v>9</v>
      </c>
      <c r="G88" s="203">
        <v>49000</v>
      </c>
      <c r="H88" s="203">
        <v>52000</v>
      </c>
      <c r="I88" s="224"/>
      <c r="J88" s="205">
        <f t="shared" ref="J88:J146" si="25">+I88*H88</f>
        <v>0</v>
      </c>
      <c r="K88" s="205">
        <f t="shared" ref="K88:K146" si="26">+(H88-G88)*I88</f>
        <v>0</v>
      </c>
      <c r="L88" s="262">
        <f t="shared" ref="L88:L146" si="27">+G88*F88</f>
        <v>441000</v>
      </c>
      <c r="M88" s="263">
        <f t="shared" ref="M88:M146" si="28">F88*H88</f>
        <v>468000</v>
      </c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spans="1:26" ht="14.4">
      <c r="A89" s="690"/>
      <c r="B89" s="230" t="s">
        <v>196</v>
      </c>
      <c r="C89" s="227">
        <v>4</v>
      </c>
      <c r="D89" s="201"/>
      <c r="E89" s="201"/>
      <c r="F89" s="202">
        <f t="shared" si="24"/>
        <v>4</v>
      </c>
      <c r="G89" s="203">
        <v>93664</v>
      </c>
      <c r="H89" s="203">
        <v>98000</v>
      </c>
      <c r="I89" s="204"/>
      <c r="J89" s="205">
        <f t="shared" si="25"/>
        <v>0</v>
      </c>
      <c r="K89" s="205">
        <f t="shared" si="26"/>
        <v>0</v>
      </c>
      <c r="L89" s="262">
        <f t="shared" si="27"/>
        <v>374656</v>
      </c>
      <c r="M89" s="263">
        <f t="shared" si="28"/>
        <v>392000</v>
      </c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spans="1:26" ht="14.4">
      <c r="A90" s="690"/>
      <c r="B90" s="230" t="s">
        <v>197</v>
      </c>
      <c r="C90" s="261">
        <v>20</v>
      </c>
      <c r="D90" s="201"/>
      <c r="E90" s="201"/>
      <c r="F90" s="202">
        <f t="shared" si="24"/>
        <v>20</v>
      </c>
      <c r="G90" s="203">
        <v>26900</v>
      </c>
      <c r="H90" s="203">
        <v>29000</v>
      </c>
      <c r="I90" s="204"/>
      <c r="J90" s="205">
        <f t="shared" si="25"/>
        <v>0</v>
      </c>
      <c r="K90" s="205">
        <f t="shared" si="26"/>
        <v>0</v>
      </c>
      <c r="L90" s="262">
        <f t="shared" si="27"/>
        <v>538000</v>
      </c>
      <c r="M90" s="263">
        <f t="shared" si="28"/>
        <v>580000</v>
      </c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spans="1:26" ht="14.4">
      <c r="A91" s="690"/>
      <c r="B91" s="230" t="s">
        <v>198</v>
      </c>
      <c r="C91" s="227">
        <v>10</v>
      </c>
      <c r="D91" s="201"/>
      <c r="E91" s="201"/>
      <c r="F91" s="202">
        <f t="shared" si="24"/>
        <v>10</v>
      </c>
      <c r="G91" s="203">
        <v>43449</v>
      </c>
      <c r="H91" s="203">
        <v>46000</v>
      </c>
      <c r="I91" s="204"/>
      <c r="J91" s="205">
        <f t="shared" si="25"/>
        <v>0</v>
      </c>
      <c r="K91" s="205">
        <f t="shared" si="26"/>
        <v>0</v>
      </c>
      <c r="L91" s="262">
        <f t="shared" si="27"/>
        <v>434490</v>
      </c>
      <c r="M91" s="263">
        <f t="shared" si="28"/>
        <v>460000</v>
      </c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spans="1:26" ht="14.4">
      <c r="A92" s="690"/>
      <c r="B92" s="264" t="s">
        <v>199</v>
      </c>
      <c r="C92" s="227">
        <v>1</v>
      </c>
      <c r="D92" s="201"/>
      <c r="E92" s="201"/>
      <c r="F92" s="202">
        <f t="shared" si="24"/>
        <v>1</v>
      </c>
      <c r="G92" s="210">
        <v>113000</v>
      </c>
      <c r="H92" s="210">
        <v>118000</v>
      </c>
      <c r="I92" s="204"/>
      <c r="J92" s="205">
        <f t="shared" si="25"/>
        <v>0</v>
      </c>
      <c r="K92" s="205">
        <f t="shared" si="26"/>
        <v>0</v>
      </c>
      <c r="L92" s="262">
        <f t="shared" si="27"/>
        <v>113000</v>
      </c>
      <c r="M92" s="263">
        <f t="shared" si="28"/>
        <v>118000</v>
      </c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spans="1:26" ht="14.4">
      <c r="A93" s="690"/>
      <c r="B93" s="230" t="s">
        <v>200</v>
      </c>
      <c r="C93" s="261">
        <v>22</v>
      </c>
      <c r="D93" s="201"/>
      <c r="E93" s="201"/>
      <c r="F93" s="202">
        <f t="shared" si="24"/>
        <v>22</v>
      </c>
      <c r="G93" s="203">
        <v>12678</v>
      </c>
      <c r="H93" s="203">
        <v>13000</v>
      </c>
      <c r="I93" s="204"/>
      <c r="J93" s="205">
        <f t="shared" si="25"/>
        <v>0</v>
      </c>
      <c r="K93" s="205">
        <f t="shared" si="26"/>
        <v>0</v>
      </c>
      <c r="L93" s="262">
        <f t="shared" si="27"/>
        <v>278916</v>
      </c>
      <c r="M93" s="263">
        <f t="shared" si="28"/>
        <v>286000</v>
      </c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spans="1:26" ht="14.4">
      <c r="A94" s="690"/>
      <c r="B94" s="230" t="s">
        <v>201</v>
      </c>
      <c r="C94" s="229">
        <v>3</v>
      </c>
      <c r="D94" s="201"/>
      <c r="E94" s="201"/>
      <c r="F94" s="202">
        <f t="shared" si="24"/>
        <v>3</v>
      </c>
      <c r="G94" s="203">
        <v>50231</v>
      </c>
      <c r="H94" s="203">
        <v>52000</v>
      </c>
      <c r="I94" s="204"/>
      <c r="J94" s="205">
        <f t="shared" si="25"/>
        <v>0</v>
      </c>
      <c r="K94" s="205">
        <f t="shared" si="26"/>
        <v>0</v>
      </c>
      <c r="L94" s="262">
        <f t="shared" si="27"/>
        <v>150693</v>
      </c>
      <c r="M94" s="263">
        <f t="shared" si="28"/>
        <v>156000</v>
      </c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spans="1:26" ht="14.4">
      <c r="A95" s="690"/>
      <c r="B95" s="230" t="s">
        <v>202</v>
      </c>
      <c r="C95" s="261">
        <v>4</v>
      </c>
      <c r="D95" s="201"/>
      <c r="E95" s="201"/>
      <c r="F95" s="202">
        <f t="shared" si="24"/>
        <v>4</v>
      </c>
      <c r="G95" s="203">
        <v>27677</v>
      </c>
      <c r="H95" s="203">
        <v>30000</v>
      </c>
      <c r="I95" s="204"/>
      <c r="J95" s="205">
        <f t="shared" si="25"/>
        <v>0</v>
      </c>
      <c r="K95" s="205">
        <f t="shared" si="26"/>
        <v>0</v>
      </c>
      <c r="L95" s="262">
        <f t="shared" si="27"/>
        <v>110708</v>
      </c>
      <c r="M95" s="263">
        <f t="shared" si="28"/>
        <v>120000</v>
      </c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spans="1:26" ht="14.4">
      <c r="A96" s="690"/>
      <c r="B96" s="230" t="s">
        <v>203</v>
      </c>
      <c r="C96" s="227"/>
      <c r="D96" s="201"/>
      <c r="E96" s="201"/>
      <c r="F96" s="202">
        <f t="shared" si="24"/>
        <v>0</v>
      </c>
      <c r="G96" s="203">
        <v>13257</v>
      </c>
      <c r="H96" s="203">
        <v>13500</v>
      </c>
      <c r="I96" s="204"/>
      <c r="J96" s="205">
        <f t="shared" si="25"/>
        <v>0</v>
      </c>
      <c r="K96" s="205">
        <f t="shared" si="26"/>
        <v>0</v>
      </c>
      <c r="L96" s="262">
        <f t="shared" si="27"/>
        <v>0</v>
      </c>
      <c r="M96" s="263">
        <f t="shared" si="28"/>
        <v>0</v>
      </c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spans="1:26" ht="14.4">
      <c r="A97" s="690"/>
      <c r="B97" s="230" t="s">
        <v>204</v>
      </c>
      <c r="C97" s="227">
        <v>1</v>
      </c>
      <c r="D97" s="201"/>
      <c r="E97" s="201"/>
      <c r="F97" s="202">
        <f t="shared" si="24"/>
        <v>1</v>
      </c>
      <c r="G97" s="203">
        <v>94624</v>
      </c>
      <c r="H97" s="203">
        <v>104000</v>
      </c>
      <c r="I97" s="204"/>
      <c r="J97" s="205">
        <f t="shared" si="25"/>
        <v>0</v>
      </c>
      <c r="K97" s="205">
        <f t="shared" si="26"/>
        <v>0</v>
      </c>
      <c r="L97" s="262">
        <f t="shared" si="27"/>
        <v>94624</v>
      </c>
      <c r="M97" s="263">
        <f t="shared" si="28"/>
        <v>104000</v>
      </c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spans="1:26" ht="14.4">
      <c r="A98" s="690"/>
      <c r="B98" s="230" t="s">
        <v>205</v>
      </c>
      <c r="C98" s="229">
        <v>5</v>
      </c>
      <c r="D98" s="201"/>
      <c r="E98" s="201"/>
      <c r="F98" s="202">
        <f t="shared" si="24"/>
        <v>5</v>
      </c>
      <c r="G98" s="203">
        <v>42926</v>
      </c>
      <c r="H98" s="203">
        <v>45000</v>
      </c>
      <c r="I98" s="204"/>
      <c r="J98" s="205">
        <f t="shared" si="25"/>
        <v>0</v>
      </c>
      <c r="K98" s="205">
        <f t="shared" si="26"/>
        <v>0</v>
      </c>
      <c r="L98" s="262">
        <f t="shared" si="27"/>
        <v>214630</v>
      </c>
      <c r="M98" s="263">
        <f t="shared" si="28"/>
        <v>225000</v>
      </c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spans="1:26" ht="14.4">
      <c r="A99" s="690"/>
      <c r="B99" s="230" t="s">
        <v>206</v>
      </c>
      <c r="C99" s="227"/>
      <c r="D99" s="201"/>
      <c r="E99" s="201"/>
      <c r="F99" s="202">
        <f t="shared" si="24"/>
        <v>0</v>
      </c>
      <c r="G99" s="203">
        <v>22505</v>
      </c>
      <c r="H99" s="203">
        <v>24000</v>
      </c>
      <c r="I99" s="204"/>
      <c r="J99" s="205">
        <f t="shared" si="25"/>
        <v>0</v>
      </c>
      <c r="K99" s="205">
        <f t="shared" si="26"/>
        <v>0</v>
      </c>
      <c r="L99" s="262">
        <f t="shared" si="27"/>
        <v>0</v>
      </c>
      <c r="M99" s="263">
        <f t="shared" si="28"/>
        <v>0</v>
      </c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spans="1:26" ht="14.4">
      <c r="A100" s="690"/>
      <c r="B100" s="230" t="s">
        <v>207</v>
      </c>
      <c r="C100" s="227"/>
      <c r="D100" s="201"/>
      <c r="E100" s="201"/>
      <c r="F100" s="202">
        <f t="shared" si="24"/>
        <v>0</v>
      </c>
      <c r="G100" s="203">
        <v>38230</v>
      </c>
      <c r="H100" s="203">
        <v>41000</v>
      </c>
      <c r="I100" s="204"/>
      <c r="J100" s="205">
        <f t="shared" si="25"/>
        <v>0</v>
      </c>
      <c r="K100" s="205">
        <f t="shared" si="26"/>
        <v>0</v>
      </c>
      <c r="L100" s="262">
        <f t="shared" si="27"/>
        <v>0</v>
      </c>
      <c r="M100" s="263">
        <f t="shared" si="28"/>
        <v>0</v>
      </c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spans="1:26" ht="14.4">
      <c r="A101" s="690"/>
      <c r="B101" s="230" t="s">
        <v>208</v>
      </c>
      <c r="C101" s="227">
        <v>6</v>
      </c>
      <c r="D101" s="201"/>
      <c r="E101" s="201"/>
      <c r="F101" s="202">
        <f t="shared" si="24"/>
        <v>6</v>
      </c>
      <c r="G101" s="203">
        <v>10985</v>
      </c>
      <c r="H101" s="203">
        <v>13000</v>
      </c>
      <c r="I101" s="204"/>
      <c r="J101" s="205">
        <f t="shared" si="25"/>
        <v>0</v>
      </c>
      <c r="K101" s="205">
        <f t="shared" si="26"/>
        <v>0</v>
      </c>
      <c r="L101" s="262">
        <f t="shared" si="27"/>
        <v>65910</v>
      </c>
      <c r="M101" s="263">
        <f t="shared" si="28"/>
        <v>78000</v>
      </c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spans="1:26" ht="14.4">
      <c r="A102" s="690"/>
      <c r="B102" s="230" t="s">
        <v>209</v>
      </c>
      <c r="C102" s="227">
        <v>2</v>
      </c>
      <c r="D102" s="201"/>
      <c r="E102" s="201"/>
      <c r="F102" s="202">
        <f t="shared" si="24"/>
        <v>2</v>
      </c>
      <c r="G102" s="210">
        <v>90151</v>
      </c>
      <c r="H102" s="210">
        <v>95000</v>
      </c>
      <c r="I102" s="204"/>
      <c r="J102" s="205">
        <f t="shared" si="25"/>
        <v>0</v>
      </c>
      <c r="K102" s="205">
        <f t="shared" si="26"/>
        <v>0</v>
      </c>
      <c r="L102" s="262">
        <f t="shared" si="27"/>
        <v>180302</v>
      </c>
      <c r="M102" s="263">
        <f t="shared" si="28"/>
        <v>190000</v>
      </c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spans="1:26" ht="14.4">
      <c r="A103" s="690"/>
      <c r="B103" s="265" t="s">
        <v>210</v>
      </c>
      <c r="C103" s="229">
        <v>3</v>
      </c>
      <c r="D103" s="201"/>
      <c r="E103" s="201"/>
      <c r="F103" s="202">
        <f t="shared" si="24"/>
        <v>3</v>
      </c>
      <c r="G103" s="210">
        <v>90151</v>
      </c>
      <c r="H103" s="210">
        <v>95000</v>
      </c>
      <c r="I103" s="204"/>
      <c r="J103" s="205">
        <f t="shared" si="25"/>
        <v>0</v>
      </c>
      <c r="K103" s="205">
        <f t="shared" si="26"/>
        <v>0</v>
      </c>
      <c r="L103" s="262">
        <f t="shared" si="27"/>
        <v>270453</v>
      </c>
      <c r="M103" s="263">
        <f t="shared" si="28"/>
        <v>285000</v>
      </c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spans="1:26" ht="14.4">
      <c r="A104" s="690"/>
      <c r="B104" s="230" t="s">
        <v>211</v>
      </c>
      <c r="C104" s="227">
        <v>6</v>
      </c>
      <c r="D104" s="201"/>
      <c r="E104" s="201"/>
      <c r="F104" s="202">
        <f t="shared" si="24"/>
        <v>6</v>
      </c>
      <c r="G104" s="266">
        <v>89506</v>
      </c>
      <c r="H104" s="203">
        <v>95000</v>
      </c>
      <c r="I104" s="204"/>
      <c r="J104" s="205">
        <f t="shared" si="25"/>
        <v>0</v>
      </c>
      <c r="K104" s="205">
        <f t="shared" si="26"/>
        <v>0</v>
      </c>
      <c r="L104" s="262">
        <f t="shared" si="27"/>
        <v>537036</v>
      </c>
      <c r="M104" s="263">
        <f t="shared" si="28"/>
        <v>570000</v>
      </c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spans="1:26" ht="14.4">
      <c r="A105" s="690"/>
      <c r="B105" s="230" t="s">
        <v>212</v>
      </c>
      <c r="C105" s="227">
        <v>13</v>
      </c>
      <c r="D105" s="201"/>
      <c r="E105" s="201"/>
      <c r="F105" s="202">
        <f t="shared" si="24"/>
        <v>13</v>
      </c>
      <c r="G105" s="267">
        <v>48729</v>
      </c>
      <c r="H105" s="203">
        <v>51000</v>
      </c>
      <c r="I105" s="204"/>
      <c r="J105" s="205">
        <f t="shared" si="25"/>
        <v>0</v>
      </c>
      <c r="K105" s="205">
        <f t="shared" si="26"/>
        <v>0</v>
      </c>
      <c r="L105" s="262">
        <f t="shared" si="27"/>
        <v>633477</v>
      </c>
      <c r="M105" s="263">
        <f t="shared" si="28"/>
        <v>663000</v>
      </c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spans="1:26" ht="14.4">
      <c r="A106" s="690"/>
      <c r="B106" s="230" t="s">
        <v>213</v>
      </c>
      <c r="C106" s="227"/>
      <c r="D106" s="201"/>
      <c r="E106" s="201"/>
      <c r="F106" s="202">
        <f t="shared" si="24"/>
        <v>0</v>
      </c>
      <c r="G106" s="267">
        <v>26542</v>
      </c>
      <c r="H106" s="203">
        <v>28000</v>
      </c>
      <c r="I106" s="204"/>
      <c r="J106" s="205">
        <f t="shared" si="25"/>
        <v>0</v>
      </c>
      <c r="K106" s="205">
        <f t="shared" si="26"/>
        <v>0</v>
      </c>
      <c r="L106" s="262">
        <f t="shared" si="27"/>
        <v>0</v>
      </c>
      <c r="M106" s="263">
        <f t="shared" si="28"/>
        <v>0</v>
      </c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spans="1:26" ht="14.4">
      <c r="A107" s="690"/>
      <c r="B107" s="230" t="s">
        <v>214</v>
      </c>
      <c r="C107" s="261">
        <v>7</v>
      </c>
      <c r="D107" s="201"/>
      <c r="E107" s="201"/>
      <c r="F107" s="202">
        <f t="shared" si="24"/>
        <v>7</v>
      </c>
      <c r="G107" s="267">
        <v>48729</v>
      </c>
      <c r="H107" s="203">
        <v>51000</v>
      </c>
      <c r="I107" s="204"/>
      <c r="J107" s="205">
        <f t="shared" si="25"/>
        <v>0</v>
      </c>
      <c r="K107" s="205">
        <f t="shared" si="26"/>
        <v>0</v>
      </c>
      <c r="L107" s="262">
        <f t="shared" si="27"/>
        <v>341103</v>
      </c>
      <c r="M107" s="263">
        <f t="shared" si="28"/>
        <v>357000</v>
      </c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spans="1:26" ht="14.4">
      <c r="A108" s="690"/>
      <c r="B108" s="230" t="s">
        <v>215</v>
      </c>
      <c r="C108" s="261">
        <v>11</v>
      </c>
      <c r="D108" s="201"/>
      <c r="E108" s="201"/>
      <c r="F108" s="202">
        <f t="shared" si="24"/>
        <v>11</v>
      </c>
      <c r="G108" s="203">
        <v>46856</v>
      </c>
      <c r="H108" s="203">
        <v>49000</v>
      </c>
      <c r="I108" s="204"/>
      <c r="J108" s="205">
        <f t="shared" si="25"/>
        <v>0</v>
      </c>
      <c r="K108" s="205">
        <f t="shared" si="26"/>
        <v>0</v>
      </c>
      <c r="L108" s="262">
        <f t="shared" si="27"/>
        <v>515416</v>
      </c>
      <c r="M108" s="263">
        <f t="shared" si="28"/>
        <v>539000</v>
      </c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spans="1:26" ht="14.4">
      <c r="A109" s="690"/>
      <c r="B109" s="230" t="s">
        <v>59</v>
      </c>
      <c r="C109" s="261">
        <v>10</v>
      </c>
      <c r="D109" s="201"/>
      <c r="E109" s="201"/>
      <c r="F109" s="202">
        <f t="shared" si="24"/>
        <v>10</v>
      </c>
      <c r="G109" s="203">
        <v>26234</v>
      </c>
      <c r="H109" s="203">
        <v>28000</v>
      </c>
      <c r="I109" s="204"/>
      <c r="J109" s="205">
        <f t="shared" si="25"/>
        <v>0</v>
      </c>
      <c r="K109" s="205">
        <f t="shared" si="26"/>
        <v>0</v>
      </c>
      <c r="L109" s="262">
        <f t="shared" si="27"/>
        <v>262340</v>
      </c>
      <c r="M109" s="263">
        <f t="shared" si="28"/>
        <v>280000</v>
      </c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spans="1:26" ht="14.4">
      <c r="A110" s="690"/>
      <c r="B110" s="230" t="s">
        <v>216</v>
      </c>
      <c r="C110" s="227">
        <v>7</v>
      </c>
      <c r="D110" s="201"/>
      <c r="E110" s="201"/>
      <c r="F110" s="202">
        <f t="shared" si="24"/>
        <v>7</v>
      </c>
      <c r="G110" s="203">
        <v>11700</v>
      </c>
      <c r="H110" s="203">
        <v>13000</v>
      </c>
      <c r="I110" s="204"/>
      <c r="J110" s="205">
        <f t="shared" si="25"/>
        <v>0</v>
      </c>
      <c r="K110" s="205">
        <f t="shared" si="26"/>
        <v>0</v>
      </c>
      <c r="L110" s="262">
        <f t="shared" si="27"/>
        <v>81900</v>
      </c>
      <c r="M110" s="263">
        <f t="shared" si="28"/>
        <v>91000</v>
      </c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spans="1:26" ht="14.4">
      <c r="A111" s="690"/>
      <c r="B111" s="230" t="s">
        <v>217</v>
      </c>
      <c r="C111" s="227">
        <v>2</v>
      </c>
      <c r="D111" s="201"/>
      <c r="E111" s="201"/>
      <c r="F111" s="202">
        <f t="shared" si="24"/>
        <v>2</v>
      </c>
      <c r="G111" s="203">
        <v>51378</v>
      </c>
      <c r="H111" s="203">
        <v>53000</v>
      </c>
      <c r="I111" s="204"/>
      <c r="J111" s="205">
        <f t="shared" si="25"/>
        <v>0</v>
      </c>
      <c r="K111" s="205">
        <f t="shared" si="26"/>
        <v>0</v>
      </c>
      <c r="L111" s="262">
        <f t="shared" si="27"/>
        <v>102756</v>
      </c>
      <c r="M111" s="263">
        <f t="shared" si="28"/>
        <v>106000</v>
      </c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spans="1:26" ht="14.4">
      <c r="A112" s="690"/>
      <c r="B112" s="230" t="s">
        <v>218</v>
      </c>
      <c r="C112" s="227">
        <v>1</v>
      </c>
      <c r="D112" s="201"/>
      <c r="E112" s="201"/>
      <c r="F112" s="202">
        <f t="shared" si="24"/>
        <v>1</v>
      </c>
      <c r="G112" s="203">
        <v>29440</v>
      </c>
      <c r="H112" s="203">
        <v>31000</v>
      </c>
      <c r="I112" s="204"/>
      <c r="J112" s="205">
        <f t="shared" si="25"/>
        <v>0</v>
      </c>
      <c r="K112" s="205">
        <f t="shared" si="26"/>
        <v>0</v>
      </c>
      <c r="L112" s="262">
        <f t="shared" si="27"/>
        <v>29440</v>
      </c>
      <c r="M112" s="263">
        <f t="shared" si="28"/>
        <v>31000</v>
      </c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spans="1:26" ht="14.4">
      <c r="A113" s="690"/>
      <c r="B113" s="230" t="s">
        <v>659</v>
      </c>
      <c r="C113" s="229">
        <v>5</v>
      </c>
      <c r="D113" s="201"/>
      <c r="E113" s="201"/>
      <c r="F113" s="202">
        <f t="shared" si="24"/>
        <v>5</v>
      </c>
      <c r="G113" s="203">
        <v>11700</v>
      </c>
      <c r="H113" s="203">
        <v>13000</v>
      </c>
      <c r="I113" s="204"/>
      <c r="J113" s="205">
        <f t="shared" si="25"/>
        <v>0</v>
      </c>
      <c r="K113" s="205">
        <f t="shared" si="26"/>
        <v>0</v>
      </c>
      <c r="L113" s="262">
        <f t="shared" si="27"/>
        <v>58500</v>
      </c>
      <c r="M113" s="263">
        <f t="shared" si="28"/>
        <v>65000</v>
      </c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spans="1:26" ht="14.4">
      <c r="A114" s="690"/>
      <c r="B114" s="230" t="s">
        <v>219</v>
      </c>
      <c r="C114" s="229">
        <v>2</v>
      </c>
      <c r="D114" s="201"/>
      <c r="E114" s="201"/>
      <c r="F114" s="202">
        <f t="shared" si="24"/>
        <v>2</v>
      </c>
      <c r="G114" s="203">
        <v>52351</v>
      </c>
      <c r="H114" s="203">
        <v>48000</v>
      </c>
      <c r="I114" s="204"/>
      <c r="J114" s="205">
        <f t="shared" si="25"/>
        <v>0</v>
      </c>
      <c r="K114" s="205">
        <f t="shared" si="26"/>
        <v>0</v>
      </c>
      <c r="L114" s="262">
        <f t="shared" si="27"/>
        <v>104702</v>
      </c>
      <c r="M114" s="263">
        <f t="shared" si="28"/>
        <v>96000</v>
      </c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spans="1:26" ht="14.4">
      <c r="A115" s="690"/>
      <c r="B115" s="230" t="s">
        <v>220</v>
      </c>
      <c r="C115" s="229"/>
      <c r="D115" s="201"/>
      <c r="E115" s="201"/>
      <c r="F115" s="202">
        <f t="shared" si="24"/>
        <v>0</v>
      </c>
      <c r="G115" s="203">
        <v>67573</v>
      </c>
      <c r="H115" s="203">
        <v>68000</v>
      </c>
      <c r="I115" s="204"/>
      <c r="J115" s="205">
        <f t="shared" si="25"/>
        <v>0</v>
      </c>
      <c r="K115" s="205">
        <f t="shared" si="26"/>
        <v>0</v>
      </c>
      <c r="L115" s="262">
        <f t="shared" si="27"/>
        <v>0</v>
      </c>
      <c r="M115" s="263">
        <f t="shared" si="28"/>
        <v>0</v>
      </c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spans="1:26" ht="14.4">
      <c r="A116" s="690"/>
      <c r="B116" s="230" t="s">
        <v>221</v>
      </c>
      <c r="C116" s="227">
        <v>1</v>
      </c>
      <c r="D116" s="201"/>
      <c r="E116" s="201"/>
      <c r="F116" s="202">
        <f t="shared" si="24"/>
        <v>1</v>
      </c>
      <c r="G116" s="203">
        <v>119000</v>
      </c>
      <c r="H116" s="203">
        <v>110000</v>
      </c>
      <c r="I116" s="204"/>
      <c r="J116" s="205">
        <f t="shared" si="25"/>
        <v>0</v>
      </c>
      <c r="K116" s="205">
        <f t="shared" si="26"/>
        <v>0</v>
      </c>
      <c r="L116" s="262">
        <f t="shared" si="27"/>
        <v>119000</v>
      </c>
      <c r="M116" s="263">
        <f t="shared" si="28"/>
        <v>110000</v>
      </c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spans="1:26" ht="14.4">
      <c r="A117" s="690"/>
      <c r="B117" s="230" t="s">
        <v>222</v>
      </c>
      <c r="C117" s="227">
        <v>3</v>
      </c>
      <c r="D117" s="201"/>
      <c r="E117" s="201"/>
      <c r="F117" s="202">
        <f t="shared" si="24"/>
        <v>3</v>
      </c>
      <c r="G117" s="203">
        <v>49403</v>
      </c>
      <c r="H117" s="203">
        <v>46000</v>
      </c>
      <c r="I117" s="204"/>
      <c r="J117" s="205">
        <f t="shared" si="25"/>
        <v>0</v>
      </c>
      <c r="K117" s="205">
        <f t="shared" si="26"/>
        <v>0</v>
      </c>
      <c r="L117" s="262">
        <f t="shared" si="27"/>
        <v>148209</v>
      </c>
      <c r="M117" s="263">
        <f t="shared" si="28"/>
        <v>138000</v>
      </c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spans="1:26" ht="14.4">
      <c r="A118" s="690"/>
      <c r="B118" s="230" t="s">
        <v>223</v>
      </c>
      <c r="C118" s="261">
        <v>4</v>
      </c>
      <c r="D118" s="201"/>
      <c r="E118" s="201"/>
      <c r="F118" s="202">
        <f t="shared" si="24"/>
        <v>4</v>
      </c>
      <c r="G118" s="203">
        <v>26477</v>
      </c>
      <c r="H118" s="203">
        <v>26000</v>
      </c>
      <c r="I118" s="204"/>
      <c r="J118" s="205">
        <f t="shared" si="25"/>
        <v>0</v>
      </c>
      <c r="K118" s="205">
        <f t="shared" si="26"/>
        <v>0</v>
      </c>
      <c r="L118" s="262">
        <f t="shared" si="27"/>
        <v>105908</v>
      </c>
      <c r="M118" s="263">
        <f t="shared" si="28"/>
        <v>104000</v>
      </c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spans="1:26" ht="14.4">
      <c r="A119" s="690"/>
      <c r="B119" s="230" t="s">
        <v>224</v>
      </c>
      <c r="C119" s="261">
        <v>6</v>
      </c>
      <c r="D119" s="201"/>
      <c r="E119" s="201"/>
      <c r="F119" s="202">
        <f t="shared" si="24"/>
        <v>6</v>
      </c>
      <c r="G119" s="203">
        <v>12985</v>
      </c>
      <c r="H119" s="203">
        <v>13000</v>
      </c>
      <c r="I119" s="204"/>
      <c r="J119" s="205">
        <f t="shared" si="25"/>
        <v>0</v>
      </c>
      <c r="K119" s="205">
        <f t="shared" si="26"/>
        <v>0</v>
      </c>
      <c r="L119" s="262">
        <f t="shared" si="27"/>
        <v>77910</v>
      </c>
      <c r="M119" s="263">
        <f t="shared" si="28"/>
        <v>78000</v>
      </c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spans="1:26" ht="14.4">
      <c r="A120" s="690"/>
      <c r="B120" s="230" t="s">
        <v>53</v>
      </c>
      <c r="C120" s="261"/>
      <c r="D120" s="201"/>
      <c r="E120" s="201"/>
      <c r="F120" s="202">
        <f t="shared" si="24"/>
        <v>0</v>
      </c>
      <c r="G120" s="203">
        <v>47400</v>
      </c>
      <c r="H120" s="203">
        <v>50000</v>
      </c>
      <c r="I120" s="204"/>
      <c r="J120" s="205">
        <f t="shared" si="25"/>
        <v>0</v>
      </c>
      <c r="K120" s="205">
        <f t="shared" si="26"/>
        <v>0</v>
      </c>
      <c r="L120" s="262">
        <f t="shared" si="27"/>
        <v>0</v>
      </c>
      <c r="M120" s="263">
        <f t="shared" si="28"/>
        <v>0</v>
      </c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spans="1:26" ht="14.4">
      <c r="A121" s="690"/>
      <c r="B121" s="230" t="s">
        <v>54</v>
      </c>
      <c r="C121" s="261"/>
      <c r="D121" s="201">
        <v>24</v>
      </c>
      <c r="E121" s="201"/>
      <c r="F121" s="202">
        <f t="shared" si="24"/>
        <v>24</v>
      </c>
      <c r="G121" s="203">
        <v>27500</v>
      </c>
      <c r="H121" s="203">
        <v>28000</v>
      </c>
      <c r="I121" s="204"/>
      <c r="J121" s="205">
        <f t="shared" si="25"/>
        <v>0</v>
      </c>
      <c r="K121" s="205">
        <f t="shared" si="26"/>
        <v>0</v>
      </c>
      <c r="L121" s="262">
        <f t="shared" si="27"/>
        <v>660000</v>
      </c>
      <c r="M121" s="263">
        <f t="shared" si="28"/>
        <v>672000</v>
      </c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spans="1:26" ht="14.4">
      <c r="A122" s="690"/>
      <c r="B122" s="230" t="s">
        <v>225</v>
      </c>
      <c r="C122" s="229"/>
      <c r="D122" s="201">
        <v>5</v>
      </c>
      <c r="E122" s="201"/>
      <c r="F122" s="202">
        <f t="shared" si="24"/>
        <v>5</v>
      </c>
      <c r="G122" s="203">
        <v>57800</v>
      </c>
      <c r="H122" s="203">
        <v>56000</v>
      </c>
      <c r="I122" s="204"/>
      <c r="J122" s="205">
        <f t="shared" si="25"/>
        <v>0</v>
      </c>
      <c r="K122" s="205">
        <f t="shared" si="26"/>
        <v>0</v>
      </c>
      <c r="L122" s="262">
        <f t="shared" si="27"/>
        <v>289000</v>
      </c>
      <c r="M122" s="263">
        <f t="shared" si="28"/>
        <v>280000</v>
      </c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spans="1:26" ht="14.4">
      <c r="A123" s="690"/>
      <c r="B123" s="230" t="s">
        <v>226</v>
      </c>
      <c r="C123" s="261"/>
      <c r="D123" s="201">
        <v>3</v>
      </c>
      <c r="E123" s="201"/>
      <c r="F123" s="202">
        <f t="shared" si="24"/>
        <v>3</v>
      </c>
      <c r="G123" s="203">
        <v>97400</v>
      </c>
      <c r="H123" s="203">
        <v>95000</v>
      </c>
      <c r="I123" s="204"/>
      <c r="J123" s="205">
        <f t="shared" si="25"/>
        <v>0</v>
      </c>
      <c r="K123" s="205">
        <f t="shared" si="26"/>
        <v>0</v>
      </c>
      <c r="L123" s="262">
        <f t="shared" si="27"/>
        <v>292200</v>
      </c>
      <c r="M123" s="263">
        <f t="shared" si="28"/>
        <v>285000</v>
      </c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spans="1:26" ht="14.4">
      <c r="A124" s="690"/>
      <c r="B124" s="230" t="s">
        <v>227</v>
      </c>
      <c r="C124" s="229"/>
      <c r="D124" s="201"/>
      <c r="E124" s="201"/>
      <c r="F124" s="202">
        <f t="shared" si="24"/>
        <v>0</v>
      </c>
      <c r="G124" s="203">
        <v>59900</v>
      </c>
      <c r="H124" s="203">
        <v>65000</v>
      </c>
      <c r="I124" s="204"/>
      <c r="J124" s="205">
        <f t="shared" si="25"/>
        <v>0</v>
      </c>
      <c r="K124" s="205">
        <f t="shared" si="26"/>
        <v>0</v>
      </c>
      <c r="L124" s="262">
        <f t="shared" si="27"/>
        <v>0</v>
      </c>
      <c r="M124" s="263">
        <f t="shared" si="28"/>
        <v>0</v>
      </c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spans="1:26" ht="14.4">
      <c r="A125" s="690"/>
      <c r="B125" s="230" t="s">
        <v>228</v>
      </c>
      <c r="C125" s="227">
        <v>1</v>
      </c>
      <c r="D125" s="201"/>
      <c r="E125" s="201"/>
      <c r="F125" s="202">
        <f t="shared" si="24"/>
        <v>1</v>
      </c>
      <c r="G125" s="203">
        <v>50000</v>
      </c>
      <c r="H125" s="203">
        <v>54000</v>
      </c>
      <c r="I125" s="224"/>
      <c r="J125" s="205">
        <f t="shared" si="25"/>
        <v>0</v>
      </c>
      <c r="K125" s="205">
        <f t="shared" si="26"/>
        <v>0</v>
      </c>
      <c r="L125" s="262">
        <f t="shared" si="27"/>
        <v>50000</v>
      </c>
      <c r="M125" s="263">
        <f t="shared" si="28"/>
        <v>54000</v>
      </c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spans="1:26" ht="14.4">
      <c r="A126" s="690"/>
      <c r="B126" s="230" t="s">
        <v>229</v>
      </c>
      <c r="C126" s="261">
        <v>1</v>
      </c>
      <c r="D126" s="201"/>
      <c r="E126" s="201"/>
      <c r="F126" s="202">
        <f t="shared" si="24"/>
        <v>1</v>
      </c>
      <c r="G126" s="203">
        <v>57000</v>
      </c>
      <c r="H126" s="203">
        <v>59000</v>
      </c>
      <c r="I126" s="224"/>
      <c r="J126" s="205">
        <f t="shared" si="25"/>
        <v>0</v>
      </c>
      <c r="K126" s="205">
        <f t="shared" si="26"/>
        <v>0</v>
      </c>
      <c r="L126" s="262">
        <f t="shared" si="27"/>
        <v>57000</v>
      </c>
      <c r="M126" s="263">
        <f t="shared" si="28"/>
        <v>59000</v>
      </c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spans="1:26" ht="14.4">
      <c r="A127" s="690"/>
      <c r="B127" s="230" t="s">
        <v>230</v>
      </c>
      <c r="C127" s="261"/>
      <c r="D127" s="201">
        <v>6</v>
      </c>
      <c r="E127" s="201"/>
      <c r="F127" s="202">
        <f t="shared" si="24"/>
        <v>6</v>
      </c>
      <c r="G127" s="203">
        <v>55500</v>
      </c>
      <c r="H127" s="203">
        <v>54000</v>
      </c>
      <c r="I127" s="204"/>
      <c r="J127" s="205">
        <f t="shared" si="25"/>
        <v>0</v>
      </c>
      <c r="K127" s="205">
        <f t="shared" si="26"/>
        <v>0</v>
      </c>
      <c r="L127" s="262">
        <f t="shared" si="27"/>
        <v>333000</v>
      </c>
      <c r="M127" s="263">
        <f t="shared" si="28"/>
        <v>324000</v>
      </c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spans="1:26" ht="14.4">
      <c r="A128" s="690"/>
      <c r="B128" s="230" t="s">
        <v>231</v>
      </c>
      <c r="C128" s="229">
        <v>2</v>
      </c>
      <c r="D128" s="201">
        <v>24</v>
      </c>
      <c r="E128" s="201"/>
      <c r="F128" s="202">
        <f t="shared" si="24"/>
        <v>26</v>
      </c>
      <c r="G128" s="203">
        <v>29000</v>
      </c>
      <c r="H128" s="203">
        <v>29200</v>
      </c>
      <c r="I128" s="204"/>
      <c r="J128" s="205">
        <f t="shared" si="25"/>
        <v>0</v>
      </c>
      <c r="K128" s="205">
        <f t="shared" si="26"/>
        <v>0</v>
      </c>
      <c r="L128" s="262">
        <f t="shared" si="27"/>
        <v>754000</v>
      </c>
      <c r="M128" s="263">
        <f t="shared" si="28"/>
        <v>759200</v>
      </c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spans="1:26" ht="14.4">
      <c r="A129" s="690"/>
      <c r="B129" s="230" t="s">
        <v>232</v>
      </c>
      <c r="C129" s="261"/>
      <c r="D129" s="201"/>
      <c r="E129" s="201"/>
      <c r="F129" s="202">
        <f t="shared" si="24"/>
        <v>0</v>
      </c>
      <c r="G129" s="203">
        <v>17000</v>
      </c>
      <c r="H129" s="203">
        <v>19000</v>
      </c>
      <c r="I129" s="204"/>
      <c r="J129" s="205">
        <f t="shared" si="25"/>
        <v>0</v>
      </c>
      <c r="K129" s="205">
        <f t="shared" si="26"/>
        <v>0</v>
      </c>
      <c r="L129" s="262">
        <f t="shared" si="27"/>
        <v>0</v>
      </c>
      <c r="M129" s="263">
        <f t="shared" si="28"/>
        <v>0</v>
      </c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spans="1:26" ht="14.4">
      <c r="A130" s="690"/>
      <c r="B130" s="230" t="s">
        <v>233</v>
      </c>
      <c r="C130" s="227">
        <v>1</v>
      </c>
      <c r="D130" s="201"/>
      <c r="E130" s="201"/>
      <c r="F130" s="202">
        <f t="shared" si="24"/>
        <v>1</v>
      </c>
      <c r="G130" s="203">
        <v>54500</v>
      </c>
      <c r="H130" s="203">
        <v>58000</v>
      </c>
      <c r="I130" s="204"/>
      <c r="J130" s="205">
        <f t="shared" si="25"/>
        <v>0</v>
      </c>
      <c r="K130" s="205">
        <f t="shared" si="26"/>
        <v>0</v>
      </c>
      <c r="L130" s="262">
        <f t="shared" si="27"/>
        <v>54500</v>
      </c>
      <c r="M130" s="263">
        <f t="shared" si="28"/>
        <v>58000</v>
      </c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spans="1:26" ht="14.4">
      <c r="A131" s="690"/>
      <c r="B131" s="230" t="s">
        <v>234</v>
      </c>
      <c r="C131" s="261">
        <v>3</v>
      </c>
      <c r="D131" s="201"/>
      <c r="E131" s="201"/>
      <c r="F131" s="202">
        <f t="shared" si="24"/>
        <v>3</v>
      </c>
      <c r="G131" s="203">
        <v>29000</v>
      </c>
      <c r="H131" s="203">
        <v>32000</v>
      </c>
      <c r="I131" s="204"/>
      <c r="J131" s="205">
        <f t="shared" si="25"/>
        <v>0</v>
      </c>
      <c r="K131" s="205">
        <f t="shared" si="26"/>
        <v>0</v>
      </c>
      <c r="L131" s="262">
        <f t="shared" si="27"/>
        <v>87000</v>
      </c>
      <c r="M131" s="263">
        <f t="shared" si="28"/>
        <v>96000</v>
      </c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spans="1:26" ht="14.4">
      <c r="A132" s="690"/>
      <c r="B132" s="230" t="s">
        <v>235</v>
      </c>
      <c r="C132" s="227">
        <v>1</v>
      </c>
      <c r="D132" s="201"/>
      <c r="E132" s="201"/>
      <c r="F132" s="202">
        <f t="shared" si="24"/>
        <v>1</v>
      </c>
      <c r="G132" s="203">
        <v>80000</v>
      </c>
      <c r="H132" s="203">
        <v>86000</v>
      </c>
      <c r="I132" s="204"/>
      <c r="J132" s="205">
        <f t="shared" si="25"/>
        <v>0</v>
      </c>
      <c r="K132" s="205">
        <f t="shared" si="26"/>
        <v>0</v>
      </c>
      <c r="L132" s="262">
        <f t="shared" si="27"/>
        <v>80000</v>
      </c>
      <c r="M132" s="263">
        <f t="shared" si="28"/>
        <v>86000</v>
      </c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spans="1:26" ht="14.4">
      <c r="A133" s="690"/>
      <c r="B133" s="230" t="s">
        <v>236</v>
      </c>
      <c r="C133" s="227">
        <v>2</v>
      </c>
      <c r="D133" s="201"/>
      <c r="E133" s="201"/>
      <c r="F133" s="202">
        <f t="shared" si="24"/>
        <v>2</v>
      </c>
      <c r="G133" s="203">
        <v>40500</v>
      </c>
      <c r="H133" s="203">
        <v>45000</v>
      </c>
      <c r="I133" s="204"/>
      <c r="J133" s="205">
        <f t="shared" si="25"/>
        <v>0</v>
      </c>
      <c r="K133" s="205">
        <f t="shared" si="26"/>
        <v>0</v>
      </c>
      <c r="L133" s="262">
        <f t="shared" si="27"/>
        <v>81000</v>
      </c>
      <c r="M133" s="263">
        <f t="shared" si="28"/>
        <v>90000</v>
      </c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spans="1:26" ht="14.4">
      <c r="A134" s="690"/>
      <c r="B134" s="230" t="s">
        <v>237</v>
      </c>
      <c r="C134" s="261"/>
      <c r="D134" s="201"/>
      <c r="E134" s="201"/>
      <c r="F134" s="202">
        <f t="shared" si="24"/>
        <v>0</v>
      </c>
      <c r="G134" s="203">
        <v>45100</v>
      </c>
      <c r="H134" s="203">
        <v>48000</v>
      </c>
      <c r="I134" s="204"/>
      <c r="J134" s="205">
        <f t="shared" si="25"/>
        <v>0</v>
      </c>
      <c r="K134" s="205">
        <f t="shared" si="26"/>
        <v>0</v>
      </c>
      <c r="L134" s="262">
        <f t="shared" si="27"/>
        <v>0</v>
      </c>
      <c r="M134" s="263">
        <f t="shared" si="28"/>
        <v>0</v>
      </c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spans="1:26" ht="14.4">
      <c r="A135" s="690"/>
      <c r="B135" s="230" t="s">
        <v>238</v>
      </c>
      <c r="C135" s="261">
        <v>1</v>
      </c>
      <c r="D135" s="201"/>
      <c r="E135" s="201"/>
      <c r="F135" s="202">
        <f t="shared" si="24"/>
        <v>1</v>
      </c>
      <c r="G135" s="203">
        <v>54600</v>
      </c>
      <c r="H135" s="203">
        <v>59000</v>
      </c>
      <c r="I135" s="204"/>
      <c r="J135" s="205">
        <f t="shared" si="25"/>
        <v>0</v>
      </c>
      <c r="K135" s="205">
        <f t="shared" si="26"/>
        <v>0</v>
      </c>
      <c r="L135" s="262">
        <f t="shared" si="27"/>
        <v>54600</v>
      </c>
      <c r="M135" s="263">
        <f t="shared" si="28"/>
        <v>59000</v>
      </c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spans="1:26" ht="14.4">
      <c r="A136" s="690"/>
      <c r="B136" s="230" t="s">
        <v>239</v>
      </c>
      <c r="C136" s="227">
        <v>1</v>
      </c>
      <c r="D136" s="201"/>
      <c r="E136" s="201"/>
      <c r="F136" s="202">
        <f t="shared" si="24"/>
        <v>1</v>
      </c>
      <c r="G136" s="203">
        <v>102000</v>
      </c>
      <c r="H136" s="203">
        <v>110000</v>
      </c>
      <c r="I136" s="204"/>
      <c r="J136" s="205">
        <f t="shared" si="25"/>
        <v>0</v>
      </c>
      <c r="K136" s="205">
        <f t="shared" si="26"/>
        <v>0</v>
      </c>
      <c r="L136" s="262">
        <f t="shared" si="27"/>
        <v>102000</v>
      </c>
      <c r="M136" s="263">
        <f t="shared" si="28"/>
        <v>110000</v>
      </c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spans="1:26" ht="14.4">
      <c r="A137" s="690"/>
      <c r="B137" s="230" t="s">
        <v>240</v>
      </c>
      <c r="C137" s="227">
        <v>1</v>
      </c>
      <c r="D137" s="201"/>
      <c r="E137" s="201"/>
      <c r="F137" s="202">
        <f t="shared" si="24"/>
        <v>1</v>
      </c>
      <c r="G137" s="203">
        <v>45000</v>
      </c>
      <c r="H137" s="203">
        <v>48000</v>
      </c>
      <c r="I137" s="204"/>
      <c r="J137" s="205">
        <f t="shared" si="25"/>
        <v>0</v>
      </c>
      <c r="K137" s="205">
        <f t="shared" si="26"/>
        <v>0</v>
      </c>
      <c r="L137" s="262">
        <f t="shared" si="27"/>
        <v>45000</v>
      </c>
      <c r="M137" s="263">
        <f t="shared" si="28"/>
        <v>48000</v>
      </c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spans="1:26" ht="14.4">
      <c r="A138" s="690"/>
      <c r="B138" s="230" t="s">
        <v>241</v>
      </c>
      <c r="C138" s="227">
        <v>2</v>
      </c>
      <c r="D138" s="201"/>
      <c r="E138" s="201"/>
      <c r="F138" s="202">
        <f t="shared" si="24"/>
        <v>2</v>
      </c>
      <c r="G138" s="203">
        <v>24000</v>
      </c>
      <c r="H138" s="203">
        <v>26000</v>
      </c>
      <c r="I138" s="204"/>
      <c r="J138" s="205">
        <f t="shared" si="25"/>
        <v>0</v>
      </c>
      <c r="K138" s="205">
        <f t="shared" si="26"/>
        <v>0</v>
      </c>
      <c r="L138" s="262">
        <f t="shared" si="27"/>
        <v>48000</v>
      </c>
      <c r="M138" s="263">
        <f t="shared" si="28"/>
        <v>52000</v>
      </c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spans="1:26" ht="14.4">
      <c r="A139" s="690"/>
      <c r="B139" s="264" t="s">
        <v>242</v>
      </c>
      <c r="C139" s="261">
        <v>9</v>
      </c>
      <c r="D139" s="201"/>
      <c r="E139" s="201"/>
      <c r="F139" s="202">
        <f t="shared" si="24"/>
        <v>9</v>
      </c>
      <c r="G139" s="210">
        <v>36000</v>
      </c>
      <c r="H139" s="210">
        <v>39500</v>
      </c>
      <c r="I139" s="204"/>
      <c r="J139" s="205">
        <f t="shared" si="25"/>
        <v>0</v>
      </c>
      <c r="K139" s="205">
        <f t="shared" si="26"/>
        <v>0</v>
      </c>
      <c r="L139" s="262">
        <f t="shared" si="27"/>
        <v>324000</v>
      </c>
      <c r="M139" s="263">
        <f t="shared" si="28"/>
        <v>355500</v>
      </c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spans="1:26" ht="14.4">
      <c r="A140" s="690"/>
      <c r="B140" s="230" t="s">
        <v>243</v>
      </c>
      <c r="C140" s="227">
        <v>4</v>
      </c>
      <c r="D140" s="201"/>
      <c r="E140" s="201"/>
      <c r="F140" s="202">
        <f t="shared" si="24"/>
        <v>4</v>
      </c>
      <c r="G140" s="210">
        <v>9000</v>
      </c>
      <c r="H140" s="210">
        <v>9500</v>
      </c>
      <c r="I140" s="204"/>
      <c r="J140" s="205">
        <f t="shared" si="25"/>
        <v>0</v>
      </c>
      <c r="K140" s="205">
        <f t="shared" si="26"/>
        <v>0</v>
      </c>
      <c r="L140" s="262">
        <f t="shared" si="27"/>
        <v>36000</v>
      </c>
      <c r="M140" s="263">
        <f t="shared" si="28"/>
        <v>38000</v>
      </c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spans="1:26" ht="14.4">
      <c r="A141" s="690"/>
      <c r="B141" s="230" t="s">
        <v>244</v>
      </c>
      <c r="C141" s="227">
        <v>2</v>
      </c>
      <c r="D141" s="201"/>
      <c r="E141" s="201"/>
      <c r="F141" s="202">
        <f t="shared" si="24"/>
        <v>2</v>
      </c>
      <c r="G141" s="212">
        <v>72000</v>
      </c>
      <c r="H141" s="212">
        <v>78000</v>
      </c>
      <c r="I141" s="213"/>
      <c r="J141" s="205">
        <f t="shared" si="25"/>
        <v>0</v>
      </c>
      <c r="K141" s="205">
        <f t="shared" si="26"/>
        <v>0</v>
      </c>
      <c r="L141" s="262">
        <f t="shared" si="27"/>
        <v>144000</v>
      </c>
      <c r="M141" s="263">
        <f t="shared" si="28"/>
        <v>156000</v>
      </c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spans="1:26" ht="14.4">
      <c r="A142" s="690"/>
      <c r="B142" s="268" t="s">
        <v>245</v>
      </c>
      <c r="C142" s="227"/>
      <c r="D142" s="201"/>
      <c r="E142" s="201"/>
      <c r="F142" s="202">
        <f t="shared" si="24"/>
        <v>0</v>
      </c>
      <c r="G142" s="212">
        <v>46000</v>
      </c>
      <c r="H142" s="212">
        <v>50000</v>
      </c>
      <c r="I142" s="213"/>
      <c r="J142" s="205">
        <f t="shared" si="25"/>
        <v>0</v>
      </c>
      <c r="K142" s="205">
        <f t="shared" si="26"/>
        <v>0</v>
      </c>
      <c r="L142" s="262">
        <f t="shared" si="27"/>
        <v>0</v>
      </c>
      <c r="M142" s="263">
        <f t="shared" si="28"/>
        <v>0</v>
      </c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spans="1:26" ht="14.4">
      <c r="A143" s="690"/>
      <c r="B143" s="268" t="s">
        <v>246</v>
      </c>
      <c r="C143" s="227"/>
      <c r="D143" s="201"/>
      <c r="E143" s="201"/>
      <c r="F143" s="202">
        <f t="shared" si="24"/>
        <v>0</v>
      </c>
      <c r="G143" s="212">
        <v>26000</v>
      </c>
      <c r="H143" s="212">
        <v>28000</v>
      </c>
      <c r="I143" s="213"/>
      <c r="J143" s="205">
        <f t="shared" si="25"/>
        <v>0</v>
      </c>
      <c r="K143" s="205">
        <f t="shared" si="26"/>
        <v>0</v>
      </c>
      <c r="L143" s="262">
        <f t="shared" si="27"/>
        <v>0</v>
      </c>
      <c r="M143" s="263">
        <f t="shared" si="28"/>
        <v>0</v>
      </c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spans="1:26" ht="14.4">
      <c r="A144" s="690"/>
      <c r="B144" s="268" t="s">
        <v>247</v>
      </c>
      <c r="C144" s="227"/>
      <c r="D144" s="201"/>
      <c r="E144" s="201"/>
      <c r="F144" s="202">
        <f t="shared" si="24"/>
        <v>0</v>
      </c>
      <c r="G144" s="212">
        <v>39000</v>
      </c>
      <c r="H144" s="212">
        <v>42000</v>
      </c>
      <c r="I144" s="213"/>
      <c r="J144" s="205">
        <f t="shared" si="25"/>
        <v>0</v>
      </c>
      <c r="K144" s="205">
        <f t="shared" si="26"/>
        <v>0</v>
      </c>
      <c r="L144" s="262">
        <f t="shared" si="27"/>
        <v>0</v>
      </c>
      <c r="M144" s="263">
        <f t="shared" si="28"/>
        <v>0</v>
      </c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spans="1:26" ht="14.4">
      <c r="A145" s="690"/>
      <c r="B145" s="268" t="s">
        <v>248</v>
      </c>
      <c r="C145" s="227">
        <v>3</v>
      </c>
      <c r="D145" s="201"/>
      <c r="E145" s="201"/>
      <c r="F145" s="202">
        <f t="shared" si="24"/>
        <v>3</v>
      </c>
      <c r="G145" s="212">
        <v>21000</v>
      </c>
      <c r="H145" s="212">
        <v>23000</v>
      </c>
      <c r="I145" s="213"/>
      <c r="J145" s="205">
        <f t="shared" si="25"/>
        <v>0</v>
      </c>
      <c r="K145" s="205">
        <f t="shared" si="26"/>
        <v>0</v>
      </c>
      <c r="L145" s="262">
        <f t="shared" si="27"/>
        <v>63000</v>
      </c>
      <c r="M145" s="263">
        <f t="shared" si="28"/>
        <v>69000</v>
      </c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spans="1:26" ht="14.4">
      <c r="A146" s="690"/>
      <c r="B146" s="269" t="s">
        <v>249</v>
      </c>
      <c r="C146" s="270"/>
      <c r="D146" s="271"/>
      <c r="E146" s="271"/>
      <c r="F146" s="272">
        <f t="shared" si="24"/>
        <v>0</v>
      </c>
      <c r="G146" s="212">
        <v>38500</v>
      </c>
      <c r="H146" s="212">
        <v>42000</v>
      </c>
      <c r="I146" s="240"/>
      <c r="J146" s="273">
        <f t="shared" si="25"/>
        <v>0</v>
      </c>
      <c r="K146" s="273">
        <f t="shared" si="26"/>
        <v>0</v>
      </c>
      <c r="L146" s="274">
        <f t="shared" si="27"/>
        <v>0</v>
      </c>
      <c r="M146" s="263">
        <f t="shared" si="28"/>
        <v>0</v>
      </c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spans="1:26" ht="14.4">
      <c r="A147" s="691"/>
      <c r="B147" s="275"/>
      <c r="C147" s="276"/>
      <c r="D147" s="276"/>
      <c r="E147" s="277"/>
      <c r="F147" s="278">
        <f>SUM(F88:F139)</f>
        <v>255</v>
      </c>
      <c r="G147" s="279">
        <f t="shared" ref="G147:H147" si="29">SUM(G88:G141)</f>
        <v>2628231</v>
      </c>
      <c r="H147" s="279">
        <f t="shared" si="29"/>
        <v>2739700</v>
      </c>
      <c r="I147" s="280">
        <f>SUM(I88:I139)</f>
        <v>0</v>
      </c>
      <c r="J147" s="281">
        <f t="shared" ref="J147:K147" si="30">SUM(J88:J141)</f>
        <v>0</v>
      </c>
      <c r="K147" s="281">
        <f t="shared" si="30"/>
        <v>0</v>
      </c>
      <c r="L147" s="281">
        <f>SUM(L88:L146)</f>
        <v>9939379</v>
      </c>
      <c r="M147" s="281">
        <f>SUM(M88:M141)</f>
        <v>10271700</v>
      </c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spans="1:26" ht="14.4">
      <c r="A148" s="692"/>
      <c r="B148" s="282" t="s">
        <v>250</v>
      </c>
      <c r="C148" s="283">
        <v>2.5</v>
      </c>
      <c r="D148" s="284"/>
      <c r="E148" s="284"/>
      <c r="F148" s="285">
        <f t="shared" ref="F148:F158" si="31">+C148+D148-E148</f>
        <v>2.5</v>
      </c>
      <c r="G148" s="286">
        <v>37000</v>
      </c>
      <c r="H148" s="286">
        <v>40000</v>
      </c>
      <c r="I148" s="287"/>
      <c r="J148" s="288">
        <f t="shared" ref="J148:J158" si="32">+I148*H148</f>
        <v>0</v>
      </c>
      <c r="K148" s="288">
        <f t="shared" ref="K148:K158" si="33">+(H148-G148)*I148</f>
        <v>0</v>
      </c>
      <c r="L148" s="289">
        <f t="shared" ref="L148:L158" si="34">+G148*F148</f>
        <v>92500</v>
      </c>
      <c r="M148" s="290">
        <f t="shared" ref="M148:M158" si="35">F148*H148</f>
        <v>100000</v>
      </c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spans="1:26" ht="14.4">
      <c r="A149" s="693"/>
      <c r="B149" s="291" t="s">
        <v>251</v>
      </c>
      <c r="C149" s="227">
        <v>4</v>
      </c>
      <c r="D149" s="201"/>
      <c r="E149" s="201"/>
      <c r="F149" s="202">
        <f t="shared" si="31"/>
        <v>4</v>
      </c>
      <c r="G149" s="203">
        <v>6000</v>
      </c>
      <c r="H149" s="203">
        <v>7000</v>
      </c>
      <c r="I149" s="204"/>
      <c r="J149" s="205">
        <f t="shared" si="32"/>
        <v>0</v>
      </c>
      <c r="K149" s="205">
        <f t="shared" si="33"/>
        <v>0</v>
      </c>
      <c r="L149" s="250">
        <f t="shared" si="34"/>
        <v>24000</v>
      </c>
      <c r="M149" s="292">
        <f t="shared" si="35"/>
        <v>28000</v>
      </c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spans="1:26" ht="14.4">
      <c r="A150" s="693"/>
      <c r="B150" s="291" t="s">
        <v>252</v>
      </c>
      <c r="C150" s="227">
        <v>115</v>
      </c>
      <c r="D150" s="201"/>
      <c r="E150" s="201"/>
      <c r="F150" s="202">
        <f t="shared" si="31"/>
        <v>115</v>
      </c>
      <c r="G150" s="203">
        <v>45800</v>
      </c>
      <c r="H150" s="203">
        <v>54000</v>
      </c>
      <c r="I150" s="204"/>
      <c r="J150" s="205">
        <f t="shared" si="32"/>
        <v>0</v>
      </c>
      <c r="K150" s="205">
        <f t="shared" si="33"/>
        <v>0</v>
      </c>
      <c r="L150" s="250">
        <f t="shared" si="34"/>
        <v>5267000</v>
      </c>
      <c r="M150" s="292">
        <f t="shared" si="35"/>
        <v>6210000</v>
      </c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spans="1:26" ht="14.4">
      <c r="A151" s="693"/>
      <c r="B151" s="291" t="s">
        <v>253</v>
      </c>
      <c r="C151" s="238">
        <v>36</v>
      </c>
      <c r="D151" s="201"/>
      <c r="E151" s="201"/>
      <c r="F151" s="202">
        <f t="shared" si="31"/>
        <v>36</v>
      </c>
      <c r="G151" s="203">
        <v>28500</v>
      </c>
      <c r="H151" s="203">
        <v>31700</v>
      </c>
      <c r="I151" s="204"/>
      <c r="J151" s="205">
        <f t="shared" si="32"/>
        <v>0</v>
      </c>
      <c r="K151" s="205">
        <f t="shared" si="33"/>
        <v>0</v>
      </c>
      <c r="L151" s="250">
        <f t="shared" si="34"/>
        <v>1026000</v>
      </c>
      <c r="M151" s="292">
        <f t="shared" si="35"/>
        <v>1141200</v>
      </c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spans="1:26" ht="14.4">
      <c r="A152" s="693"/>
      <c r="B152" s="291" t="s">
        <v>254</v>
      </c>
      <c r="C152" s="229"/>
      <c r="D152" s="201"/>
      <c r="E152" s="201"/>
      <c r="F152" s="202">
        <f t="shared" si="31"/>
        <v>0</v>
      </c>
      <c r="G152" s="203">
        <v>32000</v>
      </c>
      <c r="H152" s="203">
        <v>33700</v>
      </c>
      <c r="I152" s="204"/>
      <c r="J152" s="205">
        <f t="shared" si="32"/>
        <v>0</v>
      </c>
      <c r="K152" s="205">
        <f t="shared" si="33"/>
        <v>0</v>
      </c>
      <c r="L152" s="250">
        <f t="shared" si="34"/>
        <v>0</v>
      </c>
      <c r="M152" s="292">
        <f t="shared" si="35"/>
        <v>0</v>
      </c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spans="1:26" ht="14.4">
      <c r="A153" s="693"/>
      <c r="B153" s="291" t="s">
        <v>255</v>
      </c>
      <c r="C153" s="227">
        <v>2</v>
      </c>
      <c r="D153" s="201"/>
      <c r="E153" s="201"/>
      <c r="F153" s="202">
        <f t="shared" si="31"/>
        <v>2</v>
      </c>
      <c r="G153" s="203">
        <v>10500</v>
      </c>
      <c r="H153" s="203">
        <v>12500</v>
      </c>
      <c r="I153" s="204"/>
      <c r="J153" s="205">
        <f t="shared" si="32"/>
        <v>0</v>
      </c>
      <c r="K153" s="205">
        <f t="shared" si="33"/>
        <v>0</v>
      </c>
      <c r="L153" s="250">
        <f t="shared" si="34"/>
        <v>21000</v>
      </c>
      <c r="M153" s="292">
        <f t="shared" si="35"/>
        <v>25000</v>
      </c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spans="1:26" ht="14.4">
      <c r="A154" s="693"/>
      <c r="B154" s="291" t="s">
        <v>256</v>
      </c>
      <c r="C154" s="227">
        <v>9</v>
      </c>
      <c r="D154" s="201"/>
      <c r="E154" s="201"/>
      <c r="F154" s="202">
        <f t="shared" si="31"/>
        <v>9</v>
      </c>
      <c r="G154" s="203">
        <v>46000</v>
      </c>
      <c r="H154" s="203">
        <v>52000</v>
      </c>
      <c r="I154" s="204"/>
      <c r="J154" s="205">
        <f t="shared" si="32"/>
        <v>0</v>
      </c>
      <c r="K154" s="205">
        <f t="shared" si="33"/>
        <v>0</v>
      </c>
      <c r="L154" s="250">
        <f t="shared" si="34"/>
        <v>414000</v>
      </c>
      <c r="M154" s="292">
        <f t="shared" si="35"/>
        <v>468000</v>
      </c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spans="1:26" ht="14.4">
      <c r="A155" s="693"/>
      <c r="B155" s="291" t="s">
        <v>257</v>
      </c>
      <c r="C155" s="227">
        <v>174</v>
      </c>
      <c r="D155" s="201"/>
      <c r="E155" s="201"/>
      <c r="F155" s="202">
        <f t="shared" si="31"/>
        <v>174</v>
      </c>
      <c r="G155" s="203">
        <v>51900</v>
      </c>
      <c r="H155" s="203">
        <v>61000</v>
      </c>
      <c r="I155" s="204"/>
      <c r="J155" s="205">
        <f t="shared" si="32"/>
        <v>0</v>
      </c>
      <c r="K155" s="205">
        <f t="shared" si="33"/>
        <v>0</v>
      </c>
      <c r="L155" s="250">
        <f t="shared" si="34"/>
        <v>9030600</v>
      </c>
      <c r="M155" s="292">
        <f t="shared" si="35"/>
        <v>10614000</v>
      </c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spans="1:26" ht="14.4">
      <c r="A156" s="693"/>
      <c r="B156" s="291" t="s">
        <v>258</v>
      </c>
      <c r="C156" s="227">
        <v>39</v>
      </c>
      <c r="D156" s="293"/>
      <c r="E156" s="201"/>
      <c r="F156" s="202">
        <f t="shared" si="31"/>
        <v>39</v>
      </c>
      <c r="G156" s="203">
        <v>36400</v>
      </c>
      <c r="H156" s="203">
        <v>44000</v>
      </c>
      <c r="I156" s="204"/>
      <c r="J156" s="205">
        <f t="shared" si="32"/>
        <v>0</v>
      </c>
      <c r="K156" s="205">
        <f t="shared" si="33"/>
        <v>0</v>
      </c>
      <c r="L156" s="250">
        <f t="shared" si="34"/>
        <v>1419600</v>
      </c>
      <c r="M156" s="292">
        <f t="shared" si="35"/>
        <v>1716000</v>
      </c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spans="1:26" ht="14.4">
      <c r="A157" s="693"/>
      <c r="B157" s="291" t="s">
        <v>259</v>
      </c>
      <c r="C157" s="229"/>
      <c r="D157" s="201">
        <v>8</v>
      </c>
      <c r="E157" s="201"/>
      <c r="F157" s="202">
        <f t="shared" si="31"/>
        <v>8</v>
      </c>
      <c r="G157" s="203">
        <v>7223</v>
      </c>
      <c r="H157" s="203">
        <v>8000</v>
      </c>
      <c r="I157" s="204"/>
      <c r="J157" s="205">
        <f t="shared" si="32"/>
        <v>0</v>
      </c>
      <c r="K157" s="205">
        <f t="shared" si="33"/>
        <v>0</v>
      </c>
      <c r="L157" s="250">
        <f t="shared" si="34"/>
        <v>57784</v>
      </c>
      <c r="M157" s="292">
        <f t="shared" si="35"/>
        <v>64000</v>
      </c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spans="1:26" ht="14.4">
      <c r="A158" s="693"/>
      <c r="B158" s="294" t="s">
        <v>260</v>
      </c>
      <c r="C158" s="295"/>
      <c r="D158" s="296"/>
      <c r="E158" s="296"/>
      <c r="F158" s="297">
        <f t="shared" si="31"/>
        <v>0</v>
      </c>
      <c r="G158" s="298">
        <v>10200</v>
      </c>
      <c r="H158" s="298">
        <v>12000</v>
      </c>
      <c r="I158" s="299"/>
      <c r="J158" s="300">
        <f t="shared" si="32"/>
        <v>0</v>
      </c>
      <c r="K158" s="300">
        <f t="shared" si="33"/>
        <v>0</v>
      </c>
      <c r="L158" s="301">
        <f t="shared" si="34"/>
        <v>0</v>
      </c>
      <c r="M158" s="302">
        <f t="shared" si="35"/>
        <v>0</v>
      </c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spans="1:26" ht="14.4">
      <c r="A159" s="694"/>
      <c r="B159" s="303"/>
      <c r="C159" s="304">
        <f t="shared" ref="C159:M159" si="36">SUM(C148:C158)</f>
        <v>381.5</v>
      </c>
      <c r="D159" s="304">
        <f t="shared" si="36"/>
        <v>8</v>
      </c>
      <c r="E159" s="304">
        <f t="shared" si="36"/>
        <v>0</v>
      </c>
      <c r="F159" s="305">
        <f t="shared" si="36"/>
        <v>389.5</v>
      </c>
      <c r="G159" s="306">
        <f t="shared" si="36"/>
        <v>311523</v>
      </c>
      <c r="H159" s="306">
        <f t="shared" si="36"/>
        <v>355900</v>
      </c>
      <c r="I159" s="307">
        <f t="shared" si="36"/>
        <v>0</v>
      </c>
      <c r="J159" s="307">
        <f t="shared" si="36"/>
        <v>0</v>
      </c>
      <c r="K159" s="307">
        <f t="shared" si="36"/>
        <v>0</v>
      </c>
      <c r="L159" s="307">
        <f t="shared" si="36"/>
        <v>17352484</v>
      </c>
      <c r="M159" s="308">
        <f t="shared" si="36"/>
        <v>20366200</v>
      </c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spans="1:26" ht="14.4">
      <c r="A160" s="695"/>
      <c r="B160" s="309" t="s">
        <v>261</v>
      </c>
      <c r="C160" s="310">
        <v>1</v>
      </c>
      <c r="D160" s="311"/>
      <c r="E160" s="311"/>
      <c r="F160" s="312">
        <f t="shared" ref="F160:F182" si="37">+C160+D160-E160</f>
        <v>1</v>
      </c>
      <c r="G160" s="313">
        <v>10000</v>
      </c>
      <c r="H160" s="313">
        <v>10500</v>
      </c>
      <c r="I160" s="314"/>
      <c r="J160" s="315">
        <f t="shared" ref="J160:J182" si="38">+I160*H160</f>
        <v>0</v>
      </c>
      <c r="K160" s="315">
        <f t="shared" ref="K160:K182" si="39">+(H160-G160)*I160</f>
        <v>0</v>
      </c>
      <c r="L160" s="316">
        <f t="shared" ref="L160:L182" si="40">+G160*F160</f>
        <v>10000</v>
      </c>
      <c r="M160" s="317">
        <f t="shared" ref="M160:M182" si="41">F160*H160</f>
        <v>10500</v>
      </c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spans="1:26" ht="14.4">
      <c r="A161" s="696"/>
      <c r="B161" s="318" t="s">
        <v>262</v>
      </c>
      <c r="C161" s="227"/>
      <c r="D161" s="201"/>
      <c r="E161" s="201"/>
      <c r="F161" s="202">
        <f t="shared" si="37"/>
        <v>0</v>
      </c>
      <c r="G161" s="203">
        <v>12000</v>
      </c>
      <c r="H161" s="203">
        <v>15000</v>
      </c>
      <c r="I161" s="224"/>
      <c r="J161" s="205">
        <f t="shared" si="38"/>
        <v>0</v>
      </c>
      <c r="K161" s="205">
        <f t="shared" si="39"/>
        <v>0</v>
      </c>
      <c r="L161" s="319">
        <f t="shared" si="40"/>
        <v>0</v>
      </c>
      <c r="M161" s="320">
        <f t="shared" si="41"/>
        <v>0</v>
      </c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spans="1:26" ht="14.4">
      <c r="A162" s="696"/>
      <c r="B162" s="318" t="s">
        <v>263</v>
      </c>
      <c r="C162" s="227">
        <v>1</v>
      </c>
      <c r="D162" s="201"/>
      <c r="E162" s="201"/>
      <c r="F162" s="202">
        <f t="shared" si="37"/>
        <v>1</v>
      </c>
      <c r="G162" s="203">
        <v>14000</v>
      </c>
      <c r="H162" s="203">
        <v>17000</v>
      </c>
      <c r="I162" s="224"/>
      <c r="J162" s="205">
        <f t="shared" si="38"/>
        <v>0</v>
      </c>
      <c r="K162" s="205">
        <f t="shared" si="39"/>
        <v>0</v>
      </c>
      <c r="L162" s="319">
        <f t="shared" si="40"/>
        <v>14000</v>
      </c>
      <c r="M162" s="320">
        <f t="shared" si="41"/>
        <v>17000</v>
      </c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spans="1:26" ht="14.4">
      <c r="A163" s="696"/>
      <c r="B163" s="318" t="s">
        <v>264</v>
      </c>
      <c r="C163" s="227">
        <v>4</v>
      </c>
      <c r="D163" s="201"/>
      <c r="E163" s="201"/>
      <c r="F163" s="202">
        <f t="shared" si="37"/>
        <v>4</v>
      </c>
      <c r="G163" s="203">
        <v>7200</v>
      </c>
      <c r="H163" s="203">
        <v>8000</v>
      </c>
      <c r="I163" s="224"/>
      <c r="J163" s="205">
        <f t="shared" si="38"/>
        <v>0</v>
      </c>
      <c r="K163" s="205">
        <f t="shared" si="39"/>
        <v>0</v>
      </c>
      <c r="L163" s="319">
        <f t="shared" si="40"/>
        <v>28800</v>
      </c>
      <c r="M163" s="320">
        <f t="shared" si="41"/>
        <v>32000</v>
      </c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spans="1:26" ht="14.4">
      <c r="A164" s="696"/>
      <c r="B164" s="318" t="s">
        <v>265</v>
      </c>
      <c r="C164" s="227">
        <v>4</v>
      </c>
      <c r="D164" s="201"/>
      <c r="E164" s="321"/>
      <c r="F164" s="202">
        <f t="shared" si="37"/>
        <v>4</v>
      </c>
      <c r="G164" s="203">
        <v>10000</v>
      </c>
      <c r="H164" s="203">
        <v>12000</v>
      </c>
      <c r="I164" s="224"/>
      <c r="J164" s="205">
        <f t="shared" si="38"/>
        <v>0</v>
      </c>
      <c r="K164" s="205">
        <f t="shared" si="39"/>
        <v>0</v>
      </c>
      <c r="L164" s="319">
        <f t="shared" si="40"/>
        <v>40000</v>
      </c>
      <c r="M164" s="320">
        <f t="shared" si="41"/>
        <v>48000</v>
      </c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spans="1:26" ht="14.4">
      <c r="A165" s="696"/>
      <c r="B165" s="322" t="s">
        <v>266</v>
      </c>
      <c r="C165" s="227">
        <v>4</v>
      </c>
      <c r="D165" s="201"/>
      <c r="E165" s="321"/>
      <c r="F165" s="202">
        <f t="shared" si="37"/>
        <v>4</v>
      </c>
      <c r="G165" s="203">
        <v>11000</v>
      </c>
      <c r="H165" s="203">
        <v>12500</v>
      </c>
      <c r="I165" s="204"/>
      <c r="J165" s="205">
        <f t="shared" si="38"/>
        <v>0</v>
      </c>
      <c r="K165" s="205">
        <f t="shared" si="39"/>
        <v>0</v>
      </c>
      <c r="L165" s="323">
        <f t="shared" si="40"/>
        <v>44000</v>
      </c>
      <c r="M165" s="320">
        <f t="shared" si="41"/>
        <v>50000</v>
      </c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spans="1:26" ht="14.4">
      <c r="A166" s="696"/>
      <c r="B166" s="322" t="s">
        <v>267</v>
      </c>
      <c r="C166" s="227">
        <v>61</v>
      </c>
      <c r="D166" s="201"/>
      <c r="E166" s="321"/>
      <c r="F166" s="202">
        <f t="shared" si="37"/>
        <v>61</v>
      </c>
      <c r="G166" s="203">
        <v>2500</v>
      </c>
      <c r="H166" s="203">
        <v>3000</v>
      </c>
      <c r="I166" s="204"/>
      <c r="J166" s="205">
        <f t="shared" si="38"/>
        <v>0</v>
      </c>
      <c r="K166" s="205">
        <f t="shared" si="39"/>
        <v>0</v>
      </c>
      <c r="L166" s="323">
        <f t="shared" si="40"/>
        <v>152500</v>
      </c>
      <c r="M166" s="320">
        <f t="shared" si="41"/>
        <v>183000</v>
      </c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spans="1:26" ht="14.4">
      <c r="A167" s="696"/>
      <c r="B167" s="322" t="s">
        <v>268</v>
      </c>
      <c r="C167" s="227"/>
      <c r="D167" s="201"/>
      <c r="E167" s="321"/>
      <c r="F167" s="202">
        <f t="shared" si="37"/>
        <v>0</v>
      </c>
      <c r="G167" s="203">
        <v>13000</v>
      </c>
      <c r="H167" s="203">
        <v>15000</v>
      </c>
      <c r="I167" s="204"/>
      <c r="J167" s="205">
        <f t="shared" si="38"/>
        <v>0</v>
      </c>
      <c r="K167" s="205">
        <f t="shared" si="39"/>
        <v>0</v>
      </c>
      <c r="L167" s="323">
        <f t="shared" si="40"/>
        <v>0</v>
      </c>
      <c r="M167" s="320">
        <f t="shared" si="41"/>
        <v>0</v>
      </c>
      <c r="N167" s="191"/>
      <c r="O167" s="191"/>
      <c r="P167" s="324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spans="1:26" ht="14.4">
      <c r="A168" s="696"/>
      <c r="B168" s="318" t="s">
        <v>269</v>
      </c>
      <c r="C168" s="229">
        <v>5</v>
      </c>
      <c r="D168" s="201"/>
      <c r="E168" s="321"/>
      <c r="F168" s="202">
        <f t="shared" si="37"/>
        <v>5</v>
      </c>
      <c r="G168" s="203">
        <v>26000</v>
      </c>
      <c r="H168" s="203">
        <v>28000</v>
      </c>
      <c r="I168" s="204"/>
      <c r="J168" s="205">
        <f t="shared" si="38"/>
        <v>0</v>
      </c>
      <c r="K168" s="205">
        <f t="shared" si="39"/>
        <v>0</v>
      </c>
      <c r="L168" s="323">
        <f t="shared" si="40"/>
        <v>130000</v>
      </c>
      <c r="M168" s="320">
        <f t="shared" si="41"/>
        <v>140000</v>
      </c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spans="1:26" ht="14.4">
      <c r="A169" s="696"/>
      <c r="B169" s="318" t="s">
        <v>270</v>
      </c>
      <c r="C169" s="229">
        <v>15</v>
      </c>
      <c r="D169" s="201"/>
      <c r="E169" s="321"/>
      <c r="F169" s="202">
        <f t="shared" si="37"/>
        <v>15</v>
      </c>
      <c r="G169" s="203">
        <v>13600</v>
      </c>
      <c r="H169" s="203">
        <v>15000</v>
      </c>
      <c r="I169" s="204"/>
      <c r="J169" s="205">
        <f t="shared" si="38"/>
        <v>0</v>
      </c>
      <c r="K169" s="205">
        <f t="shared" si="39"/>
        <v>0</v>
      </c>
      <c r="L169" s="323">
        <f t="shared" si="40"/>
        <v>204000</v>
      </c>
      <c r="M169" s="320">
        <f t="shared" si="41"/>
        <v>225000</v>
      </c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spans="1:26" ht="14.4">
      <c r="A170" s="696"/>
      <c r="B170" s="318" t="s">
        <v>271</v>
      </c>
      <c r="C170" s="227">
        <v>2</v>
      </c>
      <c r="D170" s="201"/>
      <c r="E170" s="321"/>
      <c r="F170" s="202">
        <f t="shared" si="37"/>
        <v>2</v>
      </c>
      <c r="G170" s="203">
        <v>30000</v>
      </c>
      <c r="H170" s="203">
        <v>36000</v>
      </c>
      <c r="I170" s="204"/>
      <c r="J170" s="205">
        <f t="shared" si="38"/>
        <v>0</v>
      </c>
      <c r="K170" s="205">
        <f t="shared" si="39"/>
        <v>0</v>
      </c>
      <c r="L170" s="323">
        <f t="shared" si="40"/>
        <v>60000</v>
      </c>
      <c r="M170" s="320">
        <f t="shared" si="41"/>
        <v>72000</v>
      </c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spans="1:26" ht="14.4">
      <c r="A171" s="696"/>
      <c r="B171" s="322" t="s">
        <v>272</v>
      </c>
      <c r="C171" s="227">
        <v>5</v>
      </c>
      <c r="D171" s="201"/>
      <c r="E171" s="321"/>
      <c r="F171" s="202">
        <f t="shared" si="37"/>
        <v>5</v>
      </c>
      <c r="G171" s="203">
        <v>20400</v>
      </c>
      <c r="H171" s="203">
        <v>24000</v>
      </c>
      <c r="I171" s="204"/>
      <c r="J171" s="205">
        <f t="shared" si="38"/>
        <v>0</v>
      </c>
      <c r="K171" s="205">
        <f t="shared" si="39"/>
        <v>0</v>
      </c>
      <c r="L171" s="323">
        <f t="shared" si="40"/>
        <v>102000</v>
      </c>
      <c r="M171" s="320">
        <f t="shared" si="41"/>
        <v>120000</v>
      </c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spans="1:26" ht="14.4">
      <c r="A172" s="696"/>
      <c r="B172" s="322" t="s">
        <v>273</v>
      </c>
      <c r="C172" s="227">
        <v>4</v>
      </c>
      <c r="D172" s="201"/>
      <c r="E172" s="321"/>
      <c r="F172" s="202">
        <f t="shared" si="37"/>
        <v>4</v>
      </c>
      <c r="G172" s="203">
        <v>18700</v>
      </c>
      <c r="H172" s="203">
        <v>22000</v>
      </c>
      <c r="I172" s="204"/>
      <c r="J172" s="205">
        <f t="shared" si="38"/>
        <v>0</v>
      </c>
      <c r="K172" s="205">
        <f t="shared" si="39"/>
        <v>0</v>
      </c>
      <c r="L172" s="323">
        <f t="shared" si="40"/>
        <v>74800</v>
      </c>
      <c r="M172" s="320">
        <f t="shared" si="41"/>
        <v>88000</v>
      </c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spans="1:26" ht="14.4">
      <c r="A173" s="696"/>
      <c r="B173" s="322" t="s">
        <v>274</v>
      </c>
      <c r="C173" s="227">
        <v>22</v>
      </c>
      <c r="D173" s="201"/>
      <c r="E173" s="321"/>
      <c r="F173" s="202">
        <f t="shared" si="37"/>
        <v>22</v>
      </c>
      <c r="G173" s="203">
        <v>10800</v>
      </c>
      <c r="H173" s="203">
        <v>13500</v>
      </c>
      <c r="I173" s="204"/>
      <c r="J173" s="205">
        <f t="shared" si="38"/>
        <v>0</v>
      </c>
      <c r="K173" s="205">
        <f t="shared" si="39"/>
        <v>0</v>
      </c>
      <c r="L173" s="323">
        <f t="shared" si="40"/>
        <v>237600</v>
      </c>
      <c r="M173" s="320">
        <f t="shared" si="41"/>
        <v>297000</v>
      </c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spans="1:26" ht="14.4">
      <c r="A174" s="696"/>
      <c r="B174" s="322" t="s">
        <v>275</v>
      </c>
      <c r="C174" s="227">
        <v>16.5</v>
      </c>
      <c r="D174" s="201"/>
      <c r="E174" s="321"/>
      <c r="F174" s="202">
        <f t="shared" si="37"/>
        <v>16.5</v>
      </c>
      <c r="G174" s="203">
        <v>13300</v>
      </c>
      <c r="H174" s="203">
        <v>15000</v>
      </c>
      <c r="I174" s="204"/>
      <c r="J174" s="205">
        <f t="shared" si="38"/>
        <v>0</v>
      </c>
      <c r="K174" s="205">
        <f t="shared" si="39"/>
        <v>0</v>
      </c>
      <c r="L174" s="323">
        <f t="shared" si="40"/>
        <v>219450</v>
      </c>
      <c r="M174" s="320">
        <f t="shared" si="41"/>
        <v>247500</v>
      </c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spans="1:26" ht="14.4">
      <c r="A175" s="696"/>
      <c r="B175" s="322" t="s">
        <v>276</v>
      </c>
      <c r="C175" s="227">
        <v>4</v>
      </c>
      <c r="D175" s="201"/>
      <c r="E175" s="321"/>
      <c r="F175" s="202">
        <f t="shared" si="37"/>
        <v>4</v>
      </c>
      <c r="G175" s="203">
        <v>22000</v>
      </c>
      <c r="H175" s="203">
        <v>25000</v>
      </c>
      <c r="I175" s="204"/>
      <c r="J175" s="205">
        <f t="shared" si="38"/>
        <v>0</v>
      </c>
      <c r="K175" s="205">
        <f t="shared" si="39"/>
        <v>0</v>
      </c>
      <c r="L175" s="323">
        <f t="shared" si="40"/>
        <v>88000</v>
      </c>
      <c r="M175" s="320">
        <f t="shared" si="41"/>
        <v>100000</v>
      </c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spans="1:26" ht="14.4">
      <c r="A176" s="696"/>
      <c r="B176" s="322" t="s">
        <v>277</v>
      </c>
      <c r="C176" s="227">
        <v>5</v>
      </c>
      <c r="D176" s="201"/>
      <c r="E176" s="321"/>
      <c r="F176" s="202">
        <f t="shared" si="37"/>
        <v>5</v>
      </c>
      <c r="G176" s="203">
        <v>2500</v>
      </c>
      <c r="H176" s="203">
        <v>3000</v>
      </c>
      <c r="I176" s="204"/>
      <c r="J176" s="205">
        <f t="shared" si="38"/>
        <v>0</v>
      </c>
      <c r="K176" s="205">
        <f t="shared" si="39"/>
        <v>0</v>
      </c>
      <c r="L176" s="323">
        <f t="shared" si="40"/>
        <v>12500</v>
      </c>
      <c r="M176" s="320">
        <f t="shared" si="41"/>
        <v>15000</v>
      </c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spans="1:26" ht="14.4">
      <c r="A177" s="696"/>
      <c r="B177" s="318" t="s">
        <v>278</v>
      </c>
      <c r="C177" s="227">
        <v>14</v>
      </c>
      <c r="D177" s="201"/>
      <c r="E177" s="321"/>
      <c r="F177" s="202">
        <f t="shared" si="37"/>
        <v>14</v>
      </c>
      <c r="G177" s="203">
        <v>12500</v>
      </c>
      <c r="H177" s="203">
        <v>13500</v>
      </c>
      <c r="I177" s="204"/>
      <c r="J177" s="205">
        <f t="shared" si="38"/>
        <v>0</v>
      </c>
      <c r="K177" s="205">
        <f t="shared" si="39"/>
        <v>0</v>
      </c>
      <c r="L177" s="323">
        <f t="shared" si="40"/>
        <v>175000</v>
      </c>
      <c r="M177" s="320">
        <f t="shared" si="41"/>
        <v>189000</v>
      </c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spans="1:26" ht="14.4">
      <c r="A178" s="696"/>
      <c r="B178" s="318" t="s">
        <v>279</v>
      </c>
      <c r="C178" s="227">
        <v>4</v>
      </c>
      <c r="D178" s="201"/>
      <c r="E178" s="321"/>
      <c r="F178" s="202">
        <f t="shared" si="37"/>
        <v>4</v>
      </c>
      <c r="G178" s="203">
        <v>15000</v>
      </c>
      <c r="H178" s="203">
        <v>16500</v>
      </c>
      <c r="I178" s="204"/>
      <c r="J178" s="205">
        <f t="shared" si="38"/>
        <v>0</v>
      </c>
      <c r="K178" s="205">
        <f t="shared" si="39"/>
        <v>0</v>
      </c>
      <c r="L178" s="323">
        <f t="shared" si="40"/>
        <v>60000</v>
      </c>
      <c r="M178" s="320">
        <f t="shared" si="41"/>
        <v>66000</v>
      </c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spans="1:26" ht="14.4">
      <c r="A179" s="696"/>
      <c r="B179" s="322" t="s">
        <v>280</v>
      </c>
      <c r="C179" s="229">
        <v>8</v>
      </c>
      <c r="D179" s="201"/>
      <c r="E179" s="321"/>
      <c r="F179" s="202">
        <f t="shared" si="37"/>
        <v>8</v>
      </c>
      <c r="G179" s="203">
        <v>24000</v>
      </c>
      <c r="H179" s="203">
        <v>25000</v>
      </c>
      <c r="I179" s="204"/>
      <c r="J179" s="205">
        <f t="shared" si="38"/>
        <v>0</v>
      </c>
      <c r="K179" s="205">
        <f t="shared" si="39"/>
        <v>0</v>
      </c>
      <c r="L179" s="323">
        <f t="shared" si="40"/>
        <v>192000</v>
      </c>
      <c r="M179" s="320">
        <f t="shared" si="41"/>
        <v>200000</v>
      </c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spans="1:26" ht="14.4">
      <c r="A180" s="696"/>
      <c r="B180" s="322" t="s">
        <v>660</v>
      </c>
      <c r="C180" s="227">
        <v>2</v>
      </c>
      <c r="D180" s="201"/>
      <c r="E180" s="321"/>
      <c r="F180" s="202">
        <f t="shared" si="37"/>
        <v>2</v>
      </c>
      <c r="G180" s="203">
        <v>13000</v>
      </c>
      <c r="H180" s="203">
        <v>15000</v>
      </c>
      <c r="I180" s="204"/>
      <c r="J180" s="205">
        <f t="shared" si="38"/>
        <v>0</v>
      </c>
      <c r="K180" s="205">
        <f t="shared" si="39"/>
        <v>0</v>
      </c>
      <c r="L180" s="323">
        <f t="shared" si="40"/>
        <v>26000</v>
      </c>
      <c r="M180" s="320">
        <f t="shared" si="41"/>
        <v>30000</v>
      </c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spans="1:26" ht="14.4">
      <c r="A181" s="696"/>
      <c r="B181" s="318" t="s">
        <v>281</v>
      </c>
      <c r="C181" s="227">
        <v>4</v>
      </c>
      <c r="D181" s="201"/>
      <c r="E181" s="321"/>
      <c r="F181" s="202">
        <f t="shared" si="37"/>
        <v>4</v>
      </c>
      <c r="G181" s="203">
        <v>7800</v>
      </c>
      <c r="H181" s="203">
        <v>9000</v>
      </c>
      <c r="I181" s="204"/>
      <c r="J181" s="205">
        <f t="shared" si="38"/>
        <v>0</v>
      </c>
      <c r="K181" s="205">
        <f t="shared" si="39"/>
        <v>0</v>
      </c>
      <c r="L181" s="323">
        <f t="shared" si="40"/>
        <v>31200</v>
      </c>
      <c r="M181" s="320">
        <f t="shared" si="41"/>
        <v>36000</v>
      </c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spans="1:26" ht="14.4">
      <c r="A182" s="697"/>
      <c r="B182" s="318" t="s">
        <v>282</v>
      </c>
      <c r="C182" s="325">
        <v>7</v>
      </c>
      <c r="D182" s="201"/>
      <c r="E182" s="321"/>
      <c r="F182" s="202">
        <f t="shared" si="37"/>
        <v>7</v>
      </c>
      <c r="G182" s="239">
        <v>11300</v>
      </c>
      <c r="H182" s="239">
        <v>13500</v>
      </c>
      <c r="I182" s="213"/>
      <c r="J182" s="205">
        <f t="shared" si="38"/>
        <v>0</v>
      </c>
      <c r="K182" s="205">
        <f t="shared" si="39"/>
        <v>0</v>
      </c>
      <c r="L182" s="323">
        <f t="shared" si="40"/>
        <v>79100</v>
      </c>
      <c r="M182" s="320">
        <f t="shared" si="41"/>
        <v>94500</v>
      </c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spans="1:26" ht="14.4">
      <c r="A183" s="326"/>
      <c r="B183" s="327"/>
      <c r="C183" s="328"/>
      <c r="D183" s="329"/>
      <c r="E183" s="329"/>
      <c r="F183" s="330"/>
      <c r="G183" s="331"/>
      <c r="H183" s="331"/>
      <c r="I183" s="332"/>
      <c r="J183" s="333"/>
      <c r="K183" s="333"/>
      <c r="L183" s="334">
        <f t="shared" ref="L183:M183" si="42">SUM(L160:L182)</f>
        <v>1980950</v>
      </c>
      <c r="M183" s="334">
        <f t="shared" si="42"/>
        <v>2260500</v>
      </c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spans="1:26" ht="14.4">
      <c r="A184" s="326"/>
      <c r="B184" s="230" t="s">
        <v>283</v>
      </c>
      <c r="C184" s="335">
        <v>33</v>
      </c>
      <c r="D184" s="201"/>
      <c r="E184" s="201"/>
      <c r="F184" s="202">
        <f t="shared" ref="F184:F243" si="43">+C184+D184-E184</f>
        <v>33</v>
      </c>
      <c r="G184" s="203">
        <v>13100</v>
      </c>
      <c r="H184" s="203">
        <v>14500</v>
      </c>
      <c r="I184" s="224"/>
      <c r="J184" s="205">
        <f t="shared" ref="J184:J243" si="44">+I184*H184</f>
        <v>0</v>
      </c>
      <c r="K184" s="205">
        <f t="shared" ref="K184:K243" si="45">+(H184-G184)*I184</f>
        <v>0</v>
      </c>
      <c r="L184" s="319">
        <f t="shared" ref="L184:L243" si="46">+G184*F184</f>
        <v>432300</v>
      </c>
      <c r="M184" s="336">
        <f t="shared" ref="M184:M243" si="47">F184*H184</f>
        <v>478500</v>
      </c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spans="1:26" ht="14.4">
      <c r="A185" s="326"/>
      <c r="B185" s="230" t="s">
        <v>284</v>
      </c>
      <c r="C185" s="229">
        <v>5</v>
      </c>
      <c r="D185" s="201"/>
      <c r="E185" s="191"/>
      <c r="F185" s="202">
        <f t="shared" si="43"/>
        <v>5</v>
      </c>
      <c r="G185" s="203">
        <v>27200</v>
      </c>
      <c r="H185" s="203">
        <v>32000</v>
      </c>
      <c r="I185" s="204"/>
      <c r="J185" s="205">
        <f t="shared" si="44"/>
        <v>0</v>
      </c>
      <c r="K185" s="205">
        <f t="shared" si="45"/>
        <v>0</v>
      </c>
      <c r="L185" s="319">
        <f t="shared" si="46"/>
        <v>136000</v>
      </c>
      <c r="M185" s="336">
        <f t="shared" si="47"/>
        <v>160000</v>
      </c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spans="1:26" ht="14.4">
      <c r="A186" s="326"/>
      <c r="B186" s="230" t="s">
        <v>285</v>
      </c>
      <c r="C186" s="229">
        <v>4</v>
      </c>
      <c r="D186" s="201"/>
      <c r="E186" s="201"/>
      <c r="F186" s="202">
        <f t="shared" si="43"/>
        <v>4</v>
      </c>
      <c r="G186" s="203">
        <v>15100</v>
      </c>
      <c r="H186" s="203">
        <v>23200</v>
      </c>
      <c r="I186" s="204"/>
      <c r="J186" s="205">
        <f t="shared" si="44"/>
        <v>0</v>
      </c>
      <c r="K186" s="205">
        <f t="shared" si="45"/>
        <v>0</v>
      </c>
      <c r="L186" s="319">
        <f t="shared" si="46"/>
        <v>60400</v>
      </c>
      <c r="M186" s="336">
        <f t="shared" si="47"/>
        <v>92800</v>
      </c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spans="1:26" ht="14.4">
      <c r="A187" s="326"/>
      <c r="B187" s="230" t="s">
        <v>286</v>
      </c>
      <c r="C187" s="227">
        <v>2</v>
      </c>
      <c r="D187" s="201"/>
      <c r="E187" s="201"/>
      <c r="F187" s="202">
        <f t="shared" si="43"/>
        <v>2</v>
      </c>
      <c r="G187" s="203">
        <v>17400</v>
      </c>
      <c r="H187" s="203">
        <v>28800</v>
      </c>
      <c r="I187" s="204"/>
      <c r="J187" s="205">
        <f t="shared" si="44"/>
        <v>0</v>
      </c>
      <c r="K187" s="205">
        <f t="shared" si="45"/>
        <v>0</v>
      </c>
      <c r="L187" s="319">
        <f t="shared" si="46"/>
        <v>34800</v>
      </c>
      <c r="M187" s="336">
        <f t="shared" si="47"/>
        <v>57600</v>
      </c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spans="1:26" ht="14.4">
      <c r="A188" s="326"/>
      <c r="B188" s="230" t="s">
        <v>287</v>
      </c>
      <c r="C188" s="227">
        <v>1</v>
      </c>
      <c r="D188" s="201"/>
      <c r="E188" s="201"/>
      <c r="F188" s="202">
        <f t="shared" si="43"/>
        <v>1</v>
      </c>
      <c r="G188" s="203">
        <v>13600</v>
      </c>
      <c r="H188" s="203">
        <v>15000</v>
      </c>
      <c r="I188" s="204"/>
      <c r="J188" s="205">
        <f t="shared" si="44"/>
        <v>0</v>
      </c>
      <c r="K188" s="205">
        <f t="shared" si="45"/>
        <v>0</v>
      </c>
      <c r="L188" s="319">
        <f t="shared" si="46"/>
        <v>13600</v>
      </c>
      <c r="M188" s="336">
        <f t="shared" si="47"/>
        <v>15000</v>
      </c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spans="1:26" ht="14.4">
      <c r="A189" s="326"/>
      <c r="B189" s="230" t="s">
        <v>288</v>
      </c>
      <c r="C189" s="227"/>
      <c r="D189" s="201"/>
      <c r="E189" s="201"/>
      <c r="F189" s="202">
        <f t="shared" si="43"/>
        <v>0</v>
      </c>
      <c r="G189" s="203">
        <v>11000</v>
      </c>
      <c r="H189" s="203">
        <v>12000</v>
      </c>
      <c r="I189" s="204"/>
      <c r="J189" s="205">
        <f t="shared" si="44"/>
        <v>0</v>
      </c>
      <c r="K189" s="205">
        <f t="shared" si="45"/>
        <v>0</v>
      </c>
      <c r="L189" s="319">
        <f t="shared" si="46"/>
        <v>0</v>
      </c>
      <c r="M189" s="336">
        <f t="shared" si="47"/>
        <v>0</v>
      </c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spans="1:26" ht="14.4">
      <c r="A190" s="326"/>
      <c r="B190" s="230" t="s">
        <v>289</v>
      </c>
      <c r="C190" s="229"/>
      <c r="D190" s="201"/>
      <c r="E190" s="201"/>
      <c r="F190" s="202">
        <f t="shared" si="43"/>
        <v>0</v>
      </c>
      <c r="G190" s="203">
        <v>24100</v>
      </c>
      <c r="H190" s="203">
        <v>35000</v>
      </c>
      <c r="I190" s="204"/>
      <c r="J190" s="205">
        <f t="shared" si="44"/>
        <v>0</v>
      </c>
      <c r="K190" s="205">
        <f t="shared" si="45"/>
        <v>0</v>
      </c>
      <c r="L190" s="319">
        <f t="shared" si="46"/>
        <v>0</v>
      </c>
      <c r="M190" s="336">
        <f t="shared" si="47"/>
        <v>0</v>
      </c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spans="1:26" ht="14.4">
      <c r="A191" s="326"/>
      <c r="B191" s="230" t="s">
        <v>290</v>
      </c>
      <c r="C191" s="229">
        <v>5</v>
      </c>
      <c r="D191" s="201"/>
      <c r="E191" s="201"/>
      <c r="F191" s="202">
        <f t="shared" si="43"/>
        <v>5</v>
      </c>
      <c r="G191" s="203">
        <v>7500</v>
      </c>
      <c r="H191" s="203">
        <v>12500</v>
      </c>
      <c r="I191" s="204"/>
      <c r="J191" s="205">
        <f t="shared" si="44"/>
        <v>0</v>
      </c>
      <c r="K191" s="205">
        <f t="shared" si="45"/>
        <v>0</v>
      </c>
      <c r="L191" s="319">
        <f t="shared" si="46"/>
        <v>37500</v>
      </c>
      <c r="M191" s="336">
        <f t="shared" si="47"/>
        <v>62500</v>
      </c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spans="1:26" ht="14.4">
      <c r="A192" s="326"/>
      <c r="B192" s="230" t="s">
        <v>291</v>
      </c>
      <c r="C192" s="227">
        <v>8</v>
      </c>
      <c r="D192" s="201"/>
      <c r="E192" s="201"/>
      <c r="F192" s="202">
        <f t="shared" si="43"/>
        <v>8</v>
      </c>
      <c r="G192" s="203">
        <v>27200</v>
      </c>
      <c r="H192" s="203">
        <v>32000</v>
      </c>
      <c r="I192" s="204"/>
      <c r="J192" s="205">
        <f t="shared" si="44"/>
        <v>0</v>
      </c>
      <c r="K192" s="205">
        <f t="shared" si="45"/>
        <v>0</v>
      </c>
      <c r="L192" s="319">
        <f t="shared" si="46"/>
        <v>217600</v>
      </c>
      <c r="M192" s="336">
        <f t="shared" si="47"/>
        <v>256000</v>
      </c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spans="1:26" ht="14.4">
      <c r="A193" s="326"/>
      <c r="B193" s="337" t="s">
        <v>64</v>
      </c>
      <c r="C193" s="227">
        <f>20</f>
        <v>20</v>
      </c>
      <c r="D193" s="201"/>
      <c r="E193" s="201"/>
      <c r="F193" s="202">
        <f t="shared" si="43"/>
        <v>20</v>
      </c>
      <c r="G193" s="203">
        <v>31300</v>
      </c>
      <c r="H193" s="203">
        <v>36000</v>
      </c>
      <c r="I193" s="204"/>
      <c r="J193" s="205">
        <f t="shared" si="44"/>
        <v>0</v>
      </c>
      <c r="K193" s="205">
        <f t="shared" si="45"/>
        <v>0</v>
      </c>
      <c r="L193" s="319">
        <f t="shared" si="46"/>
        <v>626000</v>
      </c>
      <c r="M193" s="336">
        <f t="shared" si="47"/>
        <v>720000</v>
      </c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spans="1:26" ht="14.4">
      <c r="A194" s="326"/>
      <c r="B194" s="337" t="s">
        <v>292</v>
      </c>
      <c r="C194" s="227"/>
      <c r="D194" s="201"/>
      <c r="E194" s="201"/>
      <c r="F194" s="202">
        <f t="shared" si="43"/>
        <v>0</v>
      </c>
      <c r="G194" s="203">
        <v>30600</v>
      </c>
      <c r="H194" s="203">
        <v>36000</v>
      </c>
      <c r="I194" s="204"/>
      <c r="J194" s="205">
        <f t="shared" si="44"/>
        <v>0</v>
      </c>
      <c r="K194" s="205">
        <f t="shared" si="45"/>
        <v>0</v>
      </c>
      <c r="L194" s="319">
        <f t="shared" si="46"/>
        <v>0</v>
      </c>
      <c r="M194" s="336">
        <f t="shared" si="47"/>
        <v>0</v>
      </c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spans="1:26" ht="14.4">
      <c r="A195" s="326"/>
      <c r="B195" s="337" t="s">
        <v>293</v>
      </c>
      <c r="C195" s="227"/>
      <c r="D195" s="201"/>
      <c r="E195" s="201"/>
      <c r="F195" s="202">
        <f t="shared" si="43"/>
        <v>0</v>
      </c>
      <c r="G195" s="203">
        <v>45000</v>
      </c>
      <c r="H195" s="203">
        <v>50000</v>
      </c>
      <c r="I195" s="204"/>
      <c r="J195" s="205">
        <f t="shared" si="44"/>
        <v>0</v>
      </c>
      <c r="K195" s="205">
        <f t="shared" si="45"/>
        <v>0</v>
      </c>
      <c r="L195" s="319">
        <f t="shared" si="46"/>
        <v>0</v>
      </c>
      <c r="M195" s="336">
        <f t="shared" si="47"/>
        <v>0</v>
      </c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spans="1:26" ht="14.4">
      <c r="A196" s="326"/>
      <c r="B196" s="337" t="s">
        <v>65</v>
      </c>
      <c r="C196" s="227">
        <f>14</f>
        <v>14</v>
      </c>
      <c r="D196" s="201"/>
      <c r="E196" s="201"/>
      <c r="F196" s="202">
        <f t="shared" si="43"/>
        <v>14</v>
      </c>
      <c r="G196" s="203">
        <v>54200</v>
      </c>
      <c r="H196" s="203">
        <v>62500</v>
      </c>
      <c r="I196" s="204"/>
      <c r="J196" s="205">
        <f t="shared" si="44"/>
        <v>0</v>
      </c>
      <c r="K196" s="205">
        <f t="shared" si="45"/>
        <v>0</v>
      </c>
      <c r="L196" s="319">
        <f t="shared" si="46"/>
        <v>758800</v>
      </c>
      <c r="M196" s="336">
        <f t="shared" si="47"/>
        <v>875000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spans="1:26" ht="14.4">
      <c r="A197" s="326"/>
      <c r="B197" s="337" t="s">
        <v>294</v>
      </c>
      <c r="C197" s="227">
        <v>3</v>
      </c>
      <c r="D197" s="201"/>
      <c r="E197" s="201"/>
      <c r="F197" s="202">
        <f t="shared" si="43"/>
        <v>3</v>
      </c>
      <c r="G197" s="203">
        <v>36000</v>
      </c>
      <c r="H197" s="203">
        <v>42000</v>
      </c>
      <c r="I197" s="204"/>
      <c r="J197" s="205">
        <f t="shared" si="44"/>
        <v>0</v>
      </c>
      <c r="K197" s="205">
        <f t="shared" si="45"/>
        <v>0</v>
      </c>
      <c r="L197" s="319">
        <f t="shared" si="46"/>
        <v>108000</v>
      </c>
      <c r="M197" s="336">
        <f t="shared" si="47"/>
        <v>126000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spans="1:26" ht="14.4">
      <c r="A198" s="326"/>
      <c r="B198" s="337" t="s">
        <v>295</v>
      </c>
      <c r="C198" s="227">
        <v>5</v>
      </c>
      <c r="D198" s="201"/>
      <c r="E198" s="201"/>
      <c r="F198" s="202">
        <f t="shared" si="43"/>
        <v>5</v>
      </c>
      <c r="G198" s="203">
        <v>8700</v>
      </c>
      <c r="H198" s="203">
        <v>10000</v>
      </c>
      <c r="I198" s="204"/>
      <c r="J198" s="205">
        <f t="shared" si="44"/>
        <v>0</v>
      </c>
      <c r="K198" s="205">
        <f t="shared" si="45"/>
        <v>0</v>
      </c>
      <c r="L198" s="319">
        <f t="shared" si="46"/>
        <v>43500</v>
      </c>
      <c r="M198" s="336">
        <f t="shared" si="47"/>
        <v>50000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spans="1:26" ht="14.4">
      <c r="A199" s="326"/>
      <c r="B199" s="337" t="s">
        <v>296</v>
      </c>
      <c r="C199" s="227"/>
      <c r="D199" s="201"/>
      <c r="E199" s="201"/>
      <c r="F199" s="202">
        <f t="shared" si="43"/>
        <v>0</v>
      </c>
      <c r="G199" s="203">
        <v>52200</v>
      </c>
      <c r="H199" s="203">
        <v>62500</v>
      </c>
      <c r="I199" s="204"/>
      <c r="J199" s="205">
        <f t="shared" si="44"/>
        <v>0</v>
      </c>
      <c r="K199" s="205">
        <f t="shared" si="45"/>
        <v>0</v>
      </c>
      <c r="L199" s="319">
        <f t="shared" si="46"/>
        <v>0</v>
      </c>
      <c r="M199" s="336">
        <f t="shared" si="47"/>
        <v>0</v>
      </c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spans="1:26" ht="14.4">
      <c r="A200" s="326"/>
      <c r="B200" s="337" t="s">
        <v>297</v>
      </c>
      <c r="C200" s="227"/>
      <c r="D200" s="201"/>
      <c r="E200" s="201"/>
      <c r="F200" s="202">
        <f t="shared" si="43"/>
        <v>0</v>
      </c>
      <c r="G200" s="203">
        <v>43400</v>
      </c>
      <c r="H200" s="203">
        <v>50000</v>
      </c>
      <c r="I200" s="204"/>
      <c r="J200" s="205">
        <f t="shared" si="44"/>
        <v>0</v>
      </c>
      <c r="K200" s="205">
        <f t="shared" si="45"/>
        <v>0</v>
      </c>
      <c r="L200" s="319">
        <f t="shared" si="46"/>
        <v>0</v>
      </c>
      <c r="M200" s="336">
        <f t="shared" si="47"/>
        <v>0</v>
      </c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spans="1:26" ht="14.4">
      <c r="A201" s="326"/>
      <c r="B201" s="337" t="s">
        <v>298</v>
      </c>
      <c r="C201" s="229">
        <v>3</v>
      </c>
      <c r="D201" s="201"/>
      <c r="E201" s="201"/>
      <c r="F201" s="202">
        <f t="shared" si="43"/>
        <v>3</v>
      </c>
      <c r="G201" s="203">
        <v>30000</v>
      </c>
      <c r="H201" s="203">
        <v>32000</v>
      </c>
      <c r="I201" s="204"/>
      <c r="J201" s="205">
        <f t="shared" si="44"/>
        <v>0</v>
      </c>
      <c r="K201" s="205">
        <f t="shared" si="45"/>
        <v>0</v>
      </c>
      <c r="L201" s="319">
        <f t="shared" si="46"/>
        <v>90000</v>
      </c>
      <c r="M201" s="336">
        <f t="shared" si="47"/>
        <v>96000</v>
      </c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spans="1:26" ht="14.4">
      <c r="A202" s="326"/>
      <c r="B202" s="337" t="s">
        <v>299</v>
      </c>
      <c r="C202" s="229">
        <v>3</v>
      </c>
      <c r="D202" s="201"/>
      <c r="E202" s="201"/>
      <c r="F202" s="202">
        <f t="shared" si="43"/>
        <v>3</v>
      </c>
      <c r="G202" s="203">
        <v>35000</v>
      </c>
      <c r="H202" s="203">
        <v>36500</v>
      </c>
      <c r="I202" s="204"/>
      <c r="J202" s="205">
        <f t="shared" si="44"/>
        <v>0</v>
      </c>
      <c r="K202" s="205">
        <f t="shared" si="45"/>
        <v>0</v>
      </c>
      <c r="L202" s="319">
        <f t="shared" si="46"/>
        <v>105000</v>
      </c>
      <c r="M202" s="336">
        <f t="shared" si="47"/>
        <v>109500</v>
      </c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spans="1:26" ht="14.4">
      <c r="A203" s="326"/>
      <c r="B203" s="337" t="s">
        <v>300</v>
      </c>
      <c r="C203" s="229">
        <v>4</v>
      </c>
      <c r="D203" s="201"/>
      <c r="E203" s="201"/>
      <c r="F203" s="202">
        <f t="shared" si="43"/>
        <v>4</v>
      </c>
      <c r="G203" s="203">
        <v>27000</v>
      </c>
      <c r="H203" s="203">
        <v>30000</v>
      </c>
      <c r="I203" s="204"/>
      <c r="J203" s="205">
        <f t="shared" si="44"/>
        <v>0</v>
      </c>
      <c r="K203" s="205">
        <f t="shared" si="45"/>
        <v>0</v>
      </c>
      <c r="L203" s="319">
        <f t="shared" si="46"/>
        <v>108000</v>
      </c>
      <c r="M203" s="336">
        <f t="shared" si="47"/>
        <v>120000</v>
      </c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spans="1:26" ht="14.4">
      <c r="A204" s="326"/>
      <c r="B204" s="337" t="s">
        <v>301</v>
      </c>
      <c r="C204" s="227">
        <v>79.5</v>
      </c>
      <c r="D204" s="201"/>
      <c r="E204" s="201"/>
      <c r="F204" s="202">
        <f t="shared" si="43"/>
        <v>79.5</v>
      </c>
      <c r="G204" s="203">
        <v>16700</v>
      </c>
      <c r="H204" s="203">
        <v>19200</v>
      </c>
      <c r="I204" s="204"/>
      <c r="J204" s="205">
        <f t="shared" si="44"/>
        <v>0</v>
      </c>
      <c r="K204" s="205">
        <f t="shared" si="45"/>
        <v>0</v>
      </c>
      <c r="L204" s="319">
        <f t="shared" si="46"/>
        <v>1327650</v>
      </c>
      <c r="M204" s="336">
        <f t="shared" si="47"/>
        <v>1526400</v>
      </c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spans="1:26" ht="14.4">
      <c r="A205" s="326"/>
      <c r="B205" s="337" t="s">
        <v>302</v>
      </c>
      <c r="C205" s="227">
        <f>127</f>
        <v>127</v>
      </c>
      <c r="D205" s="201"/>
      <c r="E205" s="201"/>
      <c r="F205" s="202">
        <f t="shared" si="43"/>
        <v>127</v>
      </c>
      <c r="G205" s="203">
        <v>57000</v>
      </c>
      <c r="H205" s="203">
        <v>65000</v>
      </c>
      <c r="I205" s="204"/>
      <c r="J205" s="205">
        <f t="shared" si="44"/>
        <v>0</v>
      </c>
      <c r="K205" s="205">
        <f t="shared" si="45"/>
        <v>0</v>
      </c>
      <c r="L205" s="319">
        <f t="shared" si="46"/>
        <v>7239000</v>
      </c>
      <c r="M205" s="336">
        <f t="shared" si="47"/>
        <v>8255000</v>
      </c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spans="1:26" ht="14.4">
      <c r="A206" s="326"/>
      <c r="B206" s="337" t="s">
        <v>303</v>
      </c>
      <c r="C206" s="227">
        <v>27</v>
      </c>
      <c r="D206" s="201"/>
      <c r="E206" s="201"/>
      <c r="F206" s="202">
        <f t="shared" si="43"/>
        <v>27</v>
      </c>
      <c r="G206" s="203">
        <v>43000</v>
      </c>
      <c r="H206" s="203">
        <v>45000</v>
      </c>
      <c r="I206" s="204"/>
      <c r="J206" s="205">
        <f t="shared" si="44"/>
        <v>0</v>
      </c>
      <c r="K206" s="205">
        <f t="shared" si="45"/>
        <v>0</v>
      </c>
      <c r="L206" s="319">
        <f t="shared" si="46"/>
        <v>1161000</v>
      </c>
      <c r="M206" s="336">
        <f t="shared" si="47"/>
        <v>1215000</v>
      </c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spans="1:26" ht="14.4">
      <c r="A207" s="326"/>
      <c r="B207" s="337" t="s">
        <v>304</v>
      </c>
      <c r="C207" s="227">
        <v>3</v>
      </c>
      <c r="D207" s="201"/>
      <c r="E207" s="201"/>
      <c r="F207" s="202">
        <f t="shared" si="43"/>
        <v>3</v>
      </c>
      <c r="G207" s="203">
        <v>45700</v>
      </c>
      <c r="H207" s="203">
        <v>50000</v>
      </c>
      <c r="I207" s="204"/>
      <c r="J207" s="205">
        <f t="shared" si="44"/>
        <v>0</v>
      </c>
      <c r="K207" s="205">
        <f t="shared" si="45"/>
        <v>0</v>
      </c>
      <c r="L207" s="319">
        <f t="shared" si="46"/>
        <v>137100</v>
      </c>
      <c r="M207" s="336">
        <f t="shared" si="47"/>
        <v>150000</v>
      </c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spans="1:26" ht="14.4">
      <c r="A208" s="326"/>
      <c r="B208" s="337" t="s">
        <v>305</v>
      </c>
      <c r="C208" s="227">
        <v>9.5</v>
      </c>
      <c r="D208" s="201"/>
      <c r="E208" s="201"/>
      <c r="F208" s="202">
        <f t="shared" si="43"/>
        <v>9.5</v>
      </c>
      <c r="G208" s="203">
        <v>48000</v>
      </c>
      <c r="H208" s="203">
        <v>55000</v>
      </c>
      <c r="I208" s="204"/>
      <c r="J208" s="205">
        <f t="shared" si="44"/>
        <v>0</v>
      </c>
      <c r="K208" s="205">
        <f t="shared" si="45"/>
        <v>0</v>
      </c>
      <c r="L208" s="319">
        <f t="shared" si="46"/>
        <v>456000</v>
      </c>
      <c r="M208" s="336">
        <f t="shared" si="47"/>
        <v>522500</v>
      </c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spans="1:26" ht="14.4">
      <c r="A209" s="326"/>
      <c r="B209" s="337" t="s">
        <v>306</v>
      </c>
      <c r="C209" s="227">
        <v>55</v>
      </c>
      <c r="D209" s="201"/>
      <c r="E209" s="201"/>
      <c r="F209" s="202">
        <f t="shared" si="43"/>
        <v>55</v>
      </c>
      <c r="G209" s="203">
        <v>27000</v>
      </c>
      <c r="H209" s="203">
        <v>30000</v>
      </c>
      <c r="I209" s="204"/>
      <c r="J209" s="205">
        <f t="shared" si="44"/>
        <v>0</v>
      </c>
      <c r="K209" s="205">
        <f t="shared" si="45"/>
        <v>0</v>
      </c>
      <c r="L209" s="319">
        <f t="shared" si="46"/>
        <v>1485000</v>
      </c>
      <c r="M209" s="336">
        <f t="shared" si="47"/>
        <v>1650000</v>
      </c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spans="1:26" ht="14.4">
      <c r="A210" s="326"/>
      <c r="B210" s="337" t="s">
        <v>307</v>
      </c>
      <c r="C210" s="227"/>
      <c r="D210" s="201"/>
      <c r="E210" s="201"/>
      <c r="F210" s="202">
        <f t="shared" si="43"/>
        <v>0</v>
      </c>
      <c r="G210" s="203">
        <v>37000</v>
      </c>
      <c r="H210" s="203">
        <v>45000</v>
      </c>
      <c r="I210" s="204"/>
      <c r="J210" s="205">
        <f t="shared" si="44"/>
        <v>0</v>
      </c>
      <c r="K210" s="205">
        <f t="shared" si="45"/>
        <v>0</v>
      </c>
      <c r="L210" s="319">
        <f t="shared" si="46"/>
        <v>0</v>
      </c>
      <c r="M210" s="336">
        <f t="shared" si="47"/>
        <v>0</v>
      </c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spans="1:26" ht="14.4">
      <c r="A211" s="326"/>
      <c r="B211" s="337" t="s">
        <v>308</v>
      </c>
      <c r="C211" s="227">
        <v>26</v>
      </c>
      <c r="D211" s="201"/>
      <c r="E211" s="201"/>
      <c r="F211" s="202">
        <f t="shared" si="43"/>
        <v>26</v>
      </c>
      <c r="G211" s="203">
        <v>33000</v>
      </c>
      <c r="H211" s="203">
        <v>35000</v>
      </c>
      <c r="I211" s="204"/>
      <c r="J211" s="205">
        <f t="shared" si="44"/>
        <v>0</v>
      </c>
      <c r="K211" s="205">
        <f t="shared" si="45"/>
        <v>0</v>
      </c>
      <c r="L211" s="319">
        <f t="shared" si="46"/>
        <v>858000</v>
      </c>
      <c r="M211" s="336">
        <f t="shared" si="47"/>
        <v>910000</v>
      </c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spans="1:26" ht="14.4">
      <c r="A212" s="326"/>
      <c r="B212" s="337" t="s">
        <v>309</v>
      </c>
      <c r="C212" s="227">
        <v>16</v>
      </c>
      <c r="D212" s="201"/>
      <c r="E212" s="201"/>
      <c r="F212" s="202">
        <f t="shared" si="43"/>
        <v>16</v>
      </c>
      <c r="G212" s="203">
        <v>14000</v>
      </c>
      <c r="H212" s="203">
        <v>16000</v>
      </c>
      <c r="I212" s="204"/>
      <c r="J212" s="205">
        <f t="shared" si="44"/>
        <v>0</v>
      </c>
      <c r="K212" s="205">
        <f t="shared" si="45"/>
        <v>0</v>
      </c>
      <c r="L212" s="319">
        <f t="shared" si="46"/>
        <v>224000</v>
      </c>
      <c r="M212" s="336">
        <f t="shared" si="47"/>
        <v>256000</v>
      </c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spans="1:26" ht="14.4">
      <c r="A213" s="326"/>
      <c r="B213" s="337" t="s">
        <v>310</v>
      </c>
      <c r="C213" s="229">
        <v>0.5</v>
      </c>
      <c r="D213" s="201"/>
      <c r="E213" s="201"/>
      <c r="F213" s="202">
        <f t="shared" si="43"/>
        <v>0.5</v>
      </c>
      <c r="G213" s="203">
        <v>39300</v>
      </c>
      <c r="H213" s="203">
        <v>45000</v>
      </c>
      <c r="I213" s="204"/>
      <c r="J213" s="205">
        <f t="shared" si="44"/>
        <v>0</v>
      </c>
      <c r="K213" s="205">
        <f t="shared" si="45"/>
        <v>0</v>
      </c>
      <c r="L213" s="319">
        <f t="shared" si="46"/>
        <v>19650</v>
      </c>
      <c r="M213" s="336">
        <f t="shared" si="47"/>
        <v>22500</v>
      </c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spans="1:26" ht="14.4">
      <c r="A214" s="326"/>
      <c r="B214" s="337" t="s">
        <v>311</v>
      </c>
      <c r="C214" s="227"/>
      <c r="D214" s="201"/>
      <c r="E214" s="201"/>
      <c r="F214" s="202">
        <f t="shared" si="43"/>
        <v>0</v>
      </c>
      <c r="G214" s="203">
        <v>11800</v>
      </c>
      <c r="H214" s="203">
        <v>15500</v>
      </c>
      <c r="I214" s="204"/>
      <c r="J214" s="205">
        <f t="shared" si="44"/>
        <v>0</v>
      </c>
      <c r="K214" s="205">
        <f t="shared" si="45"/>
        <v>0</v>
      </c>
      <c r="L214" s="319">
        <f t="shared" si="46"/>
        <v>0</v>
      </c>
      <c r="M214" s="336">
        <f t="shared" si="47"/>
        <v>0</v>
      </c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spans="1:26" ht="14.4">
      <c r="A215" s="326"/>
      <c r="B215" s="230" t="s">
        <v>312</v>
      </c>
      <c r="C215" s="227">
        <v>2</v>
      </c>
      <c r="D215" s="201"/>
      <c r="E215" s="201"/>
      <c r="F215" s="202">
        <f t="shared" si="43"/>
        <v>2</v>
      </c>
      <c r="G215" s="203">
        <v>17000</v>
      </c>
      <c r="H215" s="203">
        <v>25000</v>
      </c>
      <c r="I215" s="204"/>
      <c r="J215" s="205">
        <f t="shared" si="44"/>
        <v>0</v>
      </c>
      <c r="K215" s="205">
        <f t="shared" si="45"/>
        <v>0</v>
      </c>
      <c r="L215" s="319">
        <f t="shared" si="46"/>
        <v>34000</v>
      </c>
      <c r="M215" s="336">
        <f t="shared" si="47"/>
        <v>50000</v>
      </c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spans="1:26" ht="14.4">
      <c r="A216" s="326"/>
      <c r="B216" s="337" t="s">
        <v>313</v>
      </c>
      <c r="C216" s="229">
        <v>1</v>
      </c>
      <c r="D216" s="201"/>
      <c r="E216" s="201"/>
      <c r="F216" s="202">
        <f t="shared" si="43"/>
        <v>1</v>
      </c>
      <c r="G216" s="203">
        <v>24500</v>
      </c>
      <c r="H216" s="203">
        <v>28000</v>
      </c>
      <c r="I216" s="204"/>
      <c r="J216" s="205">
        <f t="shared" si="44"/>
        <v>0</v>
      </c>
      <c r="K216" s="205">
        <f t="shared" si="45"/>
        <v>0</v>
      </c>
      <c r="L216" s="319">
        <f t="shared" si="46"/>
        <v>24500</v>
      </c>
      <c r="M216" s="336">
        <f t="shared" si="47"/>
        <v>28000</v>
      </c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spans="1:26" ht="14.4">
      <c r="A217" s="326"/>
      <c r="B217" s="337" t="s">
        <v>314</v>
      </c>
      <c r="C217" s="229">
        <v>3</v>
      </c>
      <c r="D217" s="201"/>
      <c r="E217" s="201"/>
      <c r="F217" s="202">
        <f t="shared" si="43"/>
        <v>3</v>
      </c>
      <c r="G217" s="203">
        <v>24500</v>
      </c>
      <c r="H217" s="203">
        <v>28000</v>
      </c>
      <c r="I217" s="204"/>
      <c r="J217" s="205">
        <f t="shared" si="44"/>
        <v>0</v>
      </c>
      <c r="K217" s="205">
        <f t="shared" si="45"/>
        <v>0</v>
      </c>
      <c r="L217" s="319">
        <f t="shared" si="46"/>
        <v>73500</v>
      </c>
      <c r="M217" s="336">
        <f t="shared" si="47"/>
        <v>84000</v>
      </c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spans="1:26" ht="14.4">
      <c r="A218" s="326"/>
      <c r="B218" s="337" t="s">
        <v>315</v>
      </c>
      <c r="C218" s="229"/>
      <c r="D218" s="201"/>
      <c r="E218" s="201"/>
      <c r="F218" s="202">
        <f t="shared" si="43"/>
        <v>0</v>
      </c>
      <c r="G218" s="203">
        <v>26200</v>
      </c>
      <c r="H218" s="203">
        <v>30000</v>
      </c>
      <c r="I218" s="204"/>
      <c r="J218" s="205">
        <f t="shared" si="44"/>
        <v>0</v>
      </c>
      <c r="K218" s="205">
        <f t="shared" si="45"/>
        <v>0</v>
      </c>
      <c r="L218" s="319">
        <f t="shared" si="46"/>
        <v>0</v>
      </c>
      <c r="M218" s="336">
        <f t="shared" si="47"/>
        <v>0</v>
      </c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spans="1:26" ht="14.4">
      <c r="A219" s="326"/>
      <c r="B219" s="337" t="s">
        <v>316</v>
      </c>
      <c r="C219" s="227">
        <v>56</v>
      </c>
      <c r="D219" s="201"/>
      <c r="E219" s="201"/>
      <c r="F219" s="202">
        <f t="shared" si="43"/>
        <v>56</v>
      </c>
      <c r="G219" s="203">
        <v>6600</v>
      </c>
      <c r="H219" s="203">
        <v>7000</v>
      </c>
      <c r="I219" s="204"/>
      <c r="J219" s="205">
        <f t="shared" si="44"/>
        <v>0</v>
      </c>
      <c r="K219" s="205">
        <f t="shared" si="45"/>
        <v>0</v>
      </c>
      <c r="L219" s="319">
        <f t="shared" si="46"/>
        <v>369600</v>
      </c>
      <c r="M219" s="336">
        <f t="shared" si="47"/>
        <v>392000</v>
      </c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spans="1:26" ht="14.4">
      <c r="A220" s="326"/>
      <c r="B220" s="337" t="s">
        <v>317</v>
      </c>
      <c r="C220" s="227">
        <v>16</v>
      </c>
      <c r="D220" s="201"/>
      <c r="E220" s="201"/>
      <c r="F220" s="202">
        <f t="shared" si="43"/>
        <v>16</v>
      </c>
      <c r="G220" s="203">
        <v>15200</v>
      </c>
      <c r="H220" s="203">
        <v>19000</v>
      </c>
      <c r="I220" s="204"/>
      <c r="J220" s="205">
        <f t="shared" si="44"/>
        <v>0</v>
      </c>
      <c r="K220" s="205">
        <f t="shared" si="45"/>
        <v>0</v>
      </c>
      <c r="L220" s="319">
        <f t="shared" si="46"/>
        <v>243200</v>
      </c>
      <c r="M220" s="336">
        <f t="shared" si="47"/>
        <v>304000</v>
      </c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spans="1:26" ht="14.4">
      <c r="A221" s="326"/>
      <c r="B221" s="337" t="s">
        <v>318</v>
      </c>
      <c r="C221" s="227">
        <f>7</f>
        <v>7</v>
      </c>
      <c r="D221" s="201"/>
      <c r="E221" s="201"/>
      <c r="F221" s="202">
        <f t="shared" si="43"/>
        <v>7</v>
      </c>
      <c r="G221" s="203">
        <v>38300</v>
      </c>
      <c r="H221" s="203">
        <v>45000</v>
      </c>
      <c r="I221" s="204"/>
      <c r="J221" s="205">
        <f t="shared" si="44"/>
        <v>0</v>
      </c>
      <c r="K221" s="205">
        <f t="shared" si="45"/>
        <v>0</v>
      </c>
      <c r="L221" s="319">
        <f t="shared" si="46"/>
        <v>268100</v>
      </c>
      <c r="M221" s="336">
        <f t="shared" si="47"/>
        <v>315000</v>
      </c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spans="1:26" ht="14.4">
      <c r="A222" s="326"/>
      <c r="B222" s="337" t="s">
        <v>319</v>
      </c>
      <c r="C222" s="229">
        <v>6</v>
      </c>
      <c r="D222" s="201"/>
      <c r="E222" s="201"/>
      <c r="F222" s="202">
        <f t="shared" si="43"/>
        <v>6</v>
      </c>
      <c r="G222" s="203">
        <v>34900</v>
      </c>
      <c r="H222" s="203">
        <v>40000</v>
      </c>
      <c r="I222" s="204"/>
      <c r="J222" s="205">
        <f t="shared" si="44"/>
        <v>0</v>
      </c>
      <c r="K222" s="205">
        <f t="shared" si="45"/>
        <v>0</v>
      </c>
      <c r="L222" s="319">
        <f t="shared" si="46"/>
        <v>209400</v>
      </c>
      <c r="M222" s="336">
        <f t="shared" si="47"/>
        <v>240000</v>
      </c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spans="1:26" ht="14.4">
      <c r="A223" s="326"/>
      <c r="B223" s="337" t="s">
        <v>320</v>
      </c>
      <c r="C223" s="227">
        <v>2.5</v>
      </c>
      <c r="D223" s="201"/>
      <c r="E223" s="201"/>
      <c r="F223" s="202">
        <f t="shared" si="43"/>
        <v>2.5</v>
      </c>
      <c r="G223" s="203">
        <v>28800</v>
      </c>
      <c r="H223" s="203">
        <v>36000</v>
      </c>
      <c r="I223" s="204"/>
      <c r="J223" s="205">
        <f t="shared" si="44"/>
        <v>0</v>
      </c>
      <c r="K223" s="205">
        <f t="shared" si="45"/>
        <v>0</v>
      </c>
      <c r="L223" s="319">
        <f t="shared" si="46"/>
        <v>72000</v>
      </c>
      <c r="M223" s="336">
        <f t="shared" si="47"/>
        <v>90000</v>
      </c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spans="1:26" ht="14.4">
      <c r="A224" s="326"/>
      <c r="B224" s="337" t="s">
        <v>321</v>
      </c>
      <c r="C224" s="227">
        <v>1</v>
      </c>
      <c r="D224" s="201"/>
      <c r="E224" s="201"/>
      <c r="F224" s="202">
        <f t="shared" si="43"/>
        <v>1</v>
      </c>
      <c r="G224" s="203">
        <v>11600</v>
      </c>
      <c r="H224" s="203">
        <v>15500</v>
      </c>
      <c r="I224" s="204"/>
      <c r="J224" s="205">
        <f t="shared" si="44"/>
        <v>0</v>
      </c>
      <c r="K224" s="205">
        <f t="shared" si="45"/>
        <v>0</v>
      </c>
      <c r="L224" s="319">
        <f t="shared" si="46"/>
        <v>11600</v>
      </c>
      <c r="M224" s="336">
        <f t="shared" si="47"/>
        <v>15500</v>
      </c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spans="1:26" ht="14.4">
      <c r="A225" s="326"/>
      <c r="B225" s="337" t="s">
        <v>322</v>
      </c>
      <c r="C225" s="229">
        <v>3</v>
      </c>
      <c r="D225" s="201"/>
      <c r="E225" s="201"/>
      <c r="F225" s="202">
        <f t="shared" si="43"/>
        <v>3</v>
      </c>
      <c r="G225" s="203">
        <v>31900</v>
      </c>
      <c r="H225" s="203">
        <v>40000</v>
      </c>
      <c r="I225" s="204"/>
      <c r="J225" s="205">
        <f t="shared" si="44"/>
        <v>0</v>
      </c>
      <c r="K225" s="205">
        <f t="shared" si="45"/>
        <v>0</v>
      </c>
      <c r="L225" s="319">
        <f t="shared" si="46"/>
        <v>95700</v>
      </c>
      <c r="M225" s="336">
        <f t="shared" si="47"/>
        <v>120000</v>
      </c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spans="1:26" ht="14.4">
      <c r="A226" s="326"/>
      <c r="B226" s="337" t="s">
        <v>323</v>
      </c>
      <c r="C226" s="227">
        <v>2</v>
      </c>
      <c r="D226" s="201"/>
      <c r="E226" s="201"/>
      <c r="F226" s="202">
        <f t="shared" si="43"/>
        <v>2</v>
      </c>
      <c r="G226" s="203">
        <v>50000</v>
      </c>
      <c r="H226" s="203">
        <v>62500</v>
      </c>
      <c r="I226" s="204"/>
      <c r="J226" s="205">
        <f t="shared" si="44"/>
        <v>0</v>
      </c>
      <c r="K226" s="205">
        <f t="shared" si="45"/>
        <v>0</v>
      </c>
      <c r="L226" s="319">
        <f t="shared" si="46"/>
        <v>100000</v>
      </c>
      <c r="M226" s="336">
        <f t="shared" si="47"/>
        <v>125000</v>
      </c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spans="1:26" ht="14.4">
      <c r="A227" s="326"/>
      <c r="B227" s="337" t="s">
        <v>324</v>
      </c>
      <c r="C227" s="227">
        <v>15</v>
      </c>
      <c r="D227" s="201"/>
      <c r="E227" s="201"/>
      <c r="F227" s="202">
        <f t="shared" si="43"/>
        <v>15</v>
      </c>
      <c r="G227" s="203">
        <v>20100</v>
      </c>
      <c r="H227" s="203">
        <v>25000</v>
      </c>
      <c r="I227" s="204"/>
      <c r="J227" s="205">
        <f t="shared" si="44"/>
        <v>0</v>
      </c>
      <c r="K227" s="205">
        <f t="shared" si="45"/>
        <v>0</v>
      </c>
      <c r="L227" s="319">
        <f t="shared" si="46"/>
        <v>301500</v>
      </c>
      <c r="M227" s="336">
        <f t="shared" si="47"/>
        <v>375000</v>
      </c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spans="1:26" ht="14.4">
      <c r="A228" s="326"/>
      <c r="B228" s="337" t="s">
        <v>325</v>
      </c>
      <c r="C228" s="227"/>
      <c r="D228" s="201"/>
      <c r="E228" s="201"/>
      <c r="F228" s="202">
        <f t="shared" si="43"/>
        <v>0</v>
      </c>
      <c r="G228" s="203">
        <v>20100</v>
      </c>
      <c r="H228" s="203">
        <v>25000</v>
      </c>
      <c r="I228" s="204"/>
      <c r="J228" s="205">
        <f t="shared" si="44"/>
        <v>0</v>
      </c>
      <c r="K228" s="205">
        <f t="shared" si="45"/>
        <v>0</v>
      </c>
      <c r="L228" s="319">
        <f t="shared" si="46"/>
        <v>0</v>
      </c>
      <c r="M228" s="336">
        <f t="shared" si="47"/>
        <v>0</v>
      </c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spans="1:26" ht="14.4">
      <c r="A229" s="326"/>
      <c r="B229" s="337" t="s">
        <v>326</v>
      </c>
      <c r="C229" s="227"/>
      <c r="D229" s="201"/>
      <c r="E229" s="201"/>
      <c r="F229" s="202">
        <f t="shared" si="43"/>
        <v>0</v>
      </c>
      <c r="G229" s="203">
        <v>43600</v>
      </c>
      <c r="H229" s="203">
        <v>50000</v>
      </c>
      <c r="I229" s="204"/>
      <c r="J229" s="205">
        <f t="shared" si="44"/>
        <v>0</v>
      </c>
      <c r="K229" s="205">
        <f t="shared" si="45"/>
        <v>0</v>
      </c>
      <c r="L229" s="319">
        <f t="shared" si="46"/>
        <v>0</v>
      </c>
      <c r="M229" s="336">
        <f t="shared" si="47"/>
        <v>0</v>
      </c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spans="1:26" ht="14.4">
      <c r="A230" s="326"/>
      <c r="B230" s="337" t="s">
        <v>327</v>
      </c>
      <c r="C230" s="227">
        <v>2</v>
      </c>
      <c r="D230" s="201"/>
      <c r="E230" s="201"/>
      <c r="F230" s="202">
        <f t="shared" si="43"/>
        <v>2</v>
      </c>
      <c r="G230" s="203">
        <v>34000</v>
      </c>
      <c r="H230" s="203">
        <v>40000</v>
      </c>
      <c r="I230" s="204"/>
      <c r="J230" s="205">
        <f t="shared" si="44"/>
        <v>0</v>
      </c>
      <c r="K230" s="205">
        <f t="shared" si="45"/>
        <v>0</v>
      </c>
      <c r="L230" s="319">
        <f t="shared" si="46"/>
        <v>68000</v>
      </c>
      <c r="M230" s="336">
        <f t="shared" si="47"/>
        <v>80000</v>
      </c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spans="1:26" ht="14.4">
      <c r="A231" s="326"/>
      <c r="B231" s="337" t="s">
        <v>328</v>
      </c>
      <c r="C231" s="229">
        <v>4</v>
      </c>
      <c r="D231" s="201"/>
      <c r="E231" s="201"/>
      <c r="F231" s="202">
        <f t="shared" si="43"/>
        <v>4</v>
      </c>
      <c r="G231" s="203">
        <v>25000</v>
      </c>
      <c r="H231" s="203">
        <v>28000</v>
      </c>
      <c r="I231" s="204"/>
      <c r="J231" s="205">
        <f t="shared" si="44"/>
        <v>0</v>
      </c>
      <c r="K231" s="205">
        <f t="shared" si="45"/>
        <v>0</v>
      </c>
      <c r="L231" s="319">
        <f t="shared" si="46"/>
        <v>100000</v>
      </c>
      <c r="M231" s="336">
        <f t="shared" si="47"/>
        <v>112000</v>
      </c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spans="1:26" ht="14.4">
      <c r="A232" s="326"/>
      <c r="B232" s="337" t="s">
        <v>329</v>
      </c>
      <c r="C232" s="227">
        <v>6</v>
      </c>
      <c r="D232" s="201"/>
      <c r="E232" s="201"/>
      <c r="F232" s="202">
        <f t="shared" si="43"/>
        <v>6</v>
      </c>
      <c r="G232" s="203">
        <v>20100</v>
      </c>
      <c r="H232" s="203">
        <v>25000</v>
      </c>
      <c r="I232" s="204"/>
      <c r="J232" s="205">
        <f t="shared" si="44"/>
        <v>0</v>
      </c>
      <c r="K232" s="205">
        <f t="shared" si="45"/>
        <v>0</v>
      </c>
      <c r="L232" s="319">
        <f t="shared" si="46"/>
        <v>120600</v>
      </c>
      <c r="M232" s="336">
        <f t="shared" si="47"/>
        <v>150000</v>
      </c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spans="1:26" ht="14.4">
      <c r="A233" s="326"/>
      <c r="B233" s="337" t="s">
        <v>330</v>
      </c>
      <c r="C233" s="227">
        <v>2</v>
      </c>
      <c r="D233" s="201"/>
      <c r="E233" s="201"/>
      <c r="F233" s="202">
        <f t="shared" si="43"/>
        <v>2</v>
      </c>
      <c r="G233" s="203">
        <v>50000</v>
      </c>
      <c r="H233" s="203">
        <v>62500</v>
      </c>
      <c r="I233" s="204"/>
      <c r="J233" s="205">
        <f t="shared" si="44"/>
        <v>0</v>
      </c>
      <c r="K233" s="205">
        <f t="shared" si="45"/>
        <v>0</v>
      </c>
      <c r="L233" s="319">
        <f t="shared" si="46"/>
        <v>100000</v>
      </c>
      <c r="M233" s="336">
        <f t="shared" si="47"/>
        <v>125000</v>
      </c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spans="1:26" ht="14.4">
      <c r="A234" s="326"/>
      <c r="B234" s="230" t="s">
        <v>331</v>
      </c>
      <c r="C234" s="227">
        <v>10</v>
      </c>
      <c r="D234" s="201"/>
      <c r="E234" s="201"/>
      <c r="F234" s="202">
        <f t="shared" si="43"/>
        <v>10</v>
      </c>
      <c r="G234" s="203">
        <v>6000</v>
      </c>
      <c r="H234" s="203">
        <v>8000</v>
      </c>
      <c r="I234" s="204"/>
      <c r="J234" s="205">
        <f t="shared" si="44"/>
        <v>0</v>
      </c>
      <c r="K234" s="205">
        <f t="shared" si="45"/>
        <v>0</v>
      </c>
      <c r="L234" s="319">
        <f t="shared" si="46"/>
        <v>60000</v>
      </c>
      <c r="M234" s="336">
        <f t="shared" si="47"/>
        <v>80000</v>
      </c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spans="1:26" ht="14.4">
      <c r="A235" s="326"/>
      <c r="B235" s="337" t="s">
        <v>332</v>
      </c>
      <c r="C235" s="227">
        <f>3</f>
        <v>3</v>
      </c>
      <c r="D235" s="201"/>
      <c r="E235" s="201"/>
      <c r="F235" s="202">
        <f t="shared" si="43"/>
        <v>3</v>
      </c>
      <c r="G235" s="203">
        <v>36000</v>
      </c>
      <c r="H235" s="203">
        <v>45000</v>
      </c>
      <c r="I235" s="204"/>
      <c r="J235" s="205">
        <f t="shared" si="44"/>
        <v>0</v>
      </c>
      <c r="K235" s="205">
        <f t="shared" si="45"/>
        <v>0</v>
      </c>
      <c r="L235" s="319">
        <f t="shared" si="46"/>
        <v>108000</v>
      </c>
      <c r="M235" s="336">
        <f t="shared" si="47"/>
        <v>135000</v>
      </c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spans="1:26" ht="14.4">
      <c r="A236" s="326"/>
      <c r="B236" s="337" t="s">
        <v>333</v>
      </c>
      <c r="C236" s="227"/>
      <c r="D236" s="201"/>
      <c r="E236" s="201"/>
      <c r="F236" s="202">
        <f t="shared" si="43"/>
        <v>0</v>
      </c>
      <c r="G236" s="203">
        <v>28800</v>
      </c>
      <c r="H236" s="203">
        <v>36000</v>
      </c>
      <c r="I236" s="204"/>
      <c r="J236" s="205">
        <f t="shared" si="44"/>
        <v>0</v>
      </c>
      <c r="K236" s="205">
        <f t="shared" si="45"/>
        <v>0</v>
      </c>
      <c r="L236" s="319">
        <f t="shared" si="46"/>
        <v>0</v>
      </c>
      <c r="M236" s="336">
        <f t="shared" si="47"/>
        <v>0</v>
      </c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spans="1:26" ht="14.4">
      <c r="A237" s="326"/>
      <c r="B237" s="337" t="s">
        <v>334</v>
      </c>
      <c r="C237" s="227">
        <v>3</v>
      </c>
      <c r="D237" s="201"/>
      <c r="E237" s="201"/>
      <c r="F237" s="202">
        <f t="shared" si="43"/>
        <v>3</v>
      </c>
      <c r="G237" s="203">
        <v>31900</v>
      </c>
      <c r="H237" s="203">
        <v>40000</v>
      </c>
      <c r="I237" s="204"/>
      <c r="J237" s="205">
        <f t="shared" si="44"/>
        <v>0</v>
      </c>
      <c r="K237" s="205">
        <f t="shared" si="45"/>
        <v>0</v>
      </c>
      <c r="L237" s="319">
        <f t="shared" si="46"/>
        <v>95700</v>
      </c>
      <c r="M237" s="336">
        <f t="shared" si="47"/>
        <v>120000</v>
      </c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spans="1:26" ht="14.4">
      <c r="A238" s="326"/>
      <c r="B238" s="337" t="s">
        <v>335</v>
      </c>
      <c r="C238" s="227">
        <v>2</v>
      </c>
      <c r="D238" s="201"/>
      <c r="E238" s="201"/>
      <c r="F238" s="202">
        <f t="shared" si="43"/>
        <v>2</v>
      </c>
      <c r="G238" s="203">
        <v>50000</v>
      </c>
      <c r="H238" s="203">
        <v>62500</v>
      </c>
      <c r="I238" s="204"/>
      <c r="J238" s="205">
        <f t="shared" si="44"/>
        <v>0</v>
      </c>
      <c r="K238" s="205">
        <f t="shared" si="45"/>
        <v>0</v>
      </c>
      <c r="L238" s="319">
        <f t="shared" si="46"/>
        <v>100000</v>
      </c>
      <c r="M238" s="336">
        <f t="shared" si="47"/>
        <v>125000</v>
      </c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spans="1:26" ht="14.4">
      <c r="A239" s="326"/>
      <c r="B239" s="337" t="s">
        <v>336</v>
      </c>
      <c r="C239" s="227">
        <v>3</v>
      </c>
      <c r="D239" s="201"/>
      <c r="E239" s="201"/>
      <c r="F239" s="202">
        <f t="shared" si="43"/>
        <v>3</v>
      </c>
      <c r="G239" s="203">
        <v>16400</v>
      </c>
      <c r="H239" s="203">
        <v>25000</v>
      </c>
      <c r="I239" s="204"/>
      <c r="J239" s="205">
        <f t="shared" si="44"/>
        <v>0</v>
      </c>
      <c r="K239" s="205">
        <f t="shared" si="45"/>
        <v>0</v>
      </c>
      <c r="L239" s="319">
        <f t="shared" si="46"/>
        <v>49200</v>
      </c>
      <c r="M239" s="336">
        <f t="shared" si="47"/>
        <v>75000</v>
      </c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spans="1:26" ht="14.4">
      <c r="A240" s="326"/>
      <c r="B240" s="337" t="s">
        <v>337</v>
      </c>
      <c r="C240" s="227">
        <v>3</v>
      </c>
      <c r="D240" s="201"/>
      <c r="E240" s="201"/>
      <c r="F240" s="202">
        <f t="shared" si="43"/>
        <v>3</v>
      </c>
      <c r="G240" s="203">
        <v>38300</v>
      </c>
      <c r="H240" s="203">
        <v>45000</v>
      </c>
      <c r="I240" s="204"/>
      <c r="J240" s="205">
        <f t="shared" si="44"/>
        <v>0</v>
      </c>
      <c r="K240" s="205">
        <f t="shared" si="45"/>
        <v>0</v>
      </c>
      <c r="L240" s="319">
        <f t="shared" si="46"/>
        <v>114900</v>
      </c>
      <c r="M240" s="336">
        <f t="shared" si="47"/>
        <v>135000</v>
      </c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spans="1:26" ht="14.4">
      <c r="A241" s="326"/>
      <c r="B241" s="337" t="s">
        <v>338</v>
      </c>
      <c r="C241" s="227"/>
      <c r="D241" s="201"/>
      <c r="E241" s="201"/>
      <c r="F241" s="202">
        <f t="shared" si="43"/>
        <v>0</v>
      </c>
      <c r="G241" s="203">
        <v>10500</v>
      </c>
      <c r="H241" s="338">
        <v>15000</v>
      </c>
      <c r="I241" s="204"/>
      <c r="J241" s="205">
        <f t="shared" si="44"/>
        <v>0</v>
      </c>
      <c r="K241" s="205">
        <f t="shared" si="45"/>
        <v>0</v>
      </c>
      <c r="L241" s="319">
        <f t="shared" si="46"/>
        <v>0</v>
      </c>
      <c r="M241" s="336">
        <f t="shared" si="47"/>
        <v>0</v>
      </c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spans="1:26" ht="14.4">
      <c r="A242" s="326"/>
      <c r="B242" s="337" t="s">
        <v>339</v>
      </c>
      <c r="C242" s="227">
        <v>1</v>
      </c>
      <c r="D242" s="201"/>
      <c r="E242" s="201"/>
      <c r="F242" s="202">
        <f t="shared" si="43"/>
        <v>1</v>
      </c>
      <c r="G242" s="338">
        <v>14000</v>
      </c>
      <c r="H242" s="338">
        <v>20000</v>
      </c>
      <c r="I242" s="204"/>
      <c r="J242" s="205">
        <f t="shared" si="44"/>
        <v>0</v>
      </c>
      <c r="K242" s="205">
        <f t="shared" si="45"/>
        <v>0</v>
      </c>
      <c r="L242" s="319">
        <f t="shared" si="46"/>
        <v>14000</v>
      </c>
      <c r="M242" s="336">
        <f t="shared" si="47"/>
        <v>20000</v>
      </c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spans="1:26" ht="14.4">
      <c r="A243" s="326"/>
      <c r="B243" s="337" t="s">
        <v>340</v>
      </c>
      <c r="C243" s="227">
        <v>1</v>
      </c>
      <c r="D243" s="201"/>
      <c r="E243" s="201"/>
      <c r="F243" s="202">
        <f t="shared" si="43"/>
        <v>1</v>
      </c>
      <c r="G243" s="239">
        <v>34900</v>
      </c>
      <c r="H243" s="239">
        <v>37500</v>
      </c>
      <c r="I243" s="213"/>
      <c r="J243" s="205">
        <f t="shared" si="44"/>
        <v>0</v>
      </c>
      <c r="K243" s="205">
        <f t="shared" si="45"/>
        <v>0</v>
      </c>
      <c r="L243" s="319">
        <f t="shared" si="46"/>
        <v>34900</v>
      </c>
      <c r="M243" s="336">
        <f t="shared" si="47"/>
        <v>37500</v>
      </c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spans="1:26" ht="14.4">
      <c r="A244" s="339"/>
      <c r="B244" s="340"/>
      <c r="C244" s="341"/>
      <c r="D244" s="341"/>
      <c r="E244" s="342">
        <f t="shared" ref="E244:H244" si="48">SUM(E177:E243)</f>
        <v>0</v>
      </c>
      <c r="F244" s="342">
        <f t="shared" si="48"/>
        <v>647</v>
      </c>
      <c r="G244" s="343">
        <f t="shared" si="48"/>
        <v>1794900</v>
      </c>
      <c r="H244" s="343">
        <f t="shared" si="48"/>
        <v>2131200</v>
      </c>
      <c r="I244" s="344"/>
      <c r="J244" s="345">
        <f t="shared" ref="J244:K244" si="49">SUM(J177:J243)</f>
        <v>0</v>
      </c>
      <c r="K244" s="345">
        <f t="shared" si="49"/>
        <v>0</v>
      </c>
      <c r="L244" s="346">
        <f>SUM(L184:L243)</f>
        <v>18447300</v>
      </c>
      <c r="M244" s="347">
        <f>SUM(M177:M243)</f>
        <v>23935300</v>
      </c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spans="1:26" ht="14.4">
      <c r="A245" s="671" t="s">
        <v>341</v>
      </c>
      <c r="B245" s="230" t="s">
        <v>342</v>
      </c>
      <c r="C245" s="229">
        <v>5</v>
      </c>
      <c r="D245" s="201"/>
      <c r="E245" s="321"/>
      <c r="F245" s="202">
        <f t="shared" ref="F245:F324" si="50">+C245+D245-E245</f>
        <v>5</v>
      </c>
      <c r="G245" s="203">
        <v>22400</v>
      </c>
      <c r="H245" s="203">
        <v>25000</v>
      </c>
      <c r="I245" s="224"/>
      <c r="J245" s="205">
        <f t="shared" ref="J245:J299" si="51">+I245*H245</f>
        <v>0</v>
      </c>
      <c r="K245" s="205">
        <f t="shared" ref="K245:K306" si="52">+(H245-G245)*I245</f>
        <v>0</v>
      </c>
      <c r="L245" s="323">
        <f t="shared" ref="L245:L306" si="53">+G245*F245</f>
        <v>112000</v>
      </c>
      <c r="M245" s="348">
        <f t="shared" ref="M245:M306" si="54">F245*H245</f>
        <v>125000</v>
      </c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spans="1:26" ht="14.4">
      <c r="A246" s="672"/>
      <c r="B246" s="230" t="s">
        <v>343</v>
      </c>
      <c r="C246" s="227">
        <v>4</v>
      </c>
      <c r="D246" s="201"/>
      <c r="E246" s="321"/>
      <c r="F246" s="202">
        <f t="shared" si="50"/>
        <v>4</v>
      </c>
      <c r="G246" s="203">
        <v>15000</v>
      </c>
      <c r="H246" s="203">
        <v>17000</v>
      </c>
      <c r="I246" s="204"/>
      <c r="J246" s="205">
        <f t="shared" si="51"/>
        <v>0</v>
      </c>
      <c r="K246" s="205">
        <f t="shared" si="52"/>
        <v>0</v>
      </c>
      <c r="L246" s="323">
        <f t="shared" si="53"/>
        <v>60000</v>
      </c>
      <c r="M246" s="348">
        <f t="shared" si="54"/>
        <v>68000</v>
      </c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spans="1:26" ht="14.4">
      <c r="A247" s="672"/>
      <c r="B247" s="211" t="s">
        <v>344</v>
      </c>
      <c r="C247" s="227">
        <v>2</v>
      </c>
      <c r="D247" s="201"/>
      <c r="E247" s="321"/>
      <c r="F247" s="202">
        <f t="shared" si="50"/>
        <v>2</v>
      </c>
      <c r="G247" s="203">
        <v>16920</v>
      </c>
      <c r="H247" s="203">
        <v>19000</v>
      </c>
      <c r="I247" s="204"/>
      <c r="J247" s="205">
        <f t="shared" si="51"/>
        <v>0</v>
      </c>
      <c r="K247" s="205">
        <f t="shared" si="52"/>
        <v>0</v>
      </c>
      <c r="L247" s="323">
        <f t="shared" si="53"/>
        <v>33840</v>
      </c>
      <c r="M247" s="348">
        <f t="shared" si="54"/>
        <v>38000</v>
      </c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spans="1:26" ht="14.4">
      <c r="A248" s="672"/>
      <c r="B248" s="211" t="s">
        <v>345</v>
      </c>
      <c r="C248" s="229">
        <v>15</v>
      </c>
      <c r="D248" s="201"/>
      <c r="E248" s="321"/>
      <c r="F248" s="202">
        <f t="shared" si="50"/>
        <v>15</v>
      </c>
      <c r="G248" s="203">
        <v>9000</v>
      </c>
      <c r="H248" s="203">
        <v>10000</v>
      </c>
      <c r="I248" s="204"/>
      <c r="J248" s="205">
        <f t="shared" si="51"/>
        <v>0</v>
      </c>
      <c r="K248" s="205">
        <f t="shared" si="52"/>
        <v>0</v>
      </c>
      <c r="L248" s="323">
        <f t="shared" si="53"/>
        <v>135000</v>
      </c>
      <c r="M248" s="348">
        <f t="shared" si="54"/>
        <v>150000</v>
      </c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spans="1:26" ht="14.4">
      <c r="A249" s="672"/>
      <c r="B249" s="230" t="s">
        <v>346</v>
      </c>
      <c r="C249" s="229"/>
      <c r="D249" s="201"/>
      <c r="E249" s="321"/>
      <c r="F249" s="202">
        <f t="shared" si="50"/>
        <v>0</v>
      </c>
      <c r="G249" s="203">
        <v>15600</v>
      </c>
      <c r="H249" s="203">
        <v>16500</v>
      </c>
      <c r="I249" s="204"/>
      <c r="J249" s="205">
        <f t="shared" si="51"/>
        <v>0</v>
      </c>
      <c r="K249" s="205">
        <f t="shared" si="52"/>
        <v>0</v>
      </c>
      <c r="L249" s="323">
        <f t="shared" si="53"/>
        <v>0</v>
      </c>
      <c r="M249" s="348">
        <f t="shared" si="54"/>
        <v>0</v>
      </c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spans="1:26" ht="14.4">
      <c r="A250" s="672"/>
      <c r="B250" s="230" t="s">
        <v>347</v>
      </c>
      <c r="C250" s="227">
        <f>1+3</f>
        <v>4</v>
      </c>
      <c r="D250" s="201"/>
      <c r="E250" s="321"/>
      <c r="F250" s="202">
        <f t="shared" si="50"/>
        <v>4</v>
      </c>
      <c r="G250" s="203">
        <v>36000</v>
      </c>
      <c r="H250" s="203">
        <v>40600</v>
      </c>
      <c r="I250" s="204"/>
      <c r="J250" s="205">
        <f t="shared" si="51"/>
        <v>0</v>
      </c>
      <c r="K250" s="205">
        <f t="shared" si="52"/>
        <v>0</v>
      </c>
      <c r="L250" s="323">
        <f t="shared" si="53"/>
        <v>144000</v>
      </c>
      <c r="M250" s="348">
        <f t="shared" si="54"/>
        <v>162400</v>
      </c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spans="1:26" ht="14.4">
      <c r="A251" s="672"/>
      <c r="B251" s="230" t="s">
        <v>348</v>
      </c>
      <c r="C251" s="227">
        <f>1+6</f>
        <v>7</v>
      </c>
      <c r="D251" s="201"/>
      <c r="E251" s="321"/>
      <c r="F251" s="202">
        <f t="shared" si="50"/>
        <v>7</v>
      </c>
      <c r="G251" s="203">
        <v>46000</v>
      </c>
      <c r="H251" s="203">
        <v>51000</v>
      </c>
      <c r="I251" s="204"/>
      <c r="J251" s="205">
        <f t="shared" si="51"/>
        <v>0</v>
      </c>
      <c r="K251" s="205">
        <f t="shared" si="52"/>
        <v>0</v>
      </c>
      <c r="L251" s="323">
        <f t="shared" si="53"/>
        <v>322000</v>
      </c>
      <c r="M251" s="348">
        <f t="shared" si="54"/>
        <v>357000</v>
      </c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spans="1:26" ht="14.4">
      <c r="A252" s="672"/>
      <c r="B252" s="349" t="s">
        <v>349</v>
      </c>
      <c r="C252" s="229">
        <v>3</v>
      </c>
      <c r="D252" s="201"/>
      <c r="E252" s="321"/>
      <c r="F252" s="202">
        <f t="shared" si="50"/>
        <v>3</v>
      </c>
      <c r="G252" s="203">
        <v>45000</v>
      </c>
      <c r="H252" s="203">
        <v>50000</v>
      </c>
      <c r="I252" s="204"/>
      <c r="J252" s="205">
        <f t="shared" si="51"/>
        <v>0</v>
      </c>
      <c r="K252" s="205">
        <f t="shared" si="52"/>
        <v>0</v>
      </c>
      <c r="L252" s="323">
        <f t="shared" si="53"/>
        <v>135000</v>
      </c>
      <c r="M252" s="348">
        <f t="shared" si="54"/>
        <v>150000</v>
      </c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spans="1:26" ht="14.4">
      <c r="A253" s="672"/>
      <c r="B253" s="230" t="s">
        <v>350</v>
      </c>
      <c r="C253" s="229"/>
      <c r="D253" s="201"/>
      <c r="E253" s="321"/>
      <c r="F253" s="202">
        <f t="shared" si="50"/>
        <v>0</v>
      </c>
      <c r="G253" s="203">
        <v>25000</v>
      </c>
      <c r="H253" s="203">
        <v>25000</v>
      </c>
      <c r="I253" s="204"/>
      <c r="J253" s="205">
        <f t="shared" si="51"/>
        <v>0</v>
      </c>
      <c r="K253" s="205">
        <f t="shared" si="52"/>
        <v>0</v>
      </c>
      <c r="L253" s="323">
        <f t="shared" si="53"/>
        <v>0</v>
      </c>
      <c r="M253" s="348">
        <f t="shared" si="54"/>
        <v>0</v>
      </c>
      <c r="N253" s="191" t="s">
        <v>351</v>
      </c>
      <c r="O253" s="191" t="s">
        <v>124</v>
      </c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spans="1:26" ht="14.4">
      <c r="A254" s="672"/>
      <c r="B254" s="230" t="s">
        <v>352</v>
      </c>
      <c r="C254" s="227">
        <v>6</v>
      </c>
      <c r="D254" s="201"/>
      <c r="E254" s="321"/>
      <c r="F254" s="202">
        <f t="shared" si="50"/>
        <v>6</v>
      </c>
      <c r="G254" s="203">
        <v>44000</v>
      </c>
      <c r="H254" s="203">
        <v>50000</v>
      </c>
      <c r="I254" s="204"/>
      <c r="J254" s="205">
        <f t="shared" si="51"/>
        <v>0</v>
      </c>
      <c r="K254" s="205">
        <f t="shared" si="52"/>
        <v>0</v>
      </c>
      <c r="L254" s="323">
        <f t="shared" si="53"/>
        <v>264000</v>
      </c>
      <c r="M254" s="348">
        <f t="shared" si="54"/>
        <v>300000</v>
      </c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spans="1:26" ht="14.4">
      <c r="A255" s="672"/>
      <c r="B255" s="211" t="s">
        <v>353</v>
      </c>
      <c r="C255" s="229"/>
      <c r="D255" s="201"/>
      <c r="E255" s="321"/>
      <c r="F255" s="202">
        <f t="shared" si="50"/>
        <v>0</v>
      </c>
      <c r="G255" s="203">
        <v>3333</v>
      </c>
      <c r="H255" s="203">
        <v>3500</v>
      </c>
      <c r="I255" s="204"/>
      <c r="J255" s="205">
        <f t="shared" si="51"/>
        <v>0</v>
      </c>
      <c r="K255" s="205">
        <f t="shared" si="52"/>
        <v>0</v>
      </c>
      <c r="L255" s="323">
        <f t="shared" si="53"/>
        <v>0</v>
      </c>
      <c r="M255" s="348">
        <f t="shared" si="54"/>
        <v>0</v>
      </c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spans="1:26" ht="14.4">
      <c r="A256" s="672"/>
      <c r="B256" s="230" t="s">
        <v>354</v>
      </c>
      <c r="C256" s="227">
        <v>12</v>
      </c>
      <c r="D256" s="201"/>
      <c r="E256" s="321"/>
      <c r="F256" s="202">
        <f t="shared" si="50"/>
        <v>12</v>
      </c>
      <c r="G256" s="203">
        <v>6500</v>
      </c>
      <c r="H256" s="203">
        <v>7500</v>
      </c>
      <c r="I256" s="204"/>
      <c r="J256" s="205">
        <f t="shared" si="51"/>
        <v>0</v>
      </c>
      <c r="K256" s="205">
        <f t="shared" si="52"/>
        <v>0</v>
      </c>
      <c r="L256" s="323">
        <f t="shared" si="53"/>
        <v>78000</v>
      </c>
      <c r="M256" s="348">
        <f t="shared" si="54"/>
        <v>90000</v>
      </c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 spans="1:26" ht="14.4">
      <c r="A257" s="672"/>
      <c r="B257" s="230" t="s">
        <v>355</v>
      </c>
      <c r="C257" s="227">
        <v>16</v>
      </c>
      <c r="D257" s="201"/>
      <c r="E257" s="321"/>
      <c r="F257" s="202">
        <f t="shared" si="50"/>
        <v>16</v>
      </c>
      <c r="G257" s="203">
        <v>6700</v>
      </c>
      <c r="H257" s="203">
        <v>7500</v>
      </c>
      <c r="I257" s="204"/>
      <c r="J257" s="205">
        <f t="shared" si="51"/>
        <v>0</v>
      </c>
      <c r="K257" s="205">
        <f t="shared" si="52"/>
        <v>0</v>
      </c>
      <c r="L257" s="323">
        <f t="shared" si="53"/>
        <v>107200</v>
      </c>
      <c r="M257" s="348">
        <f t="shared" si="54"/>
        <v>120000</v>
      </c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 spans="1:26" ht="14.4">
      <c r="A258" s="672"/>
      <c r="B258" s="230" t="s">
        <v>356</v>
      </c>
      <c r="C258" s="227">
        <v>89</v>
      </c>
      <c r="D258" s="201"/>
      <c r="E258" s="321"/>
      <c r="F258" s="202">
        <f t="shared" si="50"/>
        <v>89</v>
      </c>
      <c r="G258" s="203">
        <v>10800</v>
      </c>
      <c r="H258" s="203">
        <v>13000</v>
      </c>
      <c r="I258" s="204"/>
      <c r="J258" s="205">
        <f t="shared" si="51"/>
        <v>0</v>
      </c>
      <c r="K258" s="205">
        <f t="shared" si="52"/>
        <v>0</v>
      </c>
      <c r="L258" s="323">
        <f t="shared" si="53"/>
        <v>961200</v>
      </c>
      <c r="M258" s="348">
        <f t="shared" si="54"/>
        <v>1157000</v>
      </c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 spans="1:26" ht="14.4">
      <c r="A259" s="672"/>
      <c r="B259" s="230" t="s">
        <v>357</v>
      </c>
      <c r="C259" s="227">
        <f>28</f>
        <v>28</v>
      </c>
      <c r="D259" s="201"/>
      <c r="E259" s="321"/>
      <c r="F259" s="202">
        <f t="shared" si="50"/>
        <v>28</v>
      </c>
      <c r="G259" s="203">
        <v>2000</v>
      </c>
      <c r="H259" s="203">
        <v>3000</v>
      </c>
      <c r="I259" s="204"/>
      <c r="J259" s="205">
        <f t="shared" si="51"/>
        <v>0</v>
      </c>
      <c r="K259" s="205">
        <f t="shared" si="52"/>
        <v>0</v>
      </c>
      <c r="L259" s="323">
        <f t="shared" si="53"/>
        <v>56000</v>
      </c>
      <c r="M259" s="348">
        <f t="shared" si="54"/>
        <v>84000</v>
      </c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 spans="1:26" ht="14.4">
      <c r="A260" s="672"/>
      <c r="B260" s="230" t="s">
        <v>358</v>
      </c>
      <c r="C260" s="227">
        <f>44+19</f>
        <v>63</v>
      </c>
      <c r="D260" s="201"/>
      <c r="E260" s="321"/>
      <c r="F260" s="202">
        <f t="shared" si="50"/>
        <v>63</v>
      </c>
      <c r="G260" s="203">
        <v>24000</v>
      </c>
      <c r="H260" s="203">
        <v>27700</v>
      </c>
      <c r="I260" s="204"/>
      <c r="J260" s="205">
        <f t="shared" si="51"/>
        <v>0</v>
      </c>
      <c r="K260" s="205">
        <f t="shared" si="52"/>
        <v>0</v>
      </c>
      <c r="L260" s="323">
        <f t="shared" si="53"/>
        <v>1512000</v>
      </c>
      <c r="M260" s="348">
        <f t="shared" si="54"/>
        <v>1745100</v>
      </c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 spans="1:26" ht="14.4">
      <c r="A261" s="672"/>
      <c r="B261" s="350" t="s">
        <v>359</v>
      </c>
      <c r="C261" s="227">
        <f>12+8</f>
        <v>20</v>
      </c>
      <c r="D261" s="201"/>
      <c r="E261" s="321"/>
      <c r="F261" s="202">
        <f t="shared" si="50"/>
        <v>20</v>
      </c>
      <c r="G261" s="351">
        <v>27000</v>
      </c>
      <c r="H261" s="351">
        <v>32000</v>
      </c>
      <c r="I261" s="204"/>
      <c r="J261" s="205">
        <f t="shared" si="51"/>
        <v>0</v>
      </c>
      <c r="K261" s="205">
        <f t="shared" si="52"/>
        <v>0</v>
      </c>
      <c r="L261" s="323">
        <f t="shared" si="53"/>
        <v>540000</v>
      </c>
      <c r="M261" s="348">
        <f t="shared" si="54"/>
        <v>640000</v>
      </c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spans="1:26" ht="14.4">
      <c r="A262" s="672"/>
      <c r="B262" s="230" t="s">
        <v>360</v>
      </c>
      <c r="C262" s="227">
        <v>9</v>
      </c>
      <c r="D262" s="201"/>
      <c r="E262" s="321"/>
      <c r="F262" s="202">
        <f t="shared" si="50"/>
        <v>9</v>
      </c>
      <c r="G262" s="203">
        <v>18000</v>
      </c>
      <c r="H262" s="203">
        <v>20000</v>
      </c>
      <c r="I262" s="204"/>
      <c r="J262" s="205">
        <f t="shared" si="51"/>
        <v>0</v>
      </c>
      <c r="K262" s="205">
        <f t="shared" si="52"/>
        <v>0</v>
      </c>
      <c r="L262" s="323">
        <f t="shared" si="53"/>
        <v>162000</v>
      </c>
      <c r="M262" s="348">
        <f t="shared" si="54"/>
        <v>180000</v>
      </c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spans="1:26" ht="14.4">
      <c r="A263" s="672"/>
      <c r="B263" s="230" t="s">
        <v>96</v>
      </c>
      <c r="C263" s="227">
        <v>29</v>
      </c>
      <c r="D263" s="201"/>
      <c r="E263" s="321"/>
      <c r="F263" s="202">
        <f t="shared" si="50"/>
        <v>29</v>
      </c>
      <c r="G263" s="203">
        <v>12000</v>
      </c>
      <c r="H263" s="203">
        <v>13500</v>
      </c>
      <c r="I263" s="204"/>
      <c r="J263" s="205">
        <f t="shared" si="51"/>
        <v>0</v>
      </c>
      <c r="K263" s="205">
        <f t="shared" si="52"/>
        <v>0</v>
      </c>
      <c r="L263" s="323">
        <f t="shared" si="53"/>
        <v>348000</v>
      </c>
      <c r="M263" s="348">
        <f t="shared" si="54"/>
        <v>391500</v>
      </c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spans="1:26" ht="14.4">
      <c r="A264" s="672"/>
      <c r="B264" s="230" t="s">
        <v>361</v>
      </c>
      <c r="C264" s="229">
        <v>58</v>
      </c>
      <c r="D264" s="201"/>
      <c r="E264" s="321"/>
      <c r="F264" s="202">
        <f t="shared" si="50"/>
        <v>58</v>
      </c>
      <c r="G264" s="203">
        <v>40000</v>
      </c>
      <c r="H264" s="203">
        <v>46000</v>
      </c>
      <c r="I264" s="204"/>
      <c r="J264" s="205">
        <f t="shared" si="51"/>
        <v>0</v>
      </c>
      <c r="K264" s="205">
        <f t="shared" si="52"/>
        <v>0</v>
      </c>
      <c r="L264" s="323">
        <f t="shared" si="53"/>
        <v>2320000</v>
      </c>
      <c r="M264" s="348">
        <f t="shared" si="54"/>
        <v>2668000</v>
      </c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spans="1:26" ht="14.4">
      <c r="A265" s="672"/>
      <c r="B265" s="230" t="s">
        <v>362</v>
      </c>
      <c r="C265" s="227">
        <v>15</v>
      </c>
      <c r="D265" s="201"/>
      <c r="E265" s="321"/>
      <c r="F265" s="202">
        <f t="shared" si="50"/>
        <v>15</v>
      </c>
      <c r="G265" s="203">
        <v>18000</v>
      </c>
      <c r="H265" s="203">
        <v>20000</v>
      </c>
      <c r="I265" s="204"/>
      <c r="J265" s="205">
        <f t="shared" si="51"/>
        <v>0</v>
      </c>
      <c r="K265" s="205">
        <f t="shared" si="52"/>
        <v>0</v>
      </c>
      <c r="L265" s="323">
        <f t="shared" si="53"/>
        <v>270000</v>
      </c>
      <c r="M265" s="348">
        <f t="shared" si="54"/>
        <v>300000</v>
      </c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spans="1:26" ht="14.4">
      <c r="A266" s="672"/>
      <c r="B266" s="230" t="s">
        <v>363</v>
      </c>
      <c r="C266" s="229">
        <v>150</v>
      </c>
      <c r="D266" s="201"/>
      <c r="E266" s="321"/>
      <c r="F266" s="202">
        <f t="shared" si="50"/>
        <v>150</v>
      </c>
      <c r="G266" s="203">
        <v>10400</v>
      </c>
      <c r="H266" s="203">
        <v>12000</v>
      </c>
      <c r="I266" s="204"/>
      <c r="J266" s="205">
        <f t="shared" si="51"/>
        <v>0</v>
      </c>
      <c r="K266" s="205">
        <f t="shared" si="52"/>
        <v>0</v>
      </c>
      <c r="L266" s="323">
        <f t="shared" si="53"/>
        <v>1560000</v>
      </c>
      <c r="M266" s="348">
        <f t="shared" si="54"/>
        <v>1800000</v>
      </c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spans="1:26" ht="14.4">
      <c r="A267" s="672"/>
      <c r="B267" s="230" t="s">
        <v>364</v>
      </c>
      <c r="C267" s="227">
        <v>14</v>
      </c>
      <c r="D267" s="201"/>
      <c r="E267" s="321"/>
      <c r="F267" s="202">
        <f t="shared" si="50"/>
        <v>14</v>
      </c>
      <c r="G267" s="203">
        <v>31400</v>
      </c>
      <c r="H267" s="203">
        <v>35000</v>
      </c>
      <c r="I267" s="204"/>
      <c r="J267" s="205">
        <f t="shared" si="51"/>
        <v>0</v>
      </c>
      <c r="K267" s="205">
        <f t="shared" si="52"/>
        <v>0</v>
      </c>
      <c r="L267" s="323">
        <f t="shared" si="53"/>
        <v>439600</v>
      </c>
      <c r="M267" s="348">
        <f t="shared" si="54"/>
        <v>490000</v>
      </c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 spans="1:26" ht="14.4">
      <c r="A268" s="672"/>
      <c r="B268" s="352" t="s">
        <v>365</v>
      </c>
      <c r="C268" s="227">
        <v>77</v>
      </c>
      <c r="D268" s="201"/>
      <c r="E268" s="321"/>
      <c r="F268" s="202">
        <f t="shared" si="50"/>
        <v>77</v>
      </c>
      <c r="G268" s="203">
        <v>32000</v>
      </c>
      <c r="H268" s="203">
        <v>37000</v>
      </c>
      <c r="I268" s="204"/>
      <c r="J268" s="205">
        <f t="shared" si="51"/>
        <v>0</v>
      </c>
      <c r="K268" s="205">
        <f t="shared" si="52"/>
        <v>0</v>
      </c>
      <c r="L268" s="323">
        <f t="shared" si="53"/>
        <v>2464000</v>
      </c>
      <c r="M268" s="348">
        <f t="shared" si="54"/>
        <v>2849000</v>
      </c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 spans="1:26" ht="14.4">
      <c r="A269" s="672"/>
      <c r="B269" s="230" t="s">
        <v>366</v>
      </c>
      <c r="C269" s="229">
        <v>2</v>
      </c>
      <c r="D269" s="201"/>
      <c r="E269" s="321"/>
      <c r="F269" s="202">
        <f t="shared" si="50"/>
        <v>2</v>
      </c>
      <c r="G269" s="203">
        <v>40000</v>
      </c>
      <c r="H269" s="203">
        <v>45000</v>
      </c>
      <c r="I269" s="204"/>
      <c r="J269" s="205">
        <f t="shared" si="51"/>
        <v>0</v>
      </c>
      <c r="K269" s="205">
        <f t="shared" si="52"/>
        <v>0</v>
      </c>
      <c r="L269" s="323">
        <f t="shared" si="53"/>
        <v>80000</v>
      </c>
      <c r="M269" s="348">
        <f t="shared" si="54"/>
        <v>90000</v>
      </c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 spans="1:26" ht="14.4">
      <c r="A270" s="672"/>
      <c r="B270" s="230" t="s">
        <v>367</v>
      </c>
      <c r="C270" s="227">
        <v>9</v>
      </c>
      <c r="D270" s="201"/>
      <c r="E270" s="321"/>
      <c r="F270" s="202">
        <f t="shared" si="50"/>
        <v>9</v>
      </c>
      <c r="G270" s="203">
        <v>11000</v>
      </c>
      <c r="H270" s="203">
        <v>12000</v>
      </c>
      <c r="I270" s="204"/>
      <c r="J270" s="205">
        <f t="shared" si="51"/>
        <v>0</v>
      </c>
      <c r="K270" s="205">
        <f t="shared" si="52"/>
        <v>0</v>
      </c>
      <c r="L270" s="323">
        <f t="shared" si="53"/>
        <v>99000</v>
      </c>
      <c r="M270" s="348">
        <f t="shared" si="54"/>
        <v>108000</v>
      </c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 spans="1:26" ht="14.4">
      <c r="A271" s="672"/>
      <c r="B271" s="211" t="s">
        <v>368</v>
      </c>
      <c r="C271" s="229">
        <v>2</v>
      </c>
      <c r="D271" s="201"/>
      <c r="E271" s="321"/>
      <c r="F271" s="202">
        <f t="shared" si="50"/>
        <v>2</v>
      </c>
      <c r="G271" s="203">
        <v>15600</v>
      </c>
      <c r="H271" s="203">
        <v>17600</v>
      </c>
      <c r="I271" s="204"/>
      <c r="J271" s="205">
        <f t="shared" si="51"/>
        <v>0</v>
      </c>
      <c r="K271" s="205">
        <f t="shared" si="52"/>
        <v>0</v>
      </c>
      <c r="L271" s="323">
        <f t="shared" si="53"/>
        <v>31200</v>
      </c>
      <c r="M271" s="348">
        <f t="shared" si="54"/>
        <v>35200</v>
      </c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 spans="1:26" ht="14.4">
      <c r="A272" s="672"/>
      <c r="B272" s="211" t="s">
        <v>369</v>
      </c>
      <c r="C272" s="229">
        <v>4</v>
      </c>
      <c r="D272" s="201"/>
      <c r="E272" s="321"/>
      <c r="F272" s="202">
        <f t="shared" si="50"/>
        <v>4</v>
      </c>
      <c r="G272" s="203">
        <v>20700</v>
      </c>
      <c r="H272" s="203">
        <v>21700</v>
      </c>
      <c r="I272" s="204"/>
      <c r="J272" s="205">
        <f t="shared" si="51"/>
        <v>0</v>
      </c>
      <c r="K272" s="205">
        <f t="shared" si="52"/>
        <v>0</v>
      </c>
      <c r="L272" s="323">
        <f t="shared" si="53"/>
        <v>82800</v>
      </c>
      <c r="M272" s="348">
        <f t="shared" si="54"/>
        <v>86800</v>
      </c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 spans="1:26" ht="14.4">
      <c r="A273" s="672"/>
      <c r="B273" s="230" t="s">
        <v>370</v>
      </c>
      <c r="C273" s="227">
        <v>2</v>
      </c>
      <c r="D273" s="201"/>
      <c r="E273" s="321"/>
      <c r="F273" s="202">
        <f t="shared" si="50"/>
        <v>2</v>
      </c>
      <c r="G273" s="203">
        <v>36000</v>
      </c>
      <c r="H273" s="203">
        <v>40000</v>
      </c>
      <c r="I273" s="204"/>
      <c r="J273" s="205">
        <f t="shared" si="51"/>
        <v>0</v>
      </c>
      <c r="K273" s="205">
        <f t="shared" si="52"/>
        <v>0</v>
      </c>
      <c r="L273" s="323">
        <f t="shared" si="53"/>
        <v>72000</v>
      </c>
      <c r="M273" s="348">
        <f t="shared" si="54"/>
        <v>80000</v>
      </c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 spans="1:26" ht="14.4">
      <c r="A274" s="672"/>
      <c r="B274" s="230" t="s">
        <v>371</v>
      </c>
      <c r="C274" s="227">
        <v>6</v>
      </c>
      <c r="D274" s="201"/>
      <c r="E274" s="321"/>
      <c r="F274" s="202">
        <f t="shared" si="50"/>
        <v>6</v>
      </c>
      <c r="G274" s="203">
        <v>22000</v>
      </c>
      <c r="H274" s="203">
        <v>24000</v>
      </c>
      <c r="I274" s="204"/>
      <c r="J274" s="205">
        <f t="shared" si="51"/>
        <v>0</v>
      </c>
      <c r="K274" s="205">
        <f t="shared" si="52"/>
        <v>0</v>
      </c>
      <c r="L274" s="323">
        <f t="shared" si="53"/>
        <v>132000</v>
      </c>
      <c r="M274" s="348">
        <f t="shared" si="54"/>
        <v>144000</v>
      </c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 spans="1:26" ht="14.4">
      <c r="A275" s="672"/>
      <c r="B275" s="230" t="s">
        <v>372</v>
      </c>
      <c r="C275" s="227">
        <v>0.5</v>
      </c>
      <c r="D275" s="201"/>
      <c r="E275" s="321"/>
      <c r="F275" s="202">
        <f t="shared" si="50"/>
        <v>0.5</v>
      </c>
      <c r="G275" s="203">
        <v>34100</v>
      </c>
      <c r="H275" s="203">
        <v>37000</v>
      </c>
      <c r="I275" s="204"/>
      <c r="J275" s="205">
        <f t="shared" si="51"/>
        <v>0</v>
      </c>
      <c r="K275" s="205">
        <f t="shared" si="52"/>
        <v>0</v>
      </c>
      <c r="L275" s="323">
        <f t="shared" si="53"/>
        <v>17050</v>
      </c>
      <c r="M275" s="348">
        <f t="shared" si="54"/>
        <v>18500</v>
      </c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1:26" ht="14.4">
      <c r="A276" s="672"/>
      <c r="B276" s="230" t="s">
        <v>88</v>
      </c>
      <c r="C276" s="229">
        <v>16</v>
      </c>
      <c r="D276" s="201"/>
      <c r="E276" s="321"/>
      <c r="F276" s="202">
        <f t="shared" si="50"/>
        <v>16</v>
      </c>
      <c r="G276" s="203">
        <v>16000</v>
      </c>
      <c r="H276" s="203">
        <v>20000</v>
      </c>
      <c r="I276" s="204"/>
      <c r="J276" s="205">
        <f t="shared" si="51"/>
        <v>0</v>
      </c>
      <c r="K276" s="205">
        <f t="shared" si="52"/>
        <v>0</v>
      </c>
      <c r="L276" s="323">
        <f t="shared" si="53"/>
        <v>256000</v>
      </c>
      <c r="M276" s="348">
        <f t="shared" si="54"/>
        <v>320000</v>
      </c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1:26" ht="14.4">
      <c r="A277" s="672"/>
      <c r="B277" s="230" t="s">
        <v>86</v>
      </c>
      <c r="C277" s="227">
        <v>12</v>
      </c>
      <c r="D277" s="201"/>
      <c r="E277" s="321"/>
      <c r="F277" s="202">
        <f t="shared" si="50"/>
        <v>12</v>
      </c>
      <c r="G277" s="203">
        <v>51818</v>
      </c>
      <c r="H277" s="203">
        <v>57000</v>
      </c>
      <c r="I277" s="204"/>
      <c r="J277" s="205">
        <f t="shared" si="51"/>
        <v>0</v>
      </c>
      <c r="K277" s="205">
        <f t="shared" si="52"/>
        <v>0</v>
      </c>
      <c r="L277" s="323">
        <f t="shared" si="53"/>
        <v>621816</v>
      </c>
      <c r="M277" s="348">
        <f t="shared" si="54"/>
        <v>684000</v>
      </c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1:26" ht="14.4">
      <c r="A278" s="672"/>
      <c r="B278" s="230" t="s">
        <v>87</v>
      </c>
      <c r="C278" s="227">
        <v>53.5</v>
      </c>
      <c r="D278" s="201"/>
      <c r="E278" s="321"/>
      <c r="F278" s="202">
        <f t="shared" si="50"/>
        <v>53.5</v>
      </c>
      <c r="G278" s="203">
        <v>22000</v>
      </c>
      <c r="H278" s="203">
        <v>28000</v>
      </c>
      <c r="I278" s="204"/>
      <c r="J278" s="205">
        <f t="shared" si="51"/>
        <v>0</v>
      </c>
      <c r="K278" s="205">
        <f t="shared" si="52"/>
        <v>0</v>
      </c>
      <c r="L278" s="323">
        <f t="shared" si="53"/>
        <v>1177000</v>
      </c>
      <c r="M278" s="348">
        <f t="shared" si="54"/>
        <v>1498000</v>
      </c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1:26" ht="14.4">
      <c r="A279" s="672"/>
      <c r="B279" s="230" t="s">
        <v>373</v>
      </c>
      <c r="C279" s="227">
        <v>35</v>
      </c>
      <c r="D279" s="201"/>
      <c r="E279" s="321"/>
      <c r="F279" s="202">
        <f t="shared" si="50"/>
        <v>35</v>
      </c>
      <c r="G279" s="203">
        <v>3716</v>
      </c>
      <c r="H279" s="203">
        <v>4000</v>
      </c>
      <c r="I279" s="204"/>
      <c r="J279" s="205">
        <f t="shared" si="51"/>
        <v>0</v>
      </c>
      <c r="K279" s="205">
        <f t="shared" si="52"/>
        <v>0</v>
      </c>
      <c r="L279" s="323">
        <f t="shared" si="53"/>
        <v>130060</v>
      </c>
      <c r="M279" s="348">
        <f t="shared" si="54"/>
        <v>140000</v>
      </c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1:26" ht="14.4">
      <c r="A280" s="672"/>
      <c r="B280" s="230" t="s">
        <v>374</v>
      </c>
      <c r="C280" s="227">
        <v>50</v>
      </c>
      <c r="D280" s="201"/>
      <c r="E280" s="321"/>
      <c r="F280" s="202">
        <f t="shared" si="50"/>
        <v>50</v>
      </c>
      <c r="G280" s="203">
        <v>22000</v>
      </c>
      <c r="H280" s="203">
        <v>28000</v>
      </c>
      <c r="I280" s="204"/>
      <c r="J280" s="205">
        <f t="shared" si="51"/>
        <v>0</v>
      </c>
      <c r="K280" s="205">
        <f t="shared" si="52"/>
        <v>0</v>
      </c>
      <c r="L280" s="323">
        <f t="shared" si="53"/>
        <v>1100000</v>
      </c>
      <c r="M280" s="348">
        <f t="shared" si="54"/>
        <v>1400000</v>
      </c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 spans="1:26" ht="14.4">
      <c r="A281" s="672"/>
      <c r="B281" s="230" t="s">
        <v>375</v>
      </c>
      <c r="C281" s="227">
        <v>5.5</v>
      </c>
      <c r="D281" s="201"/>
      <c r="E281" s="321"/>
      <c r="F281" s="202">
        <f t="shared" si="50"/>
        <v>5.5</v>
      </c>
      <c r="G281" s="203">
        <v>28000</v>
      </c>
      <c r="H281" s="203">
        <v>30000</v>
      </c>
      <c r="I281" s="204"/>
      <c r="J281" s="205">
        <f t="shared" si="51"/>
        <v>0</v>
      </c>
      <c r="K281" s="205">
        <f t="shared" si="52"/>
        <v>0</v>
      </c>
      <c r="L281" s="323">
        <f t="shared" si="53"/>
        <v>154000</v>
      </c>
      <c r="M281" s="348">
        <f t="shared" si="54"/>
        <v>165000</v>
      </c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 spans="1:26" ht="14.4">
      <c r="A282" s="672"/>
      <c r="B282" s="230" t="s">
        <v>376</v>
      </c>
      <c r="C282" s="227">
        <v>5</v>
      </c>
      <c r="D282" s="201"/>
      <c r="E282" s="321"/>
      <c r="F282" s="202">
        <f t="shared" si="50"/>
        <v>5</v>
      </c>
      <c r="G282" s="203">
        <v>22000</v>
      </c>
      <c r="H282" s="203">
        <v>25000</v>
      </c>
      <c r="I282" s="204"/>
      <c r="J282" s="205">
        <f t="shared" si="51"/>
        <v>0</v>
      </c>
      <c r="K282" s="205">
        <f t="shared" si="52"/>
        <v>0</v>
      </c>
      <c r="L282" s="323">
        <f t="shared" si="53"/>
        <v>110000</v>
      </c>
      <c r="M282" s="348">
        <f t="shared" si="54"/>
        <v>125000</v>
      </c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 spans="1:26" ht="14.4">
      <c r="A283" s="672"/>
      <c r="B283" s="211" t="s">
        <v>277</v>
      </c>
      <c r="C283" s="227"/>
      <c r="D283" s="201"/>
      <c r="E283" s="321"/>
      <c r="F283" s="202">
        <f t="shared" si="50"/>
        <v>0</v>
      </c>
      <c r="G283" s="203">
        <v>2500</v>
      </c>
      <c r="H283" s="203">
        <v>3000</v>
      </c>
      <c r="I283" s="204"/>
      <c r="J283" s="205">
        <f t="shared" si="51"/>
        <v>0</v>
      </c>
      <c r="K283" s="205">
        <f t="shared" si="52"/>
        <v>0</v>
      </c>
      <c r="L283" s="323">
        <f t="shared" si="53"/>
        <v>0</v>
      </c>
      <c r="M283" s="348">
        <f t="shared" si="54"/>
        <v>0</v>
      </c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 spans="1:26" ht="14.4">
      <c r="A284" s="672"/>
      <c r="B284" s="230" t="s">
        <v>377</v>
      </c>
      <c r="C284" s="227">
        <f>27</f>
        <v>27</v>
      </c>
      <c r="D284" s="201"/>
      <c r="E284" s="321"/>
      <c r="F284" s="202">
        <f t="shared" si="50"/>
        <v>27</v>
      </c>
      <c r="G284" s="203">
        <v>22500</v>
      </c>
      <c r="H284" s="203">
        <v>25000</v>
      </c>
      <c r="I284" s="204"/>
      <c r="J284" s="205">
        <f t="shared" si="51"/>
        <v>0</v>
      </c>
      <c r="K284" s="205">
        <f t="shared" si="52"/>
        <v>0</v>
      </c>
      <c r="L284" s="323">
        <f t="shared" si="53"/>
        <v>607500</v>
      </c>
      <c r="M284" s="348">
        <f t="shared" si="54"/>
        <v>675000</v>
      </c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 spans="1:26" ht="14.4">
      <c r="A285" s="672"/>
      <c r="B285" s="230" t="s">
        <v>378</v>
      </c>
      <c r="C285" s="227">
        <v>11</v>
      </c>
      <c r="D285" s="201"/>
      <c r="E285" s="321"/>
      <c r="F285" s="202">
        <f t="shared" si="50"/>
        <v>11</v>
      </c>
      <c r="G285" s="203">
        <v>13500</v>
      </c>
      <c r="H285" s="203">
        <v>15000</v>
      </c>
      <c r="I285" s="204"/>
      <c r="J285" s="205">
        <f t="shared" si="51"/>
        <v>0</v>
      </c>
      <c r="K285" s="205">
        <f t="shared" si="52"/>
        <v>0</v>
      </c>
      <c r="L285" s="323">
        <f t="shared" si="53"/>
        <v>148500</v>
      </c>
      <c r="M285" s="348">
        <f t="shared" si="54"/>
        <v>165000</v>
      </c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 spans="1:26" ht="14.4">
      <c r="A286" s="672"/>
      <c r="B286" s="230" t="s">
        <v>83</v>
      </c>
      <c r="C286" s="227">
        <f>12</f>
        <v>12</v>
      </c>
      <c r="D286" s="201"/>
      <c r="E286" s="321"/>
      <c r="F286" s="202">
        <f t="shared" si="50"/>
        <v>12</v>
      </c>
      <c r="G286" s="203">
        <v>46000</v>
      </c>
      <c r="H286" s="203">
        <v>52000</v>
      </c>
      <c r="I286" s="204"/>
      <c r="J286" s="205">
        <f t="shared" si="51"/>
        <v>0</v>
      </c>
      <c r="K286" s="205">
        <f t="shared" si="52"/>
        <v>0</v>
      </c>
      <c r="L286" s="323">
        <f t="shared" si="53"/>
        <v>552000</v>
      </c>
      <c r="M286" s="348">
        <f t="shared" si="54"/>
        <v>624000</v>
      </c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 spans="1:26" ht="14.4">
      <c r="A287" s="672"/>
      <c r="B287" s="230" t="s">
        <v>379</v>
      </c>
      <c r="C287" s="227">
        <v>40</v>
      </c>
      <c r="D287" s="201"/>
      <c r="E287" s="321"/>
      <c r="F287" s="202">
        <f t="shared" si="50"/>
        <v>40</v>
      </c>
      <c r="G287" s="203">
        <v>28500</v>
      </c>
      <c r="H287" s="203">
        <v>31000</v>
      </c>
      <c r="I287" s="204"/>
      <c r="J287" s="205">
        <f t="shared" si="51"/>
        <v>0</v>
      </c>
      <c r="K287" s="205">
        <f t="shared" si="52"/>
        <v>0</v>
      </c>
      <c r="L287" s="323">
        <f t="shared" si="53"/>
        <v>1140000</v>
      </c>
      <c r="M287" s="348">
        <f t="shared" si="54"/>
        <v>1240000</v>
      </c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 spans="1:26" ht="14.4">
      <c r="A288" s="672"/>
      <c r="B288" s="230" t="s">
        <v>380</v>
      </c>
      <c r="C288" s="227"/>
      <c r="D288" s="201"/>
      <c r="E288" s="321"/>
      <c r="F288" s="202">
        <f t="shared" si="50"/>
        <v>0</v>
      </c>
      <c r="G288" s="203">
        <v>28500</v>
      </c>
      <c r="H288" s="203">
        <v>31000</v>
      </c>
      <c r="I288" s="204"/>
      <c r="J288" s="205">
        <f t="shared" si="51"/>
        <v>0</v>
      </c>
      <c r="K288" s="205">
        <f t="shared" si="52"/>
        <v>0</v>
      </c>
      <c r="L288" s="323">
        <f t="shared" si="53"/>
        <v>0</v>
      </c>
      <c r="M288" s="348">
        <f t="shared" si="54"/>
        <v>0</v>
      </c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 spans="1:26" ht="14.4">
      <c r="A289" s="672"/>
      <c r="B289" s="230" t="s">
        <v>381</v>
      </c>
      <c r="C289" s="227">
        <v>9</v>
      </c>
      <c r="D289" s="201"/>
      <c r="E289" s="321"/>
      <c r="F289" s="202">
        <f t="shared" si="50"/>
        <v>9</v>
      </c>
      <c r="G289" s="239">
        <v>37500</v>
      </c>
      <c r="H289" s="239">
        <v>45000</v>
      </c>
      <c r="I289" s="213"/>
      <c r="J289" s="205">
        <f t="shared" si="51"/>
        <v>0</v>
      </c>
      <c r="K289" s="205">
        <f t="shared" si="52"/>
        <v>0</v>
      </c>
      <c r="L289" s="323">
        <f t="shared" si="53"/>
        <v>337500</v>
      </c>
      <c r="M289" s="348">
        <f t="shared" si="54"/>
        <v>405000</v>
      </c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 spans="1:26" ht="14.4">
      <c r="A290" s="672"/>
      <c r="B290" s="353" t="s">
        <v>382</v>
      </c>
      <c r="C290" s="227">
        <f>5.5</f>
        <v>5.5</v>
      </c>
      <c r="D290" s="201"/>
      <c r="E290" s="321"/>
      <c r="F290" s="202">
        <f t="shared" si="50"/>
        <v>5.5</v>
      </c>
      <c r="G290" s="354">
        <v>26000</v>
      </c>
      <c r="H290" s="354">
        <v>30000</v>
      </c>
      <c r="I290" s="355"/>
      <c r="J290" s="356">
        <f t="shared" si="51"/>
        <v>0</v>
      </c>
      <c r="K290" s="356">
        <f t="shared" si="52"/>
        <v>0</v>
      </c>
      <c r="L290" s="357">
        <f t="shared" si="53"/>
        <v>143000</v>
      </c>
      <c r="M290" s="348">
        <f t="shared" si="54"/>
        <v>165000</v>
      </c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 spans="1:26" ht="14.4">
      <c r="A291" s="672"/>
      <c r="B291" s="230" t="s">
        <v>383</v>
      </c>
      <c r="C291" s="227">
        <v>41</v>
      </c>
      <c r="D291" s="201"/>
      <c r="E291" s="321"/>
      <c r="F291" s="202">
        <f t="shared" si="50"/>
        <v>41</v>
      </c>
      <c r="G291" s="203">
        <v>32000</v>
      </c>
      <c r="H291" s="203">
        <v>36000</v>
      </c>
      <c r="I291" s="204"/>
      <c r="J291" s="205">
        <f t="shared" si="51"/>
        <v>0</v>
      </c>
      <c r="K291" s="205">
        <f t="shared" si="52"/>
        <v>0</v>
      </c>
      <c r="L291" s="323">
        <f t="shared" si="53"/>
        <v>1312000</v>
      </c>
      <c r="M291" s="348">
        <f t="shared" si="54"/>
        <v>1476000</v>
      </c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 spans="1:26" ht="14.4">
      <c r="A292" s="672"/>
      <c r="B292" s="230" t="s">
        <v>384</v>
      </c>
      <c r="C292" s="227">
        <v>32.5</v>
      </c>
      <c r="D292" s="201"/>
      <c r="E292" s="321"/>
      <c r="F292" s="202">
        <f t="shared" si="50"/>
        <v>32.5</v>
      </c>
      <c r="G292" s="203">
        <v>32000</v>
      </c>
      <c r="H292" s="203">
        <v>36000</v>
      </c>
      <c r="I292" s="204"/>
      <c r="J292" s="205">
        <f t="shared" si="51"/>
        <v>0</v>
      </c>
      <c r="K292" s="205">
        <f t="shared" si="52"/>
        <v>0</v>
      </c>
      <c r="L292" s="323">
        <f t="shared" si="53"/>
        <v>1040000</v>
      </c>
      <c r="M292" s="348">
        <f t="shared" si="54"/>
        <v>1170000</v>
      </c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 spans="1:26" ht="14.4">
      <c r="A293" s="672"/>
      <c r="B293" s="358" t="s">
        <v>385</v>
      </c>
      <c r="C293" s="227">
        <v>20</v>
      </c>
      <c r="D293" s="201"/>
      <c r="E293" s="321"/>
      <c r="F293" s="202">
        <f t="shared" si="50"/>
        <v>20</v>
      </c>
      <c r="G293" s="203">
        <v>9000</v>
      </c>
      <c r="H293" s="203">
        <v>10000</v>
      </c>
      <c r="I293" s="204"/>
      <c r="J293" s="205">
        <f t="shared" si="51"/>
        <v>0</v>
      </c>
      <c r="K293" s="205">
        <f t="shared" si="52"/>
        <v>0</v>
      </c>
      <c r="L293" s="323">
        <f t="shared" si="53"/>
        <v>180000</v>
      </c>
      <c r="M293" s="348">
        <f t="shared" si="54"/>
        <v>200000</v>
      </c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 spans="1:26" ht="14.4">
      <c r="A294" s="672"/>
      <c r="B294" s="230" t="s">
        <v>386</v>
      </c>
      <c r="C294" s="227">
        <v>22</v>
      </c>
      <c r="D294" s="201"/>
      <c r="E294" s="321"/>
      <c r="F294" s="202">
        <f t="shared" si="50"/>
        <v>22</v>
      </c>
      <c r="G294" s="203">
        <v>33000</v>
      </c>
      <c r="H294" s="203">
        <v>36000</v>
      </c>
      <c r="I294" s="204"/>
      <c r="J294" s="205">
        <f t="shared" si="51"/>
        <v>0</v>
      </c>
      <c r="K294" s="205">
        <f t="shared" si="52"/>
        <v>0</v>
      </c>
      <c r="L294" s="323">
        <f t="shared" si="53"/>
        <v>726000</v>
      </c>
      <c r="M294" s="348">
        <f t="shared" si="54"/>
        <v>792000</v>
      </c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 spans="1:26" ht="14.4">
      <c r="A295" s="672"/>
      <c r="B295" s="230" t="s">
        <v>387</v>
      </c>
      <c r="C295" s="229">
        <v>6</v>
      </c>
      <c r="D295" s="201"/>
      <c r="E295" s="321"/>
      <c r="F295" s="202">
        <f t="shared" si="50"/>
        <v>6</v>
      </c>
      <c r="G295" s="203">
        <v>21500</v>
      </c>
      <c r="H295" s="203">
        <v>28000</v>
      </c>
      <c r="I295" s="204"/>
      <c r="J295" s="205">
        <f t="shared" si="51"/>
        <v>0</v>
      </c>
      <c r="K295" s="205">
        <f t="shared" si="52"/>
        <v>0</v>
      </c>
      <c r="L295" s="323">
        <f t="shared" si="53"/>
        <v>129000</v>
      </c>
      <c r="M295" s="348">
        <f t="shared" si="54"/>
        <v>168000</v>
      </c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 spans="1:26" ht="14.4">
      <c r="A296" s="672"/>
      <c r="B296" s="230" t="s">
        <v>388</v>
      </c>
      <c r="C296" s="229"/>
      <c r="D296" s="201"/>
      <c r="E296" s="321"/>
      <c r="F296" s="202">
        <f t="shared" si="50"/>
        <v>0</v>
      </c>
      <c r="G296" s="203">
        <v>5300</v>
      </c>
      <c r="H296" s="203">
        <v>7000</v>
      </c>
      <c r="I296" s="204"/>
      <c r="J296" s="205">
        <f t="shared" si="51"/>
        <v>0</v>
      </c>
      <c r="K296" s="205">
        <f t="shared" si="52"/>
        <v>0</v>
      </c>
      <c r="L296" s="323">
        <f t="shared" si="53"/>
        <v>0</v>
      </c>
      <c r="M296" s="348">
        <f t="shared" si="54"/>
        <v>0</v>
      </c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 spans="1:26" ht="14.4">
      <c r="A297" s="672"/>
      <c r="B297" s="359" t="s">
        <v>389</v>
      </c>
      <c r="C297" s="227">
        <v>11</v>
      </c>
      <c r="D297" s="201"/>
      <c r="E297" s="321"/>
      <c r="F297" s="202">
        <f t="shared" si="50"/>
        <v>11</v>
      </c>
      <c r="G297" s="360">
        <v>13500</v>
      </c>
      <c r="H297" s="360">
        <v>15000</v>
      </c>
      <c r="I297" s="361"/>
      <c r="J297" s="362">
        <f t="shared" si="51"/>
        <v>0</v>
      </c>
      <c r="K297" s="362">
        <f t="shared" si="52"/>
        <v>0</v>
      </c>
      <c r="L297" s="363">
        <f t="shared" si="53"/>
        <v>148500</v>
      </c>
      <c r="M297" s="348">
        <f t="shared" si="54"/>
        <v>165000</v>
      </c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 spans="1:26" ht="14.4">
      <c r="A298" s="672"/>
      <c r="B298" s="230" t="s">
        <v>390</v>
      </c>
      <c r="C298" s="227">
        <v>4</v>
      </c>
      <c r="D298" s="201"/>
      <c r="E298" s="321"/>
      <c r="F298" s="202">
        <f t="shared" si="50"/>
        <v>4</v>
      </c>
      <c r="G298" s="203">
        <v>26000</v>
      </c>
      <c r="H298" s="203">
        <v>30000</v>
      </c>
      <c r="I298" s="204"/>
      <c r="J298" s="205">
        <f t="shared" si="51"/>
        <v>0</v>
      </c>
      <c r="K298" s="205">
        <f t="shared" si="52"/>
        <v>0</v>
      </c>
      <c r="L298" s="323">
        <f t="shared" si="53"/>
        <v>104000</v>
      </c>
      <c r="M298" s="348">
        <f t="shared" si="54"/>
        <v>120000</v>
      </c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 spans="1:26" ht="14.4">
      <c r="A299" s="672"/>
      <c r="B299" s="230" t="s">
        <v>391</v>
      </c>
      <c r="C299" s="229">
        <v>3</v>
      </c>
      <c r="D299" s="201"/>
      <c r="E299" s="321"/>
      <c r="F299" s="202">
        <f t="shared" si="50"/>
        <v>3</v>
      </c>
      <c r="G299" s="203">
        <v>32000</v>
      </c>
      <c r="H299" s="203">
        <v>35000</v>
      </c>
      <c r="I299" s="204"/>
      <c r="J299" s="205">
        <f t="shared" si="51"/>
        <v>0</v>
      </c>
      <c r="K299" s="205">
        <f t="shared" si="52"/>
        <v>0</v>
      </c>
      <c r="L299" s="323">
        <f t="shared" si="53"/>
        <v>96000</v>
      </c>
      <c r="M299" s="348">
        <f t="shared" si="54"/>
        <v>105000</v>
      </c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 spans="1:26" ht="14.4">
      <c r="A300" s="672"/>
      <c r="B300" s="211" t="s">
        <v>392</v>
      </c>
      <c r="C300" s="229">
        <v>4</v>
      </c>
      <c r="D300" s="201"/>
      <c r="E300" s="321"/>
      <c r="F300" s="202">
        <f t="shared" si="50"/>
        <v>4</v>
      </c>
      <c r="G300" s="203">
        <v>22000</v>
      </c>
      <c r="H300" s="203">
        <v>25000</v>
      </c>
      <c r="I300" s="204"/>
      <c r="J300" s="205">
        <f>+I300*F115</f>
        <v>0</v>
      </c>
      <c r="K300" s="205">
        <f t="shared" si="52"/>
        <v>0</v>
      </c>
      <c r="L300" s="323">
        <f t="shared" si="53"/>
        <v>88000</v>
      </c>
      <c r="M300" s="348">
        <f t="shared" si="54"/>
        <v>100000</v>
      </c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 spans="1:26" ht="14.4">
      <c r="A301" s="672"/>
      <c r="B301" s="230" t="s">
        <v>393</v>
      </c>
      <c r="C301" s="227"/>
      <c r="D301" s="201"/>
      <c r="E301" s="321"/>
      <c r="F301" s="202">
        <f t="shared" si="50"/>
        <v>0</v>
      </c>
      <c r="G301" s="203">
        <v>22000</v>
      </c>
      <c r="H301" s="203">
        <v>25000</v>
      </c>
      <c r="I301" s="204"/>
      <c r="J301" s="205">
        <f t="shared" ref="J301:J306" si="55">+I301*H301</f>
        <v>0</v>
      </c>
      <c r="K301" s="205">
        <f t="shared" si="52"/>
        <v>0</v>
      </c>
      <c r="L301" s="323">
        <f t="shared" si="53"/>
        <v>0</v>
      </c>
      <c r="M301" s="348">
        <f t="shared" si="54"/>
        <v>0</v>
      </c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 spans="1:26" ht="14.4">
      <c r="A302" s="672"/>
      <c r="B302" s="230" t="s">
        <v>394</v>
      </c>
      <c r="C302" s="227">
        <v>3</v>
      </c>
      <c r="D302" s="201"/>
      <c r="E302" s="321"/>
      <c r="F302" s="202">
        <f t="shared" si="50"/>
        <v>3</v>
      </c>
      <c r="G302" s="203">
        <v>13500</v>
      </c>
      <c r="H302" s="203">
        <v>15000</v>
      </c>
      <c r="I302" s="204"/>
      <c r="J302" s="205">
        <f t="shared" si="55"/>
        <v>0</v>
      </c>
      <c r="K302" s="205">
        <f t="shared" si="52"/>
        <v>0</v>
      </c>
      <c r="L302" s="323">
        <f t="shared" si="53"/>
        <v>40500</v>
      </c>
      <c r="M302" s="348">
        <f t="shared" si="54"/>
        <v>45000</v>
      </c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 spans="1:26" ht="14.4">
      <c r="A303" s="672"/>
      <c r="B303" s="230" t="s">
        <v>395</v>
      </c>
      <c r="C303" s="227">
        <v>13</v>
      </c>
      <c r="D303" s="201"/>
      <c r="E303" s="321"/>
      <c r="F303" s="202">
        <f t="shared" si="50"/>
        <v>13</v>
      </c>
      <c r="G303" s="203">
        <v>31300</v>
      </c>
      <c r="H303" s="203">
        <v>35000</v>
      </c>
      <c r="I303" s="204"/>
      <c r="J303" s="205">
        <f t="shared" si="55"/>
        <v>0</v>
      </c>
      <c r="K303" s="205">
        <f t="shared" si="52"/>
        <v>0</v>
      </c>
      <c r="L303" s="323">
        <f t="shared" si="53"/>
        <v>406900</v>
      </c>
      <c r="M303" s="348">
        <f t="shared" si="54"/>
        <v>455000</v>
      </c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 spans="1:26" ht="14.4">
      <c r="A304" s="672"/>
      <c r="B304" s="230" t="s">
        <v>396</v>
      </c>
      <c r="C304" s="229">
        <v>3</v>
      </c>
      <c r="D304" s="201"/>
      <c r="E304" s="321"/>
      <c r="F304" s="202">
        <f t="shared" si="50"/>
        <v>3</v>
      </c>
      <c r="G304" s="203">
        <v>17000</v>
      </c>
      <c r="H304" s="203">
        <v>18700</v>
      </c>
      <c r="I304" s="204"/>
      <c r="J304" s="205">
        <f t="shared" si="55"/>
        <v>0</v>
      </c>
      <c r="K304" s="205">
        <f t="shared" si="52"/>
        <v>0</v>
      </c>
      <c r="L304" s="323">
        <f t="shared" si="53"/>
        <v>51000</v>
      </c>
      <c r="M304" s="348">
        <f t="shared" si="54"/>
        <v>56100</v>
      </c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 spans="1:26" ht="14.4">
      <c r="A305" s="672"/>
      <c r="B305" s="230" t="s">
        <v>397</v>
      </c>
      <c r="C305" s="229">
        <v>4</v>
      </c>
      <c r="D305" s="201"/>
      <c r="E305" s="321"/>
      <c r="F305" s="202">
        <f t="shared" si="50"/>
        <v>4</v>
      </c>
      <c r="G305" s="203">
        <v>11000</v>
      </c>
      <c r="H305" s="203">
        <v>12000</v>
      </c>
      <c r="I305" s="204"/>
      <c r="J305" s="205">
        <f t="shared" si="55"/>
        <v>0</v>
      </c>
      <c r="K305" s="205">
        <f t="shared" si="52"/>
        <v>0</v>
      </c>
      <c r="L305" s="323">
        <f t="shared" si="53"/>
        <v>44000</v>
      </c>
      <c r="M305" s="348">
        <f t="shared" si="54"/>
        <v>48000</v>
      </c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 spans="1:26" ht="14.4">
      <c r="A306" s="672"/>
      <c r="B306" s="230" t="s">
        <v>398</v>
      </c>
      <c r="C306" s="229">
        <v>2</v>
      </c>
      <c r="D306" s="201"/>
      <c r="E306" s="321"/>
      <c r="F306" s="202">
        <f t="shared" si="50"/>
        <v>2</v>
      </c>
      <c r="G306" s="203">
        <v>31300</v>
      </c>
      <c r="H306" s="203">
        <v>35000</v>
      </c>
      <c r="I306" s="204"/>
      <c r="J306" s="205">
        <f t="shared" si="55"/>
        <v>0</v>
      </c>
      <c r="K306" s="205">
        <f t="shared" si="52"/>
        <v>0</v>
      </c>
      <c r="L306" s="323">
        <f t="shared" si="53"/>
        <v>62600</v>
      </c>
      <c r="M306" s="348">
        <f t="shared" si="54"/>
        <v>70000</v>
      </c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 spans="1:26" ht="14.4">
      <c r="A307" s="673"/>
      <c r="B307" s="364"/>
      <c r="C307" s="365"/>
      <c r="D307" s="365"/>
      <c r="E307" s="366">
        <f>SUM(E245:E302)</f>
        <v>0</v>
      </c>
      <c r="F307" s="367">
        <f t="shared" si="50"/>
        <v>0</v>
      </c>
      <c r="G307" s="368">
        <f t="shared" ref="G307:H307" si="56">SUM(G245:G302)</f>
        <v>1328787</v>
      </c>
      <c r="H307" s="369">
        <f t="shared" si="56"/>
        <v>1501100</v>
      </c>
      <c r="I307" s="370"/>
      <c r="J307" s="371">
        <f>SUM(J245:J306)</f>
        <v>0</v>
      </c>
      <c r="K307" s="371">
        <f>SUM(K245:K302)</f>
        <v>0</v>
      </c>
      <c r="L307" s="372">
        <f t="shared" ref="L307:M307" si="57">SUM(L245:L306)</f>
        <v>23443766</v>
      </c>
      <c r="M307" s="372">
        <f t="shared" si="57"/>
        <v>27003600</v>
      </c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 spans="1:26" ht="14.4">
      <c r="A308" s="674" t="s">
        <v>399</v>
      </c>
      <c r="B308" s="211" t="s">
        <v>105</v>
      </c>
      <c r="C308" s="238">
        <v>181</v>
      </c>
      <c r="D308" s="321"/>
      <c r="E308" s="321"/>
      <c r="F308" s="373">
        <f t="shared" si="50"/>
        <v>181</v>
      </c>
      <c r="G308" s="203">
        <v>5750</v>
      </c>
      <c r="H308" s="203">
        <v>6200</v>
      </c>
      <c r="I308" s="224"/>
      <c r="J308" s="205">
        <f t="shared" ref="J308:J324" si="58">+H308*I308</f>
        <v>0</v>
      </c>
      <c r="K308" s="205">
        <f t="shared" ref="K308:K324" si="59">+(H308-G308)*I308</f>
        <v>0</v>
      </c>
      <c r="L308" s="374">
        <f t="shared" ref="L308:L324" si="60">+G308*F308</f>
        <v>1040750</v>
      </c>
      <c r="M308" s="375">
        <f t="shared" ref="M308:M324" si="61">F308*H308</f>
        <v>1122200</v>
      </c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 spans="1:26" ht="14.4">
      <c r="A309" s="675"/>
      <c r="B309" s="211" t="s">
        <v>106</v>
      </c>
      <c r="C309" s="227">
        <v>31</v>
      </c>
      <c r="D309" s="321"/>
      <c r="E309" s="321"/>
      <c r="F309" s="373">
        <f t="shared" si="50"/>
        <v>31</v>
      </c>
      <c r="G309" s="203">
        <v>11500</v>
      </c>
      <c r="H309" s="203">
        <v>11300</v>
      </c>
      <c r="I309" s="204"/>
      <c r="J309" s="205">
        <f t="shared" si="58"/>
        <v>0</v>
      </c>
      <c r="K309" s="205">
        <f t="shared" si="59"/>
        <v>0</v>
      </c>
      <c r="L309" s="374">
        <f t="shared" si="60"/>
        <v>356500</v>
      </c>
      <c r="M309" s="375">
        <f t="shared" si="61"/>
        <v>350300</v>
      </c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 spans="1:26" ht="14.4">
      <c r="A310" s="675"/>
      <c r="B310" s="211" t="s">
        <v>400</v>
      </c>
      <c r="C310" s="229"/>
      <c r="D310" s="321"/>
      <c r="E310" s="321"/>
      <c r="F310" s="373">
        <f t="shared" si="50"/>
        <v>0</v>
      </c>
      <c r="G310" s="203">
        <v>8800</v>
      </c>
      <c r="H310" s="203">
        <v>8000</v>
      </c>
      <c r="I310" s="204"/>
      <c r="J310" s="205">
        <f t="shared" si="58"/>
        <v>0</v>
      </c>
      <c r="K310" s="205">
        <f t="shared" si="59"/>
        <v>0</v>
      </c>
      <c r="L310" s="374">
        <f t="shared" si="60"/>
        <v>0</v>
      </c>
      <c r="M310" s="375">
        <f t="shared" si="61"/>
        <v>0</v>
      </c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 spans="1:26" ht="14.4">
      <c r="A311" s="675"/>
      <c r="B311" s="211" t="s">
        <v>401</v>
      </c>
      <c r="C311" s="227">
        <v>29</v>
      </c>
      <c r="D311" s="321"/>
      <c r="E311" s="321"/>
      <c r="F311" s="373">
        <f t="shared" si="50"/>
        <v>29</v>
      </c>
      <c r="G311" s="203">
        <v>4400</v>
      </c>
      <c r="H311" s="203">
        <v>4700</v>
      </c>
      <c r="I311" s="204"/>
      <c r="J311" s="205">
        <f t="shared" si="58"/>
        <v>0</v>
      </c>
      <c r="K311" s="205">
        <f t="shared" si="59"/>
        <v>0</v>
      </c>
      <c r="L311" s="374">
        <f t="shared" si="60"/>
        <v>127600</v>
      </c>
      <c r="M311" s="375">
        <f t="shared" si="61"/>
        <v>136300</v>
      </c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 spans="1:26" ht="14.4">
      <c r="A312" s="675"/>
      <c r="B312" s="211" t="s">
        <v>402</v>
      </c>
      <c r="C312" s="227">
        <v>35</v>
      </c>
      <c r="D312" s="321"/>
      <c r="E312" s="321"/>
      <c r="F312" s="373">
        <f t="shared" si="50"/>
        <v>35</v>
      </c>
      <c r="G312" s="203">
        <v>4400</v>
      </c>
      <c r="H312" s="203">
        <v>4700</v>
      </c>
      <c r="I312" s="204"/>
      <c r="J312" s="205">
        <f t="shared" si="58"/>
        <v>0</v>
      </c>
      <c r="K312" s="205">
        <f t="shared" si="59"/>
        <v>0</v>
      </c>
      <c r="L312" s="374">
        <f t="shared" si="60"/>
        <v>154000</v>
      </c>
      <c r="M312" s="375">
        <f t="shared" si="61"/>
        <v>164500</v>
      </c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 spans="1:26" ht="14.4">
      <c r="A313" s="675"/>
      <c r="B313" s="211" t="s">
        <v>661</v>
      </c>
      <c r="C313" s="238">
        <v>22</v>
      </c>
      <c r="D313" s="321"/>
      <c r="E313" s="321"/>
      <c r="F313" s="373">
        <f t="shared" si="50"/>
        <v>22</v>
      </c>
      <c r="G313" s="203">
        <v>4400</v>
      </c>
      <c r="H313" s="203">
        <v>4700</v>
      </c>
      <c r="I313" s="204"/>
      <c r="J313" s="205">
        <f t="shared" si="58"/>
        <v>0</v>
      </c>
      <c r="K313" s="205">
        <f t="shared" si="59"/>
        <v>0</v>
      </c>
      <c r="L313" s="374">
        <f t="shared" si="60"/>
        <v>96800</v>
      </c>
      <c r="M313" s="375">
        <f t="shared" si="61"/>
        <v>103400</v>
      </c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 spans="1:26" ht="14.4">
      <c r="A314" s="675"/>
      <c r="B314" s="211" t="s">
        <v>403</v>
      </c>
      <c r="C314" s="238">
        <v>245</v>
      </c>
      <c r="D314" s="321"/>
      <c r="E314" s="321"/>
      <c r="F314" s="373">
        <f t="shared" si="50"/>
        <v>245</v>
      </c>
      <c r="G314" s="203">
        <v>6800</v>
      </c>
      <c r="H314" s="203">
        <v>7200</v>
      </c>
      <c r="I314" s="204"/>
      <c r="J314" s="205">
        <f t="shared" si="58"/>
        <v>0</v>
      </c>
      <c r="K314" s="205">
        <f t="shared" si="59"/>
        <v>0</v>
      </c>
      <c r="L314" s="374">
        <f t="shared" si="60"/>
        <v>1666000</v>
      </c>
      <c r="M314" s="375">
        <f t="shared" si="61"/>
        <v>1764000</v>
      </c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 spans="1:26" ht="14.4">
      <c r="A315" s="675"/>
      <c r="B315" s="211" t="s">
        <v>404</v>
      </c>
      <c r="C315" s="227">
        <v>13</v>
      </c>
      <c r="D315" s="321"/>
      <c r="E315" s="321"/>
      <c r="F315" s="373">
        <f t="shared" si="50"/>
        <v>13</v>
      </c>
      <c r="G315" s="203">
        <v>13600</v>
      </c>
      <c r="H315" s="203">
        <v>14400</v>
      </c>
      <c r="I315" s="204"/>
      <c r="J315" s="205">
        <f t="shared" si="58"/>
        <v>0</v>
      </c>
      <c r="K315" s="205">
        <f t="shared" si="59"/>
        <v>0</v>
      </c>
      <c r="L315" s="374">
        <f t="shared" si="60"/>
        <v>176800</v>
      </c>
      <c r="M315" s="375">
        <f t="shared" si="61"/>
        <v>187200</v>
      </c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 spans="1:26" ht="14.4">
      <c r="A316" s="675"/>
      <c r="B316" s="230" t="s">
        <v>405</v>
      </c>
      <c r="C316" s="238">
        <v>65</v>
      </c>
      <c r="D316" s="321"/>
      <c r="E316" s="321"/>
      <c r="F316" s="373">
        <f t="shared" si="50"/>
        <v>65</v>
      </c>
      <c r="G316" s="203">
        <v>3571</v>
      </c>
      <c r="H316" s="203">
        <v>4000</v>
      </c>
      <c r="I316" s="204"/>
      <c r="J316" s="205">
        <f t="shared" si="58"/>
        <v>0</v>
      </c>
      <c r="K316" s="205">
        <f t="shared" si="59"/>
        <v>0</v>
      </c>
      <c r="L316" s="374">
        <f t="shared" si="60"/>
        <v>232115</v>
      </c>
      <c r="M316" s="375">
        <f t="shared" si="61"/>
        <v>260000</v>
      </c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 spans="1:26" ht="14.4">
      <c r="A317" s="675"/>
      <c r="B317" s="230" t="s">
        <v>406</v>
      </c>
      <c r="C317" s="227">
        <v>13</v>
      </c>
      <c r="D317" s="321"/>
      <c r="E317" s="321"/>
      <c r="F317" s="373">
        <f t="shared" si="50"/>
        <v>13</v>
      </c>
      <c r="G317" s="203">
        <v>7141</v>
      </c>
      <c r="H317" s="203">
        <v>8000</v>
      </c>
      <c r="I317" s="204"/>
      <c r="J317" s="205">
        <f t="shared" si="58"/>
        <v>0</v>
      </c>
      <c r="K317" s="205">
        <f t="shared" si="59"/>
        <v>0</v>
      </c>
      <c r="L317" s="374">
        <f t="shared" si="60"/>
        <v>92833</v>
      </c>
      <c r="M317" s="375">
        <f t="shared" si="61"/>
        <v>104000</v>
      </c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 spans="1:26" ht="14.4">
      <c r="A318" s="675"/>
      <c r="B318" s="230" t="s">
        <v>407</v>
      </c>
      <c r="C318" s="238">
        <v>97</v>
      </c>
      <c r="D318" s="321"/>
      <c r="E318" s="321"/>
      <c r="F318" s="373">
        <f t="shared" si="50"/>
        <v>97</v>
      </c>
      <c r="G318" s="203">
        <v>5251</v>
      </c>
      <c r="H318" s="203">
        <v>5800</v>
      </c>
      <c r="I318" s="204"/>
      <c r="J318" s="205">
        <f t="shared" si="58"/>
        <v>0</v>
      </c>
      <c r="K318" s="205">
        <f t="shared" si="59"/>
        <v>0</v>
      </c>
      <c r="L318" s="374">
        <f t="shared" si="60"/>
        <v>509347</v>
      </c>
      <c r="M318" s="375">
        <f t="shared" si="61"/>
        <v>562600</v>
      </c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 spans="1:26" ht="14.4">
      <c r="A319" s="675"/>
      <c r="B319" s="230" t="s">
        <v>408</v>
      </c>
      <c r="C319" s="238">
        <v>17</v>
      </c>
      <c r="D319" s="321"/>
      <c r="E319" s="321"/>
      <c r="F319" s="373">
        <f t="shared" si="50"/>
        <v>17</v>
      </c>
      <c r="G319" s="203">
        <v>10521</v>
      </c>
      <c r="H319" s="203">
        <v>11600</v>
      </c>
      <c r="I319" s="204"/>
      <c r="J319" s="205">
        <f t="shared" si="58"/>
        <v>0</v>
      </c>
      <c r="K319" s="205">
        <f t="shared" si="59"/>
        <v>0</v>
      </c>
      <c r="L319" s="374">
        <f t="shared" si="60"/>
        <v>178857</v>
      </c>
      <c r="M319" s="375">
        <f t="shared" si="61"/>
        <v>197200</v>
      </c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 spans="1:26" ht="14.4">
      <c r="A320" s="675"/>
      <c r="B320" s="230" t="s">
        <v>409</v>
      </c>
      <c r="C320" s="227"/>
      <c r="D320" s="321"/>
      <c r="E320" s="321"/>
      <c r="F320" s="373">
        <f t="shared" si="50"/>
        <v>0</v>
      </c>
      <c r="G320" s="203">
        <v>7552</v>
      </c>
      <c r="H320" s="203">
        <v>8000</v>
      </c>
      <c r="I320" s="224"/>
      <c r="J320" s="205">
        <f t="shared" si="58"/>
        <v>0</v>
      </c>
      <c r="K320" s="205">
        <f t="shared" si="59"/>
        <v>0</v>
      </c>
      <c r="L320" s="374">
        <f t="shared" si="60"/>
        <v>0</v>
      </c>
      <c r="M320" s="375">
        <f t="shared" si="61"/>
        <v>0</v>
      </c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 spans="1:26" ht="14.4">
      <c r="A321" s="675"/>
      <c r="B321" s="230" t="s">
        <v>410</v>
      </c>
      <c r="C321" s="238">
        <v>16</v>
      </c>
      <c r="D321" s="321"/>
      <c r="E321" s="321"/>
      <c r="F321" s="373">
        <f t="shared" si="50"/>
        <v>16</v>
      </c>
      <c r="G321" s="203">
        <v>7521</v>
      </c>
      <c r="H321" s="203">
        <v>8000</v>
      </c>
      <c r="I321" s="204"/>
      <c r="J321" s="205">
        <f t="shared" si="58"/>
        <v>0</v>
      </c>
      <c r="K321" s="205">
        <f t="shared" si="59"/>
        <v>0</v>
      </c>
      <c r="L321" s="374">
        <f t="shared" si="60"/>
        <v>120336</v>
      </c>
      <c r="M321" s="375">
        <f t="shared" si="61"/>
        <v>128000</v>
      </c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 spans="1:26" ht="14.4">
      <c r="A322" s="675"/>
      <c r="B322" s="230" t="s">
        <v>411</v>
      </c>
      <c r="C322" s="227">
        <v>43</v>
      </c>
      <c r="D322" s="321"/>
      <c r="E322" s="321"/>
      <c r="F322" s="373">
        <f t="shared" si="50"/>
        <v>43</v>
      </c>
      <c r="G322" s="203">
        <v>800</v>
      </c>
      <c r="H322" s="203">
        <v>1200</v>
      </c>
      <c r="I322" s="204"/>
      <c r="J322" s="205">
        <f t="shared" si="58"/>
        <v>0</v>
      </c>
      <c r="K322" s="205">
        <f t="shared" si="59"/>
        <v>0</v>
      </c>
      <c r="L322" s="374">
        <f t="shared" si="60"/>
        <v>34400</v>
      </c>
      <c r="M322" s="375">
        <f t="shared" si="61"/>
        <v>51600</v>
      </c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 spans="1:26" ht="14.4">
      <c r="A323" s="675"/>
      <c r="B323" s="230" t="s">
        <v>412</v>
      </c>
      <c r="C323" s="227"/>
      <c r="D323" s="321"/>
      <c r="E323" s="321"/>
      <c r="F323" s="373">
        <f t="shared" si="50"/>
        <v>0</v>
      </c>
      <c r="G323" s="203">
        <v>2480</v>
      </c>
      <c r="H323" s="203">
        <v>3000</v>
      </c>
      <c r="I323" s="204"/>
      <c r="J323" s="205">
        <f t="shared" si="58"/>
        <v>0</v>
      </c>
      <c r="K323" s="205">
        <f t="shared" si="59"/>
        <v>0</v>
      </c>
      <c r="L323" s="374">
        <f t="shared" si="60"/>
        <v>0</v>
      </c>
      <c r="M323" s="375">
        <f t="shared" si="61"/>
        <v>0</v>
      </c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 spans="1:26" ht="14.4">
      <c r="A324" s="675"/>
      <c r="B324" s="230" t="s">
        <v>413</v>
      </c>
      <c r="C324" s="227">
        <v>34</v>
      </c>
      <c r="D324" s="321"/>
      <c r="E324" s="321"/>
      <c r="F324" s="373">
        <f t="shared" si="50"/>
        <v>34</v>
      </c>
      <c r="G324" s="239">
        <v>2100</v>
      </c>
      <c r="H324" s="239">
        <v>2500</v>
      </c>
      <c r="I324" s="213"/>
      <c r="J324" s="205">
        <f t="shared" si="58"/>
        <v>0</v>
      </c>
      <c r="K324" s="205">
        <f t="shared" si="59"/>
        <v>0</v>
      </c>
      <c r="L324" s="374">
        <f t="shared" si="60"/>
        <v>71400</v>
      </c>
      <c r="M324" s="375">
        <f t="shared" si="61"/>
        <v>85000</v>
      </c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 spans="1:26" ht="14.4">
      <c r="A325" s="676"/>
      <c r="B325" s="376"/>
      <c r="C325" s="377">
        <f t="shared" ref="C325:I325" si="62">SUM(C308:C321)</f>
        <v>764</v>
      </c>
      <c r="D325" s="378">
        <f t="shared" si="62"/>
        <v>0</v>
      </c>
      <c r="E325" s="379">
        <f t="shared" si="62"/>
        <v>0</v>
      </c>
      <c r="F325" s="379">
        <f t="shared" si="62"/>
        <v>764</v>
      </c>
      <c r="G325" s="380">
        <f t="shared" si="62"/>
        <v>101207</v>
      </c>
      <c r="H325" s="380">
        <f t="shared" si="62"/>
        <v>106600</v>
      </c>
      <c r="I325" s="381">
        <f t="shared" si="62"/>
        <v>0</v>
      </c>
      <c r="J325" s="382">
        <f>SUM(J308:J324)</f>
        <v>0</v>
      </c>
      <c r="K325" s="382">
        <f>SUM(K308:K321)</f>
        <v>0</v>
      </c>
      <c r="L325" s="382">
        <f t="shared" ref="L325:M325" si="63">SUM(L308:L324)</f>
        <v>4857738</v>
      </c>
      <c r="M325" s="382">
        <f t="shared" si="63"/>
        <v>5216300</v>
      </c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 spans="1:26" ht="14.4">
      <c r="A326" s="191"/>
      <c r="B326" s="383"/>
      <c r="C326" s="384"/>
      <c r="D326" s="191"/>
      <c r="E326" s="191"/>
      <c r="F326" s="191"/>
      <c r="G326" s="386"/>
      <c r="H326" s="386"/>
      <c r="I326" s="386"/>
      <c r="J326" s="387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 spans="1:26" ht="14.4">
      <c r="A327" s="191"/>
      <c r="B327" s="387"/>
      <c r="C327" s="201"/>
      <c r="D327" s="390" t="s">
        <v>118</v>
      </c>
      <c r="E327" s="390" t="s">
        <v>131</v>
      </c>
      <c r="F327" s="390" t="s">
        <v>414</v>
      </c>
      <c r="G327" s="386"/>
      <c r="H327" s="677" t="s">
        <v>415</v>
      </c>
      <c r="I327" s="678"/>
      <c r="J327" s="387"/>
      <c r="K327" s="677" t="s">
        <v>416</v>
      </c>
      <c r="L327" s="678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 spans="1:26" ht="14.4">
      <c r="A328" s="191"/>
      <c r="B328" s="390" t="s">
        <v>3</v>
      </c>
      <c r="C328" s="391"/>
      <c r="D328" s="392">
        <f t="shared" ref="D328:F328" si="64">+J22</f>
        <v>0</v>
      </c>
      <c r="E328" s="392">
        <f t="shared" si="64"/>
        <v>0</v>
      </c>
      <c r="F328" s="464">
        <f t="shared" si="64"/>
        <v>91162191</v>
      </c>
      <c r="G328" s="386"/>
      <c r="H328" s="393" t="s">
        <v>120</v>
      </c>
      <c r="I328" s="394"/>
      <c r="J328" s="387"/>
      <c r="K328" s="393" t="s">
        <v>417</v>
      </c>
      <c r="L328" s="394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 spans="1:26" ht="14.4">
      <c r="A329" s="191"/>
      <c r="B329" s="390" t="s">
        <v>418</v>
      </c>
      <c r="C329" s="391"/>
      <c r="D329" s="392">
        <f t="shared" ref="D329:F329" si="65">+J60</f>
        <v>0</v>
      </c>
      <c r="E329" s="392">
        <f t="shared" si="65"/>
        <v>0</v>
      </c>
      <c r="F329" s="464">
        <f t="shared" si="65"/>
        <v>102098962.5</v>
      </c>
      <c r="G329" s="386"/>
      <c r="H329" s="395" t="s">
        <v>419</v>
      </c>
      <c r="I329" s="396">
        <v>20000000</v>
      </c>
      <c r="J329" s="387" t="s">
        <v>420</v>
      </c>
      <c r="K329" s="395" t="s">
        <v>421</v>
      </c>
      <c r="L329" s="396">
        <v>460000</v>
      </c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 spans="1:26" ht="14.4">
      <c r="A330" s="191"/>
      <c r="B330" s="390" t="s">
        <v>422</v>
      </c>
      <c r="C330" s="391"/>
      <c r="D330" s="392">
        <f t="shared" ref="D330:F330" si="66">+J87</f>
        <v>0</v>
      </c>
      <c r="E330" s="392">
        <f t="shared" si="66"/>
        <v>0</v>
      </c>
      <c r="F330" s="464">
        <f t="shared" si="66"/>
        <v>23231511.25</v>
      </c>
      <c r="G330" s="386"/>
      <c r="H330" s="395" t="s">
        <v>423</v>
      </c>
      <c r="I330" s="396">
        <f>39517417-25000000-1545000</f>
        <v>12972417</v>
      </c>
      <c r="J330" s="387"/>
      <c r="K330" s="395"/>
      <c r="L330" s="396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 spans="1:26" ht="14.4">
      <c r="A331" s="191"/>
      <c r="B331" s="390" t="s">
        <v>424</v>
      </c>
      <c r="C331" s="391"/>
      <c r="D331" s="392">
        <f t="shared" ref="D331:F331" si="67">+J147</f>
        <v>0</v>
      </c>
      <c r="E331" s="392">
        <f t="shared" si="67"/>
        <v>0</v>
      </c>
      <c r="F331" s="464">
        <f t="shared" si="67"/>
        <v>9939379</v>
      </c>
      <c r="G331" s="386"/>
      <c r="H331" s="395" t="s">
        <v>662</v>
      </c>
      <c r="I331" s="396">
        <v>20000000</v>
      </c>
      <c r="J331" s="387"/>
      <c r="K331" s="395"/>
      <c r="L331" s="396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 spans="1:26" ht="14.4">
      <c r="A332" s="191"/>
      <c r="B332" s="390" t="s">
        <v>425</v>
      </c>
      <c r="C332" s="391"/>
      <c r="D332" s="392">
        <f t="shared" ref="D332:F332" si="68">+J159</f>
        <v>0</v>
      </c>
      <c r="E332" s="392">
        <f t="shared" si="68"/>
        <v>0</v>
      </c>
      <c r="F332" s="464">
        <f t="shared" si="68"/>
        <v>17352484</v>
      </c>
      <c r="G332" s="386"/>
      <c r="H332" s="395"/>
      <c r="I332" s="396"/>
      <c r="J332" s="387"/>
      <c r="K332" s="395"/>
      <c r="L332" s="396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 spans="1:26" ht="14.4">
      <c r="A333" s="191"/>
      <c r="B333" s="390" t="s">
        <v>426</v>
      </c>
      <c r="C333" s="391"/>
      <c r="D333" s="392">
        <f t="shared" ref="D333:E333" si="69">+J244</f>
        <v>0</v>
      </c>
      <c r="E333" s="392">
        <f t="shared" si="69"/>
        <v>0</v>
      </c>
      <c r="F333" s="464">
        <f>+L244+L183</f>
        <v>20428250</v>
      </c>
      <c r="G333" s="386"/>
      <c r="H333" s="395"/>
      <c r="I333" s="396"/>
      <c r="J333" s="387"/>
      <c r="K333" s="395"/>
      <c r="L333" s="396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 spans="1:26" ht="14.4">
      <c r="A334" s="191"/>
      <c r="B334" s="390" t="s">
        <v>427</v>
      </c>
      <c r="C334" s="391"/>
      <c r="D334" s="392">
        <f t="shared" ref="D334:E334" si="70">+J307</f>
        <v>0</v>
      </c>
      <c r="E334" s="392">
        <f t="shared" si="70"/>
        <v>0</v>
      </c>
      <c r="F334" s="465">
        <f>L307</f>
        <v>23443766</v>
      </c>
      <c r="G334" s="386"/>
      <c r="H334" s="395"/>
      <c r="I334" s="396"/>
      <c r="J334" s="387"/>
      <c r="K334" s="395"/>
      <c r="L334" s="396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 spans="1:26" ht="14.4">
      <c r="A335" s="191"/>
      <c r="B335" s="390" t="s">
        <v>663</v>
      </c>
      <c r="C335" s="391"/>
      <c r="D335" s="392">
        <f t="shared" ref="D335:E335" si="71">+J308</f>
        <v>0</v>
      </c>
      <c r="E335" s="392">
        <f t="shared" si="71"/>
        <v>0</v>
      </c>
      <c r="F335" s="465">
        <f>L183</f>
        <v>1980950</v>
      </c>
      <c r="G335" s="386"/>
      <c r="H335" s="395"/>
      <c r="I335" s="396"/>
      <c r="J335" s="387"/>
      <c r="K335" s="395"/>
      <c r="L335" s="396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 spans="1:26" ht="14.4">
      <c r="A336" s="191"/>
      <c r="B336" s="390" t="s">
        <v>428</v>
      </c>
      <c r="C336" s="391"/>
      <c r="D336" s="392">
        <f t="shared" ref="D336:F336" si="72">+J325</f>
        <v>0</v>
      </c>
      <c r="E336" s="392">
        <f t="shared" si="72"/>
        <v>0</v>
      </c>
      <c r="F336" s="464">
        <f t="shared" si="72"/>
        <v>4857738</v>
      </c>
      <c r="G336" s="386"/>
      <c r="H336" s="395"/>
      <c r="I336" s="396"/>
      <c r="J336" s="387"/>
      <c r="K336" s="395"/>
      <c r="L336" s="396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 spans="1:26" ht="14.4">
      <c r="A337" s="191"/>
      <c r="B337" s="390" t="s">
        <v>429</v>
      </c>
      <c r="C337" s="391"/>
      <c r="D337" s="392">
        <f t="shared" ref="D337:F337" si="73">J576</f>
        <v>0</v>
      </c>
      <c r="E337" s="392">
        <f t="shared" si="73"/>
        <v>0</v>
      </c>
      <c r="F337" s="464">
        <f t="shared" si="73"/>
        <v>31473546.75</v>
      </c>
      <c r="G337" s="386"/>
      <c r="H337" s="395"/>
      <c r="I337" s="396"/>
      <c r="J337" s="387"/>
      <c r="K337" s="395"/>
      <c r="L337" s="396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 spans="1:26" ht="15.6">
      <c r="A338" s="191"/>
      <c r="B338" s="398" t="s">
        <v>430</v>
      </c>
      <c r="C338" s="399"/>
      <c r="D338" s="400">
        <f t="shared" ref="D338:F338" si="74">SUM(D328:D337)</f>
        <v>0</v>
      </c>
      <c r="E338" s="400">
        <f t="shared" si="74"/>
        <v>0</v>
      </c>
      <c r="F338" s="401">
        <f t="shared" si="74"/>
        <v>325968778.5</v>
      </c>
      <c r="G338" s="386"/>
      <c r="H338" s="395" t="s">
        <v>431</v>
      </c>
      <c r="I338" s="396"/>
      <c r="J338" s="387"/>
      <c r="K338" s="395"/>
      <c r="L338" s="396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 spans="1:26" ht="15.6">
      <c r="A339" s="191"/>
      <c r="B339" s="402" t="s">
        <v>432</v>
      </c>
      <c r="C339" s="403"/>
      <c r="D339" s="404"/>
      <c r="E339" s="405"/>
      <c r="F339" s="406">
        <v>3823000</v>
      </c>
      <c r="G339" s="386"/>
      <c r="H339" s="395" t="s">
        <v>433</v>
      </c>
      <c r="I339" s="407"/>
      <c r="J339" s="387"/>
      <c r="K339" s="395"/>
      <c r="L339" s="407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 spans="1:26" ht="14.4">
      <c r="A340" s="191"/>
      <c r="B340" s="408" t="s">
        <v>112</v>
      </c>
      <c r="C340" s="409"/>
      <c r="D340" s="410"/>
      <c r="E340" s="411"/>
      <c r="F340" s="412">
        <v>27300000</v>
      </c>
      <c r="G340" s="386"/>
      <c r="H340" s="386"/>
      <c r="I340" s="413">
        <f>SUM(I328:I339)</f>
        <v>52972417</v>
      </c>
      <c r="J340" s="387"/>
      <c r="K340" s="386"/>
      <c r="L340" s="413">
        <f>SUM(L328:L339)</f>
        <v>460000</v>
      </c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 spans="1:26" ht="17.399999999999999">
      <c r="A341" s="191"/>
      <c r="B341" s="414" t="s">
        <v>430</v>
      </c>
      <c r="C341" s="415"/>
      <c r="D341" s="416"/>
      <c r="E341" s="411"/>
      <c r="F341" s="466">
        <f>F338+F339+F340</f>
        <v>357091778.5</v>
      </c>
      <c r="G341" s="467" t="s">
        <v>435</v>
      </c>
      <c r="H341" s="419">
        <f>F341-I340+L340</f>
        <v>304579361.5</v>
      </c>
      <c r="I341" s="387"/>
      <c r="J341" s="387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 spans="1:26" ht="14.4">
      <c r="A342" s="420"/>
      <c r="B342" s="420"/>
      <c r="C342" s="20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 spans="1:26" ht="14.4">
      <c r="A343" s="420"/>
      <c r="B343" s="420"/>
      <c r="C343" s="20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 spans="1:26" ht="28.8">
      <c r="A344" s="679">
        <v>24</v>
      </c>
      <c r="B344" s="680"/>
      <c r="C344" s="421" t="s">
        <v>125</v>
      </c>
      <c r="D344" s="422" t="s">
        <v>126</v>
      </c>
      <c r="E344" s="422" t="s">
        <v>127</v>
      </c>
      <c r="F344" s="423" t="s">
        <v>0</v>
      </c>
      <c r="G344" s="424" t="s">
        <v>436</v>
      </c>
      <c r="H344" s="425" t="s">
        <v>437</v>
      </c>
      <c r="I344" s="426" t="s">
        <v>438</v>
      </c>
      <c r="J344" s="422" t="s">
        <v>130</v>
      </c>
      <c r="K344" s="422" t="s">
        <v>131</v>
      </c>
      <c r="L344" s="422" t="s">
        <v>2</v>
      </c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spans="1:26" ht="14.4">
      <c r="A345" s="427"/>
      <c r="B345" s="428" t="s">
        <v>439</v>
      </c>
      <c r="C345" s="321"/>
      <c r="D345" s="321"/>
      <c r="E345" s="321"/>
      <c r="F345" s="429">
        <f t="shared" ref="F345:F422" si="75">+C345+D345-E345</f>
        <v>0</v>
      </c>
      <c r="G345" s="203">
        <v>213600</v>
      </c>
      <c r="H345" s="203">
        <v>220000</v>
      </c>
      <c r="I345" s="204"/>
      <c r="J345" s="205">
        <f t="shared" ref="J345:J365" si="76">+H345*I345</f>
        <v>0</v>
      </c>
      <c r="K345" s="205">
        <f t="shared" ref="K345:K422" si="77">+(H345-G345)*I345</f>
        <v>0</v>
      </c>
      <c r="L345" s="430">
        <f t="shared" ref="L345:L422" si="78">+G345*F345</f>
        <v>0</v>
      </c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spans="1:26" ht="14.4">
      <c r="A346" s="427"/>
      <c r="B346" s="428" t="s">
        <v>440</v>
      </c>
      <c r="C346" s="431">
        <v>3</v>
      </c>
      <c r="D346" s="321"/>
      <c r="E346" s="321"/>
      <c r="F346" s="429">
        <f t="shared" si="75"/>
        <v>3</v>
      </c>
      <c r="G346" s="203">
        <v>166772</v>
      </c>
      <c r="H346" s="203">
        <v>180000</v>
      </c>
      <c r="I346" s="204"/>
      <c r="J346" s="205">
        <f t="shared" si="76"/>
        <v>0</v>
      </c>
      <c r="K346" s="205">
        <f t="shared" si="77"/>
        <v>0</v>
      </c>
      <c r="L346" s="430">
        <f t="shared" si="78"/>
        <v>500316</v>
      </c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spans="1:26" ht="14.4">
      <c r="A347" s="427"/>
      <c r="B347" s="428" t="s">
        <v>441</v>
      </c>
      <c r="C347" s="431">
        <v>1</v>
      </c>
      <c r="D347" s="321"/>
      <c r="E347" s="321"/>
      <c r="F347" s="429">
        <f t="shared" si="75"/>
        <v>1</v>
      </c>
      <c r="G347" s="203">
        <v>176484</v>
      </c>
      <c r="H347" s="203">
        <v>190000</v>
      </c>
      <c r="I347" s="204"/>
      <c r="J347" s="205">
        <f t="shared" si="76"/>
        <v>0</v>
      </c>
      <c r="K347" s="205">
        <f t="shared" si="77"/>
        <v>0</v>
      </c>
      <c r="L347" s="430">
        <f t="shared" si="78"/>
        <v>176484</v>
      </c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spans="1:26" ht="14.4">
      <c r="A348" s="427"/>
      <c r="B348" s="428" t="s">
        <v>442</v>
      </c>
      <c r="C348" s="431">
        <v>3</v>
      </c>
      <c r="D348" s="321"/>
      <c r="E348" s="321"/>
      <c r="F348" s="429">
        <f t="shared" si="75"/>
        <v>3</v>
      </c>
      <c r="G348" s="203">
        <v>181000</v>
      </c>
      <c r="H348" s="203">
        <v>196000</v>
      </c>
      <c r="I348" s="204"/>
      <c r="J348" s="205">
        <f t="shared" si="76"/>
        <v>0</v>
      </c>
      <c r="K348" s="205">
        <f t="shared" si="77"/>
        <v>0</v>
      </c>
      <c r="L348" s="430">
        <f t="shared" si="78"/>
        <v>543000</v>
      </c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spans="1:26" ht="14.4">
      <c r="A349" s="427"/>
      <c r="B349" s="428" t="s">
        <v>443</v>
      </c>
      <c r="C349" s="431">
        <v>9</v>
      </c>
      <c r="D349" s="321"/>
      <c r="E349" s="321"/>
      <c r="F349" s="429">
        <f t="shared" si="75"/>
        <v>9</v>
      </c>
      <c r="G349" s="203">
        <v>141931</v>
      </c>
      <c r="H349" s="203">
        <v>155000</v>
      </c>
      <c r="I349" s="204"/>
      <c r="J349" s="205">
        <f t="shared" si="76"/>
        <v>0</v>
      </c>
      <c r="K349" s="205">
        <f t="shared" si="77"/>
        <v>0</v>
      </c>
      <c r="L349" s="430">
        <f t="shared" si="78"/>
        <v>1277379</v>
      </c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spans="1:26" ht="14.4">
      <c r="A350" s="427"/>
      <c r="B350" s="428" t="s">
        <v>444</v>
      </c>
      <c r="C350" s="321">
        <v>2</v>
      </c>
      <c r="D350" s="321"/>
      <c r="E350" s="321"/>
      <c r="F350" s="429">
        <f t="shared" si="75"/>
        <v>2</v>
      </c>
      <c r="G350" s="203">
        <v>81350</v>
      </c>
      <c r="H350" s="203">
        <v>93000</v>
      </c>
      <c r="I350" s="204"/>
      <c r="J350" s="205">
        <f t="shared" si="76"/>
        <v>0</v>
      </c>
      <c r="K350" s="205">
        <f t="shared" si="77"/>
        <v>0</v>
      </c>
      <c r="L350" s="430">
        <f t="shared" si="78"/>
        <v>162700</v>
      </c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spans="1:26" ht="14.4">
      <c r="A351" s="427"/>
      <c r="B351" s="428" t="s">
        <v>445</v>
      </c>
      <c r="C351" s="321">
        <v>4</v>
      </c>
      <c r="D351" s="321"/>
      <c r="E351" s="321"/>
      <c r="F351" s="429">
        <f t="shared" si="75"/>
        <v>4</v>
      </c>
      <c r="G351" s="203">
        <v>41000</v>
      </c>
      <c r="H351" s="203">
        <v>43000</v>
      </c>
      <c r="I351" s="204"/>
      <c r="J351" s="205">
        <f t="shared" si="76"/>
        <v>0</v>
      </c>
      <c r="K351" s="205">
        <f t="shared" si="77"/>
        <v>0</v>
      </c>
      <c r="L351" s="430">
        <f t="shared" si="78"/>
        <v>164000</v>
      </c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spans="1:26" ht="14.4">
      <c r="A352" s="427"/>
      <c r="B352" s="428" t="s">
        <v>446</v>
      </c>
      <c r="C352" s="431">
        <v>1</v>
      </c>
      <c r="D352" s="321"/>
      <c r="E352" s="321"/>
      <c r="F352" s="429">
        <f t="shared" si="75"/>
        <v>1</v>
      </c>
      <c r="G352" s="203">
        <v>160857</v>
      </c>
      <c r="H352" s="203">
        <v>170000</v>
      </c>
      <c r="I352" s="204"/>
      <c r="J352" s="205">
        <f t="shared" si="76"/>
        <v>0</v>
      </c>
      <c r="K352" s="205">
        <f t="shared" si="77"/>
        <v>0</v>
      </c>
      <c r="L352" s="430">
        <f t="shared" si="78"/>
        <v>160857</v>
      </c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spans="1:26" ht="14.4">
      <c r="A353" s="427"/>
      <c r="B353" s="428" t="s">
        <v>447</v>
      </c>
      <c r="C353" s="431">
        <v>1</v>
      </c>
      <c r="D353" s="321"/>
      <c r="E353" s="321"/>
      <c r="F353" s="429">
        <f t="shared" si="75"/>
        <v>1</v>
      </c>
      <c r="G353" s="203">
        <v>128000</v>
      </c>
      <c r="H353" s="203">
        <v>140000</v>
      </c>
      <c r="I353" s="204"/>
      <c r="J353" s="205">
        <f t="shared" si="76"/>
        <v>0</v>
      </c>
      <c r="K353" s="205">
        <f t="shared" si="77"/>
        <v>0</v>
      </c>
      <c r="L353" s="430">
        <f t="shared" si="78"/>
        <v>128000</v>
      </c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 spans="1:26" ht="14.4">
      <c r="A354" s="427"/>
      <c r="B354" s="428" t="s">
        <v>448</v>
      </c>
      <c r="C354" s="431"/>
      <c r="D354" s="321"/>
      <c r="E354" s="321"/>
      <c r="F354" s="429">
        <f t="shared" si="75"/>
        <v>0</v>
      </c>
      <c r="G354" s="203">
        <v>90814</v>
      </c>
      <c r="H354" s="203">
        <v>99000</v>
      </c>
      <c r="I354" s="204"/>
      <c r="J354" s="205">
        <f t="shared" si="76"/>
        <v>0</v>
      </c>
      <c r="K354" s="205">
        <f t="shared" si="77"/>
        <v>0</v>
      </c>
      <c r="L354" s="430">
        <f t="shared" si="78"/>
        <v>0</v>
      </c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 spans="1:26" ht="14.4">
      <c r="A355" s="427"/>
      <c r="B355" s="428" t="s">
        <v>449</v>
      </c>
      <c r="C355" s="431">
        <v>1</v>
      </c>
      <c r="D355" s="321"/>
      <c r="E355" s="321"/>
      <c r="F355" s="429">
        <f t="shared" si="75"/>
        <v>1</v>
      </c>
      <c r="G355" s="203">
        <v>160312</v>
      </c>
      <c r="H355" s="203">
        <v>170000</v>
      </c>
      <c r="I355" s="204"/>
      <c r="J355" s="205">
        <f t="shared" si="76"/>
        <v>0</v>
      </c>
      <c r="K355" s="205">
        <f t="shared" si="77"/>
        <v>0</v>
      </c>
      <c r="L355" s="430">
        <f t="shared" si="78"/>
        <v>160312</v>
      </c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 spans="1:26" ht="14.4">
      <c r="A356" s="427"/>
      <c r="B356" s="428" t="s">
        <v>450</v>
      </c>
      <c r="C356" s="321">
        <v>1</v>
      </c>
      <c r="D356" s="321"/>
      <c r="E356" s="321"/>
      <c r="F356" s="429">
        <f t="shared" si="75"/>
        <v>1</v>
      </c>
      <c r="G356" s="203">
        <v>166740</v>
      </c>
      <c r="H356" s="203">
        <v>172000</v>
      </c>
      <c r="I356" s="204"/>
      <c r="J356" s="205">
        <f t="shared" si="76"/>
        <v>0</v>
      </c>
      <c r="K356" s="205">
        <f t="shared" si="77"/>
        <v>0</v>
      </c>
      <c r="L356" s="430">
        <f t="shared" si="78"/>
        <v>166740</v>
      </c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 spans="1:26" ht="14.4">
      <c r="A357" s="427"/>
      <c r="B357" s="428" t="s">
        <v>451</v>
      </c>
      <c r="C357" s="431">
        <v>2</v>
      </c>
      <c r="D357" s="321"/>
      <c r="E357" s="321"/>
      <c r="F357" s="429">
        <f t="shared" si="75"/>
        <v>2</v>
      </c>
      <c r="G357" s="203">
        <v>129841</v>
      </c>
      <c r="H357" s="203">
        <v>142000</v>
      </c>
      <c r="I357" s="204"/>
      <c r="J357" s="205">
        <f t="shared" si="76"/>
        <v>0</v>
      </c>
      <c r="K357" s="205">
        <f t="shared" si="77"/>
        <v>0</v>
      </c>
      <c r="L357" s="430">
        <f t="shared" si="78"/>
        <v>259682</v>
      </c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 spans="1:26" ht="14.4">
      <c r="A358" s="427"/>
      <c r="B358" s="428" t="s">
        <v>452</v>
      </c>
      <c r="C358" s="321">
        <v>2</v>
      </c>
      <c r="D358" s="321"/>
      <c r="E358" s="321"/>
      <c r="F358" s="429">
        <f t="shared" si="75"/>
        <v>2</v>
      </c>
      <c r="G358" s="203">
        <v>69534</v>
      </c>
      <c r="H358" s="203">
        <v>72000</v>
      </c>
      <c r="I358" s="204"/>
      <c r="J358" s="205">
        <f t="shared" si="76"/>
        <v>0</v>
      </c>
      <c r="K358" s="205">
        <f t="shared" si="77"/>
        <v>0</v>
      </c>
      <c r="L358" s="430">
        <f t="shared" si="78"/>
        <v>139068</v>
      </c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 spans="1:26" ht="14.4">
      <c r="A359" s="427"/>
      <c r="B359" s="428" t="s">
        <v>453</v>
      </c>
      <c r="C359" s="431">
        <v>3</v>
      </c>
      <c r="D359" s="321"/>
      <c r="E359" s="321"/>
      <c r="F359" s="429">
        <f t="shared" si="75"/>
        <v>3</v>
      </c>
      <c r="G359" s="203">
        <v>82080</v>
      </c>
      <c r="H359" s="203">
        <v>89000</v>
      </c>
      <c r="I359" s="204"/>
      <c r="J359" s="205">
        <f t="shared" si="76"/>
        <v>0</v>
      </c>
      <c r="K359" s="205">
        <f t="shared" si="77"/>
        <v>0</v>
      </c>
      <c r="L359" s="430">
        <f t="shared" si="78"/>
        <v>246240</v>
      </c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 spans="1:26" ht="14.4">
      <c r="A360" s="427"/>
      <c r="B360" s="428" t="s">
        <v>454</v>
      </c>
      <c r="C360" s="431">
        <v>3</v>
      </c>
      <c r="D360" s="321"/>
      <c r="E360" s="321"/>
      <c r="F360" s="429">
        <f t="shared" si="75"/>
        <v>3</v>
      </c>
      <c r="G360" s="203">
        <v>62646</v>
      </c>
      <c r="H360" s="203">
        <v>69000</v>
      </c>
      <c r="I360" s="204"/>
      <c r="J360" s="205">
        <f t="shared" si="76"/>
        <v>0</v>
      </c>
      <c r="K360" s="205">
        <f t="shared" si="77"/>
        <v>0</v>
      </c>
      <c r="L360" s="430">
        <f t="shared" si="78"/>
        <v>187938</v>
      </c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 spans="1:26" ht="14.4">
      <c r="A361" s="427"/>
      <c r="B361" s="428" t="s">
        <v>455</v>
      </c>
      <c r="C361" s="321">
        <v>2</v>
      </c>
      <c r="D361" s="321"/>
      <c r="E361" s="321"/>
      <c r="F361" s="429">
        <f t="shared" si="75"/>
        <v>2</v>
      </c>
      <c r="G361" s="203">
        <v>39970</v>
      </c>
      <c r="H361" s="203">
        <v>44000</v>
      </c>
      <c r="I361" s="204"/>
      <c r="J361" s="205">
        <f t="shared" si="76"/>
        <v>0</v>
      </c>
      <c r="K361" s="205">
        <f t="shared" si="77"/>
        <v>0</v>
      </c>
      <c r="L361" s="430">
        <f t="shared" si="78"/>
        <v>79940</v>
      </c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 spans="1:26" ht="14.4">
      <c r="A362" s="427"/>
      <c r="B362" s="428" t="s">
        <v>456</v>
      </c>
      <c r="C362" s="431">
        <v>0</v>
      </c>
      <c r="D362" s="321"/>
      <c r="E362" s="321"/>
      <c r="F362" s="429">
        <f t="shared" si="75"/>
        <v>0</v>
      </c>
      <c r="G362" s="203">
        <v>18300</v>
      </c>
      <c r="H362" s="203">
        <v>21000</v>
      </c>
      <c r="I362" s="204"/>
      <c r="J362" s="205">
        <f t="shared" si="76"/>
        <v>0</v>
      </c>
      <c r="K362" s="205">
        <f t="shared" si="77"/>
        <v>0</v>
      </c>
      <c r="L362" s="430">
        <f t="shared" si="78"/>
        <v>0</v>
      </c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 spans="1:26" ht="14.4">
      <c r="A363" s="427"/>
      <c r="B363" s="428" t="s">
        <v>457</v>
      </c>
      <c r="C363" s="431">
        <v>0</v>
      </c>
      <c r="D363" s="321"/>
      <c r="E363" s="321"/>
      <c r="F363" s="429">
        <f t="shared" si="75"/>
        <v>0</v>
      </c>
      <c r="G363" s="203">
        <v>286000</v>
      </c>
      <c r="H363" s="203">
        <v>320000</v>
      </c>
      <c r="I363" s="204"/>
      <c r="J363" s="205">
        <f t="shared" si="76"/>
        <v>0</v>
      </c>
      <c r="K363" s="205">
        <f t="shared" si="77"/>
        <v>0</v>
      </c>
      <c r="L363" s="430">
        <f t="shared" si="78"/>
        <v>0</v>
      </c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 spans="1:26" ht="14.4">
      <c r="A364" s="427"/>
      <c r="B364" s="428" t="s">
        <v>458</v>
      </c>
      <c r="C364" s="431">
        <v>23</v>
      </c>
      <c r="D364" s="321"/>
      <c r="E364" s="321"/>
      <c r="F364" s="429">
        <f t="shared" si="75"/>
        <v>23</v>
      </c>
      <c r="G364" s="203">
        <v>132000</v>
      </c>
      <c r="H364" s="203">
        <v>145000</v>
      </c>
      <c r="I364" s="204"/>
      <c r="J364" s="205">
        <f t="shared" si="76"/>
        <v>0</v>
      </c>
      <c r="K364" s="205">
        <f t="shared" si="77"/>
        <v>0</v>
      </c>
      <c r="L364" s="430">
        <f t="shared" si="78"/>
        <v>3036000</v>
      </c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 spans="1:26" ht="14.4">
      <c r="A365" s="427"/>
      <c r="B365" s="428" t="s">
        <v>664</v>
      </c>
      <c r="C365" s="431">
        <v>10</v>
      </c>
      <c r="D365" s="321"/>
      <c r="E365" s="321"/>
      <c r="F365" s="429">
        <f t="shared" si="75"/>
        <v>10</v>
      </c>
      <c r="G365" s="203">
        <v>130000</v>
      </c>
      <c r="H365" s="203">
        <v>39000</v>
      </c>
      <c r="I365" s="204"/>
      <c r="J365" s="205">
        <f t="shared" si="76"/>
        <v>0</v>
      </c>
      <c r="K365" s="205">
        <f t="shared" si="77"/>
        <v>0</v>
      </c>
      <c r="L365" s="430">
        <f t="shared" si="78"/>
        <v>1300000</v>
      </c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 spans="1:26" ht="14.4">
      <c r="A366" s="427"/>
      <c r="B366" s="428" t="s">
        <v>460</v>
      </c>
      <c r="C366" s="431">
        <v>0</v>
      </c>
      <c r="D366" s="321"/>
      <c r="E366" s="321"/>
      <c r="F366" s="429">
        <f t="shared" si="75"/>
        <v>0</v>
      </c>
      <c r="G366" s="203">
        <v>75300</v>
      </c>
      <c r="H366" s="203">
        <v>78000</v>
      </c>
      <c r="I366" s="204"/>
      <c r="J366" s="205">
        <f t="shared" ref="J366:J422" si="79">+I366*H366</f>
        <v>0</v>
      </c>
      <c r="K366" s="205">
        <f t="shared" si="77"/>
        <v>0</v>
      </c>
      <c r="L366" s="430">
        <f t="shared" si="78"/>
        <v>0</v>
      </c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 spans="1:26" ht="14.4">
      <c r="A367" s="427"/>
      <c r="B367" s="428" t="s">
        <v>461</v>
      </c>
      <c r="C367" s="431"/>
      <c r="D367" s="321"/>
      <c r="E367" s="321"/>
      <c r="F367" s="429">
        <f t="shared" si="75"/>
        <v>0</v>
      </c>
      <c r="G367" s="203">
        <v>156500</v>
      </c>
      <c r="H367" s="203">
        <v>160000</v>
      </c>
      <c r="I367" s="204"/>
      <c r="J367" s="205">
        <f t="shared" si="79"/>
        <v>0</v>
      </c>
      <c r="K367" s="205">
        <f t="shared" si="77"/>
        <v>0</v>
      </c>
      <c r="L367" s="430">
        <f t="shared" si="78"/>
        <v>0</v>
      </c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 spans="1:26" ht="14.4">
      <c r="A368" s="427"/>
      <c r="B368" s="428" t="s">
        <v>462</v>
      </c>
      <c r="C368" s="431">
        <v>3</v>
      </c>
      <c r="D368" s="321"/>
      <c r="E368" s="321"/>
      <c r="F368" s="429">
        <f t="shared" si="75"/>
        <v>3</v>
      </c>
      <c r="G368" s="203">
        <v>124500</v>
      </c>
      <c r="H368" s="203">
        <v>127000</v>
      </c>
      <c r="I368" s="204"/>
      <c r="J368" s="205">
        <f t="shared" si="79"/>
        <v>0</v>
      </c>
      <c r="K368" s="205">
        <f t="shared" si="77"/>
        <v>0</v>
      </c>
      <c r="L368" s="430">
        <f t="shared" si="78"/>
        <v>373500</v>
      </c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 spans="1:26" ht="14.4">
      <c r="A369" s="427"/>
      <c r="B369" s="428" t="s">
        <v>463</v>
      </c>
      <c r="C369" s="431">
        <v>0</v>
      </c>
      <c r="D369" s="321"/>
      <c r="E369" s="321"/>
      <c r="F369" s="429">
        <f t="shared" si="75"/>
        <v>0</v>
      </c>
      <c r="G369" s="203">
        <v>74300</v>
      </c>
      <c r="H369" s="203">
        <v>78000</v>
      </c>
      <c r="I369" s="204"/>
      <c r="J369" s="205">
        <f t="shared" si="79"/>
        <v>0</v>
      </c>
      <c r="K369" s="205">
        <f t="shared" si="77"/>
        <v>0</v>
      </c>
      <c r="L369" s="430">
        <f t="shared" si="78"/>
        <v>0</v>
      </c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 spans="1:26" ht="14.4">
      <c r="A370" s="427"/>
      <c r="B370" s="428" t="s">
        <v>665</v>
      </c>
      <c r="C370" s="431">
        <v>2</v>
      </c>
      <c r="D370" s="321"/>
      <c r="E370" s="321"/>
      <c r="F370" s="429">
        <f t="shared" si="75"/>
        <v>2</v>
      </c>
      <c r="G370" s="203">
        <v>55000</v>
      </c>
      <c r="H370" s="203">
        <v>60000</v>
      </c>
      <c r="I370" s="204"/>
      <c r="J370" s="205">
        <f t="shared" si="79"/>
        <v>0</v>
      </c>
      <c r="K370" s="205">
        <f t="shared" si="77"/>
        <v>0</v>
      </c>
      <c r="L370" s="430">
        <f t="shared" si="78"/>
        <v>110000</v>
      </c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 spans="1:26" ht="14.4">
      <c r="A371" s="427"/>
      <c r="B371" s="428" t="s">
        <v>465</v>
      </c>
      <c r="C371" s="431">
        <v>2</v>
      </c>
      <c r="D371" s="321"/>
      <c r="E371" s="321"/>
      <c r="F371" s="429">
        <f t="shared" si="75"/>
        <v>2</v>
      </c>
      <c r="G371" s="203">
        <v>47725</v>
      </c>
      <c r="H371" s="203">
        <v>53000</v>
      </c>
      <c r="I371" s="204"/>
      <c r="J371" s="205">
        <f t="shared" si="79"/>
        <v>0</v>
      </c>
      <c r="K371" s="205">
        <f t="shared" si="77"/>
        <v>0</v>
      </c>
      <c r="L371" s="430">
        <f t="shared" si="78"/>
        <v>95450</v>
      </c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 spans="1:26" ht="14.4">
      <c r="A372" s="427"/>
      <c r="B372" s="428" t="s">
        <v>466</v>
      </c>
      <c r="C372" s="431">
        <v>2</v>
      </c>
      <c r="D372" s="321"/>
      <c r="E372" s="321"/>
      <c r="F372" s="429">
        <f t="shared" si="75"/>
        <v>2</v>
      </c>
      <c r="G372" s="203">
        <v>25888</v>
      </c>
      <c r="H372" s="203">
        <v>28500</v>
      </c>
      <c r="I372" s="204"/>
      <c r="J372" s="205">
        <f t="shared" si="79"/>
        <v>0</v>
      </c>
      <c r="K372" s="205">
        <f t="shared" si="77"/>
        <v>0</v>
      </c>
      <c r="L372" s="430">
        <f t="shared" si="78"/>
        <v>51776</v>
      </c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 spans="1:26" ht="14.4">
      <c r="A373" s="427"/>
      <c r="B373" s="428" t="s">
        <v>467</v>
      </c>
      <c r="C373" s="431">
        <v>1</v>
      </c>
      <c r="D373" s="321"/>
      <c r="E373" s="321"/>
      <c r="F373" s="429">
        <f t="shared" si="75"/>
        <v>1</v>
      </c>
      <c r="G373" s="203">
        <v>158300</v>
      </c>
      <c r="H373" s="203">
        <v>167000</v>
      </c>
      <c r="I373" s="204"/>
      <c r="J373" s="205">
        <f t="shared" si="79"/>
        <v>0</v>
      </c>
      <c r="K373" s="205">
        <f t="shared" si="77"/>
        <v>0</v>
      </c>
      <c r="L373" s="430">
        <f t="shared" si="78"/>
        <v>158300</v>
      </c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 spans="1:26" ht="14.4">
      <c r="A374" s="427"/>
      <c r="B374" s="428" t="s">
        <v>468</v>
      </c>
      <c r="C374" s="431">
        <v>3</v>
      </c>
      <c r="D374" s="321"/>
      <c r="E374" s="321"/>
      <c r="F374" s="429">
        <f t="shared" si="75"/>
        <v>3</v>
      </c>
      <c r="G374" s="203">
        <v>129000</v>
      </c>
      <c r="H374" s="203">
        <v>136000</v>
      </c>
      <c r="I374" s="204"/>
      <c r="J374" s="205">
        <f t="shared" si="79"/>
        <v>0</v>
      </c>
      <c r="K374" s="205">
        <f t="shared" si="77"/>
        <v>0</v>
      </c>
      <c r="L374" s="430">
        <f t="shared" si="78"/>
        <v>387000</v>
      </c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 spans="1:26" ht="14.4">
      <c r="A375" s="427"/>
      <c r="B375" s="428" t="s">
        <v>469</v>
      </c>
      <c r="C375" s="431">
        <v>3</v>
      </c>
      <c r="D375" s="321"/>
      <c r="E375" s="321"/>
      <c r="F375" s="429">
        <f t="shared" si="75"/>
        <v>3</v>
      </c>
      <c r="G375" s="203">
        <v>129000</v>
      </c>
      <c r="H375" s="203">
        <v>131000</v>
      </c>
      <c r="I375" s="204"/>
      <c r="J375" s="205">
        <f t="shared" si="79"/>
        <v>0</v>
      </c>
      <c r="K375" s="205">
        <f t="shared" si="77"/>
        <v>0</v>
      </c>
      <c r="L375" s="430">
        <f t="shared" si="78"/>
        <v>387000</v>
      </c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 spans="1:26" ht="14.4">
      <c r="A376" s="427"/>
      <c r="B376" s="428" t="s">
        <v>470</v>
      </c>
      <c r="C376" s="431">
        <v>3</v>
      </c>
      <c r="D376" s="321"/>
      <c r="E376" s="321"/>
      <c r="F376" s="429">
        <f t="shared" si="75"/>
        <v>3</v>
      </c>
      <c r="G376" s="203">
        <v>129068</v>
      </c>
      <c r="H376" s="203">
        <v>131000</v>
      </c>
      <c r="I376" s="204"/>
      <c r="J376" s="205">
        <f t="shared" si="79"/>
        <v>0</v>
      </c>
      <c r="K376" s="205">
        <f t="shared" si="77"/>
        <v>0</v>
      </c>
      <c r="L376" s="430">
        <f t="shared" si="78"/>
        <v>387204</v>
      </c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 spans="1:26" ht="14.4">
      <c r="A377" s="427"/>
      <c r="B377" s="428" t="s">
        <v>471</v>
      </c>
      <c r="C377" s="431">
        <v>4</v>
      </c>
      <c r="D377" s="321"/>
      <c r="E377" s="321"/>
      <c r="F377" s="429">
        <f t="shared" si="75"/>
        <v>4</v>
      </c>
      <c r="G377" s="203">
        <v>128936</v>
      </c>
      <c r="H377" s="203">
        <v>131000</v>
      </c>
      <c r="I377" s="204"/>
      <c r="J377" s="205">
        <f t="shared" si="79"/>
        <v>0</v>
      </c>
      <c r="K377" s="205">
        <f t="shared" si="77"/>
        <v>0</v>
      </c>
      <c r="L377" s="430">
        <f t="shared" si="78"/>
        <v>515744</v>
      </c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 spans="1:26" ht="14.4">
      <c r="A378" s="427"/>
      <c r="B378" s="428" t="s">
        <v>472</v>
      </c>
      <c r="C378" s="431">
        <v>4</v>
      </c>
      <c r="D378" s="321"/>
      <c r="E378" s="321"/>
      <c r="F378" s="429">
        <f t="shared" si="75"/>
        <v>4</v>
      </c>
      <c r="G378" s="203">
        <v>69344</v>
      </c>
      <c r="H378" s="203">
        <v>78000</v>
      </c>
      <c r="I378" s="204"/>
      <c r="J378" s="205">
        <f t="shared" si="79"/>
        <v>0</v>
      </c>
      <c r="K378" s="205">
        <f t="shared" si="77"/>
        <v>0</v>
      </c>
      <c r="L378" s="430">
        <f t="shared" si="78"/>
        <v>277376</v>
      </c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 spans="1:26" ht="14.4">
      <c r="A379" s="427"/>
      <c r="B379" s="428" t="s">
        <v>666</v>
      </c>
      <c r="C379" s="431">
        <v>1</v>
      </c>
      <c r="D379" s="321"/>
      <c r="E379" s="321"/>
      <c r="F379" s="429">
        <f t="shared" si="75"/>
        <v>1</v>
      </c>
      <c r="G379" s="203">
        <v>72000</v>
      </c>
      <c r="H379" s="203">
        <v>78000</v>
      </c>
      <c r="I379" s="204"/>
      <c r="J379" s="205">
        <f t="shared" si="79"/>
        <v>0</v>
      </c>
      <c r="K379" s="205">
        <f t="shared" si="77"/>
        <v>0</v>
      </c>
      <c r="L379" s="430">
        <f t="shared" si="78"/>
        <v>72000</v>
      </c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 spans="1:26" ht="14.4">
      <c r="A380" s="427"/>
      <c r="B380" s="428" t="s">
        <v>473</v>
      </c>
      <c r="C380" s="431">
        <v>5</v>
      </c>
      <c r="D380" s="321"/>
      <c r="E380" s="321"/>
      <c r="F380" s="429">
        <f t="shared" si="75"/>
        <v>5</v>
      </c>
      <c r="G380" s="203">
        <v>16500</v>
      </c>
      <c r="H380" s="203">
        <v>19000</v>
      </c>
      <c r="I380" s="204"/>
      <c r="J380" s="205">
        <f t="shared" si="79"/>
        <v>0</v>
      </c>
      <c r="K380" s="205">
        <f t="shared" si="77"/>
        <v>0</v>
      </c>
      <c r="L380" s="430">
        <f t="shared" si="78"/>
        <v>82500</v>
      </c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 spans="1:26" ht="14.4">
      <c r="A381" s="427"/>
      <c r="B381" s="428" t="s">
        <v>474</v>
      </c>
      <c r="C381" s="431">
        <v>2</v>
      </c>
      <c r="D381" s="321"/>
      <c r="E381" s="321"/>
      <c r="F381" s="429">
        <f t="shared" si="75"/>
        <v>2</v>
      </c>
      <c r="G381" s="203">
        <v>71500</v>
      </c>
      <c r="H381" s="203">
        <v>75500</v>
      </c>
      <c r="I381" s="204"/>
      <c r="J381" s="205">
        <f t="shared" si="79"/>
        <v>0</v>
      </c>
      <c r="K381" s="205">
        <f t="shared" si="77"/>
        <v>0</v>
      </c>
      <c r="L381" s="430">
        <f t="shared" si="78"/>
        <v>143000</v>
      </c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 spans="1:26" ht="14.4">
      <c r="A382" s="427"/>
      <c r="B382" s="428" t="s">
        <v>475</v>
      </c>
      <c r="C382" s="431">
        <v>3</v>
      </c>
      <c r="D382" s="321"/>
      <c r="E382" s="321"/>
      <c r="F382" s="429">
        <f t="shared" si="75"/>
        <v>3</v>
      </c>
      <c r="G382" s="203">
        <v>61227</v>
      </c>
      <c r="H382" s="203">
        <v>65000</v>
      </c>
      <c r="I382" s="204"/>
      <c r="J382" s="205">
        <f t="shared" si="79"/>
        <v>0</v>
      </c>
      <c r="K382" s="205">
        <f t="shared" si="77"/>
        <v>0</v>
      </c>
      <c r="L382" s="430">
        <f t="shared" si="78"/>
        <v>183681</v>
      </c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 spans="1:26" ht="14.4">
      <c r="A383" s="427"/>
      <c r="B383" s="428" t="s">
        <v>476</v>
      </c>
      <c r="C383" s="321"/>
      <c r="D383" s="321"/>
      <c r="E383" s="321"/>
      <c r="F383" s="429">
        <f t="shared" si="75"/>
        <v>0</v>
      </c>
      <c r="G383" s="203">
        <v>30000</v>
      </c>
      <c r="H383" s="203">
        <v>33000</v>
      </c>
      <c r="I383" s="204"/>
      <c r="J383" s="205">
        <f t="shared" si="79"/>
        <v>0</v>
      </c>
      <c r="K383" s="205">
        <f t="shared" si="77"/>
        <v>0</v>
      </c>
      <c r="L383" s="430">
        <f t="shared" si="78"/>
        <v>0</v>
      </c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 spans="1:26" ht="14.4">
      <c r="A384" s="427"/>
      <c r="B384" s="428" t="s">
        <v>477</v>
      </c>
      <c r="C384" s="321">
        <v>4</v>
      </c>
      <c r="D384" s="321"/>
      <c r="E384" s="321"/>
      <c r="F384" s="429">
        <f t="shared" si="75"/>
        <v>4</v>
      </c>
      <c r="G384" s="203">
        <v>18100</v>
      </c>
      <c r="H384" s="203">
        <v>20000</v>
      </c>
      <c r="I384" s="204"/>
      <c r="J384" s="205">
        <f t="shared" si="79"/>
        <v>0</v>
      </c>
      <c r="K384" s="205">
        <f t="shared" si="77"/>
        <v>0</v>
      </c>
      <c r="L384" s="430">
        <f t="shared" si="78"/>
        <v>72400</v>
      </c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 spans="1:26" ht="14.4">
      <c r="A385" s="427"/>
      <c r="B385" s="428" t="s">
        <v>478</v>
      </c>
      <c r="C385" s="431">
        <v>2</v>
      </c>
      <c r="D385" s="321"/>
      <c r="E385" s="321"/>
      <c r="F385" s="429">
        <f t="shared" si="75"/>
        <v>2</v>
      </c>
      <c r="G385" s="203">
        <v>67624</v>
      </c>
      <c r="H385" s="203">
        <v>72000</v>
      </c>
      <c r="I385" s="204"/>
      <c r="J385" s="205">
        <f t="shared" si="79"/>
        <v>0</v>
      </c>
      <c r="K385" s="205">
        <f t="shared" si="77"/>
        <v>0</v>
      </c>
      <c r="L385" s="430">
        <f t="shared" si="78"/>
        <v>135248</v>
      </c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 spans="1:26" ht="14.4">
      <c r="A386" s="427"/>
      <c r="B386" s="428" t="s">
        <v>479</v>
      </c>
      <c r="C386" s="431"/>
      <c r="D386" s="321"/>
      <c r="E386" s="321"/>
      <c r="F386" s="429">
        <f t="shared" si="75"/>
        <v>0</v>
      </c>
      <c r="G386" s="203">
        <v>90000</v>
      </c>
      <c r="H386" s="203">
        <v>99000</v>
      </c>
      <c r="I386" s="204"/>
      <c r="J386" s="205">
        <f t="shared" si="79"/>
        <v>0</v>
      </c>
      <c r="K386" s="205">
        <f t="shared" si="77"/>
        <v>0</v>
      </c>
      <c r="L386" s="430">
        <f t="shared" si="78"/>
        <v>0</v>
      </c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 spans="1:26" ht="14.4">
      <c r="A387" s="427"/>
      <c r="B387" s="428" t="s">
        <v>480</v>
      </c>
      <c r="C387" s="321">
        <v>3</v>
      </c>
      <c r="D387" s="321"/>
      <c r="E387" s="321"/>
      <c r="F387" s="429">
        <f t="shared" si="75"/>
        <v>3</v>
      </c>
      <c r="G387" s="203">
        <v>50092</v>
      </c>
      <c r="H387" s="203">
        <v>55000</v>
      </c>
      <c r="I387" s="204"/>
      <c r="J387" s="205">
        <f t="shared" si="79"/>
        <v>0</v>
      </c>
      <c r="K387" s="205">
        <f t="shared" si="77"/>
        <v>0</v>
      </c>
      <c r="L387" s="430">
        <f t="shared" si="78"/>
        <v>150276</v>
      </c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 spans="1:26" ht="14.4">
      <c r="A388" s="427"/>
      <c r="B388" s="428" t="s">
        <v>481</v>
      </c>
      <c r="C388" s="431">
        <v>3</v>
      </c>
      <c r="D388" s="321"/>
      <c r="E388" s="321"/>
      <c r="F388" s="429">
        <f t="shared" si="75"/>
        <v>3</v>
      </c>
      <c r="G388" s="203">
        <v>27239</v>
      </c>
      <c r="H388" s="203">
        <v>30000</v>
      </c>
      <c r="I388" s="204"/>
      <c r="J388" s="205">
        <f t="shared" si="79"/>
        <v>0</v>
      </c>
      <c r="K388" s="205">
        <f t="shared" si="77"/>
        <v>0</v>
      </c>
      <c r="L388" s="430">
        <f t="shared" si="78"/>
        <v>81717</v>
      </c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 spans="1:26" ht="14.4">
      <c r="A389" s="427"/>
      <c r="B389" s="428" t="s">
        <v>482</v>
      </c>
      <c r="C389" s="431">
        <v>0</v>
      </c>
      <c r="D389" s="321"/>
      <c r="E389" s="321"/>
      <c r="F389" s="429">
        <f t="shared" si="75"/>
        <v>0</v>
      </c>
      <c r="G389" s="203">
        <v>13838</v>
      </c>
      <c r="H389" s="203">
        <v>16000</v>
      </c>
      <c r="I389" s="204"/>
      <c r="J389" s="205">
        <f t="shared" si="79"/>
        <v>0</v>
      </c>
      <c r="K389" s="205">
        <f t="shared" si="77"/>
        <v>0</v>
      </c>
      <c r="L389" s="430">
        <f t="shared" si="78"/>
        <v>0</v>
      </c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 spans="1:26" ht="14.4">
      <c r="A390" s="427"/>
      <c r="B390" s="428" t="s">
        <v>483</v>
      </c>
      <c r="C390" s="321">
        <v>3</v>
      </c>
      <c r="D390" s="321"/>
      <c r="E390" s="321"/>
      <c r="F390" s="429">
        <f t="shared" si="75"/>
        <v>3</v>
      </c>
      <c r="G390" s="203">
        <v>79800</v>
      </c>
      <c r="H390" s="203">
        <v>84000</v>
      </c>
      <c r="I390" s="204"/>
      <c r="J390" s="205">
        <f t="shared" si="79"/>
        <v>0</v>
      </c>
      <c r="K390" s="205">
        <f t="shared" si="77"/>
        <v>0</v>
      </c>
      <c r="L390" s="430">
        <f t="shared" si="78"/>
        <v>239400</v>
      </c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 spans="1:26" ht="14.4">
      <c r="A391" s="427"/>
      <c r="B391" s="428" t="s">
        <v>484</v>
      </c>
      <c r="C391" s="431">
        <v>2</v>
      </c>
      <c r="D391" s="321"/>
      <c r="E391" s="321"/>
      <c r="F391" s="429">
        <f t="shared" si="75"/>
        <v>2</v>
      </c>
      <c r="G391" s="203">
        <v>60000</v>
      </c>
      <c r="H391" s="203">
        <v>65000</v>
      </c>
      <c r="I391" s="204"/>
      <c r="J391" s="205">
        <f t="shared" si="79"/>
        <v>0</v>
      </c>
      <c r="K391" s="205">
        <f t="shared" si="77"/>
        <v>0</v>
      </c>
      <c r="L391" s="430">
        <f t="shared" si="78"/>
        <v>120000</v>
      </c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 spans="1:26" ht="14.4">
      <c r="A392" s="427"/>
      <c r="B392" s="428" t="s">
        <v>485</v>
      </c>
      <c r="C392" s="431">
        <v>2</v>
      </c>
      <c r="D392" s="321"/>
      <c r="E392" s="321"/>
      <c r="F392" s="429">
        <f t="shared" si="75"/>
        <v>2</v>
      </c>
      <c r="G392" s="203">
        <v>38000</v>
      </c>
      <c r="H392" s="203">
        <v>41000</v>
      </c>
      <c r="I392" s="204"/>
      <c r="J392" s="205">
        <f t="shared" si="79"/>
        <v>0</v>
      </c>
      <c r="K392" s="205">
        <f t="shared" si="77"/>
        <v>0</v>
      </c>
      <c r="L392" s="430">
        <f t="shared" si="78"/>
        <v>76000</v>
      </c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 spans="1:26" ht="14.4">
      <c r="A393" s="427"/>
      <c r="B393" s="428" t="s">
        <v>486</v>
      </c>
      <c r="C393" s="431">
        <v>2</v>
      </c>
      <c r="D393" s="321"/>
      <c r="E393" s="321"/>
      <c r="F393" s="429">
        <f t="shared" si="75"/>
        <v>2</v>
      </c>
      <c r="G393" s="203">
        <v>19000</v>
      </c>
      <c r="H393" s="203">
        <v>22000</v>
      </c>
      <c r="I393" s="204"/>
      <c r="J393" s="205">
        <f t="shared" si="79"/>
        <v>0</v>
      </c>
      <c r="K393" s="205">
        <f t="shared" si="77"/>
        <v>0</v>
      </c>
      <c r="L393" s="430">
        <f t="shared" si="78"/>
        <v>38000</v>
      </c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 spans="1:26" ht="14.4">
      <c r="A394" s="427"/>
      <c r="B394" s="428" t="s">
        <v>487</v>
      </c>
      <c r="C394" s="431">
        <v>0</v>
      </c>
      <c r="D394" s="321"/>
      <c r="E394" s="321"/>
      <c r="F394" s="429">
        <f t="shared" si="75"/>
        <v>0</v>
      </c>
      <c r="G394" s="203">
        <v>59500</v>
      </c>
      <c r="H394" s="203">
        <v>63000</v>
      </c>
      <c r="I394" s="204"/>
      <c r="J394" s="205">
        <f t="shared" si="79"/>
        <v>0</v>
      </c>
      <c r="K394" s="205">
        <f t="shared" si="77"/>
        <v>0</v>
      </c>
      <c r="L394" s="430">
        <f t="shared" si="78"/>
        <v>0</v>
      </c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 spans="1:26" ht="14.4">
      <c r="A395" s="427"/>
      <c r="B395" s="428" t="s">
        <v>488</v>
      </c>
      <c r="C395" s="431">
        <v>3</v>
      </c>
      <c r="D395" s="321"/>
      <c r="E395" s="321"/>
      <c r="F395" s="429">
        <f t="shared" si="75"/>
        <v>3</v>
      </c>
      <c r="G395" s="203">
        <v>44800</v>
      </c>
      <c r="H395" s="203">
        <v>48000</v>
      </c>
      <c r="I395" s="204"/>
      <c r="J395" s="205">
        <f t="shared" si="79"/>
        <v>0</v>
      </c>
      <c r="K395" s="205">
        <f t="shared" si="77"/>
        <v>0</v>
      </c>
      <c r="L395" s="430">
        <f t="shared" si="78"/>
        <v>134400</v>
      </c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 spans="1:26" ht="14.4">
      <c r="A396" s="427"/>
      <c r="B396" s="428" t="s">
        <v>489</v>
      </c>
      <c r="C396" s="431"/>
      <c r="D396" s="321"/>
      <c r="E396" s="321"/>
      <c r="F396" s="429">
        <f t="shared" si="75"/>
        <v>0</v>
      </c>
      <c r="G396" s="203">
        <v>26800</v>
      </c>
      <c r="H396" s="203">
        <v>30000</v>
      </c>
      <c r="I396" s="204"/>
      <c r="J396" s="205">
        <f t="shared" si="79"/>
        <v>0</v>
      </c>
      <c r="K396" s="205">
        <f t="shared" si="77"/>
        <v>0</v>
      </c>
      <c r="L396" s="430">
        <f t="shared" si="78"/>
        <v>0</v>
      </c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 spans="1:26" ht="14.4">
      <c r="A397" s="427"/>
      <c r="B397" s="428" t="s">
        <v>490</v>
      </c>
      <c r="C397" s="431">
        <v>3</v>
      </c>
      <c r="D397" s="321"/>
      <c r="E397" s="321"/>
      <c r="F397" s="429">
        <f t="shared" si="75"/>
        <v>3</v>
      </c>
      <c r="G397" s="203">
        <v>13000</v>
      </c>
      <c r="H397" s="203">
        <v>15000</v>
      </c>
      <c r="I397" s="204"/>
      <c r="J397" s="205">
        <f t="shared" si="79"/>
        <v>0</v>
      </c>
      <c r="K397" s="205">
        <f t="shared" si="77"/>
        <v>0</v>
      </c>
      <c r="L397" s="430">
        <f t="shared" si="78"/>
        <v>39000</v>
      </c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 spans="1:26" ht="14.4">
      <c r="A398" s="427"/>
      <c r="B398" s="428" t="s">
        <v>491</v>
      </c>
      <c r="C398" s="431">
        <v>4</v>
      </c>
      <c r="D398" s="321"/>
      <c r="E398" s="321"/>
      <c r="F398" s="429">
        <f t="shared" si="75"/>
        <v>4</v>
      </c>
      <c r="G398" s="203">
        <v>39200</v>
      </c>
      <c r="H398" s="203">
        <v>45000</v>
      </c>
      <c r="I398" s="204"/>
      <c r="J398" s="205">
        <f t="shared" si="79"/>
        <v>0</v>
      </c>
      <c r="K398" s="205">
        <f t="shared" si="77"/>
        <v>0</v>
      </c>
      <c r="L398" s="430">
        <f t="shared" si="78"/>
        <v>156800</v>
      </c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 spans="1:26" ht="14.4">
      <c r="A399" s="427"/>
      <c r="B399" s="428" t="s">
        <v>492</v>
      </c>
      <c r="C399" s="431">
        <v>63</v>
      </c>
      <c r="D399" s="321"/>
      <c r="E399" s="321"/>
      <c r="F399" s="429">
        <f t="shared" si="75"/>
        <v>63</v>
      </c>
      <c r="G399" s="203">
        <v>43500</v>
      </c>
      <c r="H399" s="203">
        <v>45000</v>
      </c>
      <c r="I399" s="204"/>
      <c r="J399" s="205">
        <f t="shared" si="79"/>
        <v>0</v>
      </c>
      <c r="K399" s="205">
        <f t="shared" si="77"/>
        <v>0</v>
      </c>
      <c r="L399" s="430">
        <f t="shared" si="78"/>
        <v>2740500</v>
      </c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 spans="1:26" ht="14.4">
      <c r="A400" s="427"/>
      <c r="B400" s="428" t="s">
        <v>493</v>
      </c>
      <c r="C400" s="431">
        <v>4</v>
      </c>
      <c r="D400" s="321"/>
      <c r="E400" s="321"/>
      <c r="F400" s="429">
        <f t="shared" si="75"/>
        <v>4</v>
      </c>
      <c r="G400" s="203">
        <v>23100</v>
      </c>
      <c r="H400" s="203">
        <v>25000</v>
      </c>
      <c r="I400" s="204"/>
      <c r="J400" s="205">
        <f t="shared" si="79"/>
        <v>0</v>
      </c>
      <c r="K400" s="205">
        <f t="shared" si="77"/>
        <v>0</v>
      </c>
      <c r="L400" s="430">
        <f t="shared" si="78"/>
        <v>92400</v>
      </c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 spans="1:26" ht="14.4">
      <c r="A401" s="427"/>
      <c r="B401" s="428" t="s">
        <v>494</v>
      </c>
      <c r="C401" s="431"/>
      <c r="D401" s="321"/>
      <c r="E401" s="321"/>
      <c r="F401" s="429">
        <f t="shared" si="75"/>
        <v>0</v>
      </c>
      <c r="G401" s="203">
        <v>25400</v>
      </c>
      <c r="H401" s="203">
        <v>27000</v>
      </c>
      <c r="I401" s="204"/>
      <c r="J401" s="205">
        <f t="shared" si="79"/>
        <v>0</v>
      </c>
      <c r="K401" s="205">
        <f t="shared" si="77"/>
        <v>0</v>
      </c>
      <c r="L401" s="430">
        <f t="shared" si="78"/>
        <v>0</v>
      </c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 spans="1:26" ht="14.4">
      <c r="A402" s="427"/>
      <c r="B402" s="428" t="s">
        <v>495</v>
      </c>
      <c r="C402" s="431">
        <v>0</v>
      </c>
      <c r="D402" s="321"/>
      <c r="E402" s="321"/>
      <c r="F402" s="429">
        <f t="shared" si="75"/>
        <v>0</v>
      </c>
      <c r="G402" s="203">
        <v>47400</v>
      </c>
      <c r="H402" s="203">
        <v>48000</v>
      </c>
      <c r="I402" s="204"/>
      <c r="J402" s="205">
        <f t="shared" si="79"/>
        <v>0</v>
      </c>
      <c r="K402" s="205">
        <f t="shared" si="77"/>
        <v>0</v>
      </c>
      <c r="L402" s="430">
        <f t="shared" si="78"/>
        <v>0</v>
      </c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 spans="1:26" ht="14.4">
      <c r="A403" s="427"/>
      <c r="B403" s="428" t="s">
        <v>496</v>
      </c>
      <c r="C403" s="431">
        <v>2</v>
      </c>
      <c r="D403" s="321"/>
      <c r="E403" s="321"/>
      <c r="F403" s="429">
        <f t="shared" si="75"/>
        <v>2</v>
      </c>
      <c r="G403" s="203">
        <v>93900</v>
      </c>
      <c r="H403" s="203">
        <v>98000</v>
      </c>
      <c r="I403" s="204"/>
      <c r="J403" s="205">
        <f t="shared" si="79"/>
        <v>0</v>
      </c>
      <c r="K403" s="205">
        <f t="shared" si="77"/>
        <v>0</v>
      </c>
      <c r="L403" s="430">
        <f t="shared" si="78"/>
        <v>187800</v>
      </c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 spans="1:26" ht="14.4">
      <c r="A404" s="427"/>
      <c r="B404" s="428" t="s">
        <v>497</v>
      </c>
      <c r="C404" s="431">
        <v>1</v>
      </c>
      <c r="D404" s="321"/>
      <c r="E404" s="321"/>
      <c r="F404" s="429">
        <f t="shared" si="75"/>
        <v>1</v>
      </c>
      <c r="G404" s="203">
        <v>45400</v>
      </c>
      <c r="H404" s="203">
        <v>50000</v>
      </c>
      <c r="I404" s="204"/>
      <c r="J404" s="205">
        <f t="shared" si="79"/>
        <v>0</v>
      </c>
      <c r="K404" s="205">
        <f t="shared" si="77"/>
        <v>0</v>
      </c>
      <c r="L404" s="430">
        <f t="shared" si="78"/>
        <v>45400</v>
      </c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 spans="1:26" ht="14.4">
      <c r="A405" s="427"/>
      <c r="B405" s="428" t="s">
        <v>498</v>
      </c>
      <c r="C405" s="431">
        <v>1</v>
      </c>
      <c r="D405" s="321"/>
      <c r="E405" s="321"/>
      <c r="F405" s="429">
        <f t="shared" si="75"/>
        <v>1</v>
      </c>
      <c r="G405" s="203">
        <v>42800</v>
      </c>
      <c r="H405" s="203">
        <v>46000</v>
      </c>
      <c r="I405" s="204"/>
      <c r="J405" s="205">
        <f t="shared" si="79"/>
        <v>0</v>
      </c>
      <c r="K405" s="205">
        <f t="shared" si="77"/>
        <v>0</v>
      </c>
      <c r="L405" s="430">
        <f t="shared" si="78"/>
        <v>42800</v>
      </c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 spans="1:26" ht="14.4">
      <c r="A406" s="427"/>
      <c r="B406" s="428" t="s">
        <v>499</v>
      </c>
      <c r="C406" s="431">
        <v>1</v>
      </c>
      <c r="D406" s="321"/>
      <c r="E406" s="321"/>
      <c r="F406" s="429">
        <f t="shared" si="75"/>
        <v>1</v>
      </c>
      <c r="G406" s="203">
        <v>28000</v>
      </c>
      <c r="H406" s="203">
        <v>30000</v>
      </c>
      <c r="I406" s="204"/>
      <c r="J406" s="205">
        <f t="shared" si="79"/>
        <v>0</v>
      </c>
      <c r="K406" s="205">
        <f t="shared" si="77"/>
        <v>0</v>
      </c>
      <c r="L406" s="430">
        <f t="shared" si="78"/>
        <v>28000</v>
      </c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 spans="1:26" ht="14.4">
      <c r="A407" s="427"/>
      <c r="B407" s="428" t="s">
        <v>500</v>
      </c>
      <c r="C407" s="431">
        <v>3</v>
      </c>
      <c r="D407" s="321"/>
      <c r="E407" s="321"/>
      <c r="F407" s="429">
        <f t="shared" si="75"/>
        <v>3</v>
      </c>
      <c r="G407" s="203">
        <v>34400</v>
      </c>
      <c r="H407" s="203">
        <v>37000</v>
      </c>
      <c r="I407" s="204"/>
      <c r="J407" s="205">
        <f t="shared" si="79"/>
        <v>0</v>
      </c>
      <c r="K407" s="205">
        <f t="shared" si="77"/>
        <v>0</v>
      </c>
      <c r="L407" s="430">
        <f t="shared" si="78"/>
        <v>103200</v>
      </c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 spans="1:26" ht="14.4">
      <c r="A408" s="427"/>
      <c r="B408" s="428" t="s">
        <v>501</v>
      </c>
      <c r="C408" s="431">
        <v>6</v>
      </c>
      <c r="D408" s="321"/>
      <c r="E408" s="321"/>
      <c r="F408" s="429">
        <f t="shared" si="75"/>
        <v>6</v>
      </c>
      <c r="G408" s="203">
        <v>148207</v>
      </c>
      <c r="H408" s="203">
        <v>135000</v>
      </c>
      <c r="I408" s="204"/>
      <c r="J408" s="205">
        <f t="shared" si="79"/>
        <v>0</v>
      </c>
      <c r="K408" s="205">
        <f t="shared" si="77"/>
        <v>0</v>
      </c>
      <c r="L408" s="430">
        <f t="shared" si="78"/>
        <v>889242</v>
      </c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 spans="1:26" ht="14.4">
      <c r="A409" s="427"/>
      <c r="B409" s="428" t="s">
        <v>502</v>
      </c>
      <c r="C409" s="321">
        <v>6</v>
      </c>
      <c r="D409" s="321"/>
      <c r="E409" s="321"/>
      <c r="F409" s="429">
        <f t="shared" si="75"/>
        <v>6</v>
      </c>
      <c r="G409" s="203">
        <v>87472</v>
      </c>
      <c r="H409" s="203">
        <v>84000</v>
      </c>
      <c r="I409" s="213"/>
      <c r="J409" s="205">
        <f t="shared" si="79"/>
        <v>0</v>
      </c>
      <c r="K409" s="205">
        <f t="shared" si="77"/>
        <v>0</v>
      </c>
      <c r="L409" s="430">
        <f t="shared" si="78"/>
        <v>524832</v>
      </c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 spans="1:26" ht="14.4">
      <c r="A410" s="427"/>
      <c r="B410" s="428" t="s">
        <v>503</v>
      </c>
      <c r="C410" s="431">
        <v>12</v>
      </c>
      <c r="D410" s="321"/>
      <c r="E410" s="321"/>
      <c r="F410" s="429">
        <f t="shared" si="75"/>
        <v>12</v>
      </c>
      <c r="G410" s="203">
        <v>65456</v>
      </c>
      <c r="H410" s="432">
        <v>63000</v>
      </c>
      <c r="I410" s="433"/>
      <c r="J410" s="205">
        <f t="shared" si="79"/>
        <v>0</v>
      </c>
      <c r="K410" s="205">
        <f t="shared" si="77"/>
        <v>0</v>
      </c>
      <c r="L410" s="430">
        <f t="shared" si="78"/>
        <v>785472</v>
      </c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 spans="1:26" ht="14.4">
      <c r="A411" s="427"/>
      <c r="B411" s="428" t="s">
        <v>504</v>
      </c>
      <c r="C411" s="431">
        <v>3</v>
      </c>
      <c r="D411" s="321"/>
      <c r="E411" s="321"/>
      <c r="F411" s="429">
        <f t="shared" si="75"/>
        <v>3</v>
      </c>
      <c r="G411" s="203">
        <v>36476</v>
      </c>
      <c r="H411" s="203">
        <v>34000</v>
      </c>
      <c r="I411" s="224"/>
      <c r="J411" s="205">
        <f t="shared" si="79"/>
        <v>0</v>
      </c>
      <c r="K411" s="205">
        <f t="shared" si="77"/>
        <v>0</v>
      </c>
      <c r="L411" s="430">
        <f t="shared" si="78"/>
        <v>109428</v>
      </c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 spans="1:26" ht="14.4">
      <c r="A412" s="427"/>
      <c r="B412" s="428" t="s">
        <v>505</v>
      </c>
      <c r="C412" s="431">
        <v>5</v>
      </c>
      <c r="D412" s="321"/>
      <c r="E412" s="321"/>
      <c r="F412" s="429">
        <f t="shared" si="75"/>
        <v>5</v>
      </c>
      <c r="G412" s="203">
        <v>23503</v>
      </c>
      <c r="H412" s="203">
        <v>22000</v>
      </c>
      <c r="I412" s="204"/>
      <c r="J412" s="205">
        <f t="shared" si="79"/>
        <v>0</v>
      </c>
      <c r="K412" s="205">
        <f t="shared" si="77"/>
        <v>0</v>
      </c>
      <c r="L412" s="430">
        <f t="shared" si="78"/>
        <v>117515</v>
      </c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 spans="1:26" ht="14.4">
      <c r="A413" s="427"/>
      <c r="B413" s="428" t="s">
        <v>506</v>
      </c>
      <c r="C413" s="431">
        <v>1</v>
      </c>
      <c r="D413" s="321"/>
      <c r="E413" s="321"/>
      <c r="F413" s="429">
        <f t="shared" si="75"/>
        <v>1</v>
      </c>
      <c r="G413" s="203">
        <v>139000</v>
      </c>
      <c r="H413" s="203">
        <v>145000</v>
      </c>
      <c r="I413" s="204"/>
      <c r="J413" s="205">
        <f t="shared" si="79"/>
        <v>0</v>
      </c>
      <c r="K413" s="205">
        <f t="shared" si="77"/>
        <v>0</v>
      </c>
      <c r="L413" s="430">
        <f t="shared" si="78"/>
        <v>139000</v>
      </c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 spans="1:26" ht="14.4">
      <c r="A414" s="427"/>
      <c r="B414" s="428" t="s">
        <v>507</v>
      </c>
      <c r="C414" s="431"/>
      <c r="D414" s="321"/>
      <c r="E414" s="321"/>
      <c r="F414" s="429">
        <f t="shared" si="75"/>
        <v>0</v>
      </c>
      <c r="G414" s="203">
        <v>60000</v>
      </c>
      <c r="H414" s="203">
        <v>65000</v>
      </c>
      <c r="I414" s="204"/>
      <c r="J414" s="205">
        <f t="shared" si="79"/>
        <v>0</v>
      </c>
      <c r="K414" s="205">
        <f t="shared" si="77"/>
        <v>0</v>
      </c>
      <c r="L414" s="430">
        <f t="shared" si="78"/>
        <v>0</v>
      </c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 spans="1:26" ht="14.4">
      <c r="A415" s="427"/>
      <c r="B415" s="428" t="s">
        <v>508</v>
      </c>
      <c r="C415" s="431">
        <v>0</v>
      </c>
      <c r="D415" s="321"/>
      <c r="E415" s="321"/>
      <c r="F415" s="429">
        <f t="shared" si="75"/>
        <v>0</v>
      </c>
      <c r="G415" s="203">
        <v>40300</v>
      </c>
      <c r="H415" s="203">
        <v>43000</v>
      </c>
      <c r="I415" s="204"/>
      <c r="J415" s="205">
        <f t="shared" si="79"/>
        <v>0</v>
      </c>
      <c r="K415" s="205">
        <f t="shared" si="77"/>
        <v>0</v>
      </c>
      <c r="L415" s="430">
        <f t="shared" si="78"/>
        <v>0</v>
      </c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 spans="1:26" ht="14.4">
      <c r="A416" s="427"/>
      <c r="B416" s="428" t="s">
        <v>509</v>
      </c>
      <c r="C416" s="431">
        <v>2</v>
      </c>
      <c r="D416" s="321"/>
      <c r="E416" s="321"/>
      <c r="F416" s="429">
        <f t="shared" si="75"/>
        <v>2</v>
      </c>
      <c r="G416" s="203">
        <v>40300</v>
      </c>
      <c r="H416" s="203">
        <v>43000</v>
      </c>
      <c r="I416" s="204"/>
      <c r="J416" s="205">
        <f t="shared" si="79"/>
        <v>0</v>
      </c>
      <c r="K416" s="205">
        <f t="shared" si="77"/>
        <v>0</v>
      </c>
      <c r="L416" s="430">
        <f t="shared" si="78"/>
        <v>80600</v>
      </c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 spans="1:26" ht="14.4">
      <c r="A417" s="427"/>
      <c r="B417" s="428" t="s">
        <v>667</v>
      </c>
      <c r="C417" s="431">
        <v>2</v>
      </c>
      <c r="D417" s="321"/>
      <c r="E417" s="321"/>
      <c r="F417" s="429">
        <f t="shared" si="75"/>
        <v>2</v>
      </c>
      <c r="G417" s="203">
        <v>40300</v>
      </c>
      <c r="H417" s="203">
        <v>43000</v>
      </c>
      <c r="I417" s="204"/>
      <c r="J417" s="205">
        <f t="shared" si="79"/>
        <v>0</v>
      </c>
      <c r="K417" s="205">
        <f t="shared" si="77"/>
        <v>0</v>
      </c>
      <c r="L417" s="430">
        <f t="shared" si="78"/>
        <v>80600</v>
      </c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 spans="1:26" ht="14.4">
      <c r="A418" s="427"/>
      <c r="B418" s="428" t="s">
        <v>668</v>
      </c>
      <c r="C418" s="431">
        <v>2</v>
      </c>
      <c r="D418" s="321"/>
      <c r="E418" s="321"/>
      <c r="F418" s="429">
        <f t="shared" si="75"/>
        <v>2</v>
      </c>
      <c r="G418" s="203">
        <v>35900</v>
      </c>
      <c r="H418" s="203">
        <v>40000</v>
      </c>
      <c r="I418" s="204"/>
      <c r="J418" s="205">
        <f t="shared" si="79"/>
        <v>0</v>
      </c>
      <c r="K418" s="205">
        <f t="shared" si="77"/>
        <v>0</v>
      </c>
      <c r="L418" s="430">
        <f t="shared" si="78"/>
        <v>71800</v>
      </c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 spans="1:26" ht="14.4">
      <c r="A419" s="427"/>
      <c r="B419" s="428" t="s">
        <v>510</v>
      </c>
      <c r="C419" s="431">
        <v>2</v>
      </c>
      <c r="D419" s="321"/>
      <c r="E419" s="321"/>
      <c r="F419" s="429">
        <f t="shared" si="75"/>
        <v>2</v>
      </c>
      <c r="G419" s="203">
        <v>36431</v>
      </c>
      <c r="H419" s="203">
        <v>37000</v>
      </c>
      <c r="I419" s="204"/>
      <c r="J419" s="205">
        <f t="shared" si="79"/>
        <v>0</v>
      </c>
      <c r="K419" s="205">
        <f t="shared" si="77"/>
        <v>0</v>
      </c>
      <c r="L419" s="430">
        <f t="shared" si="78"/>
        <v>72862</v>
      </c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 spans="1:26" ht="14.4">
      <c r="A420" s="427"/>
      <c r="B420" s="434" t="s">
        <v>511</v>
      </c>
      <c r="C420" s="431">
        <v>3</v>
      </c>
      <c r="D420" s="321"/>
      <c r="E420" s="321"/>
      <c r="F420" s="429">
        <f t="shared" si="75"/>
        <v>3</v>
      </c>
      <c r="G420" s="203">
        <v>5500</v>
      </c>
      <c r="H420" s="203">
        <v>6000</v>
      </c>
      <c r="I420" s="204"/>
      <c r="J420" s="205">
        <f t="shared" si="79"/>
        <v>0</v>
      </c>
      <c r="K420" s="205">
        <f t="shared" si="77"/>
        <v>0</v>
      </c>
      <c r="L420" s="430">
        <f t="shared" si="78"/>
        <v>16500</v>
      </c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 spans="1:26" ht="14.4">
      <c r="A421" s="427"/>
      <c r="B421" s="434" t="s">
        <v>512</v>
      </c>
      <c r="C421" s="431">
        <v>3</v>
      </c>
      <c r="D421" s="321"/>
      <c r="E421" s="321"/>
      <c r="F421" s="429">
        <f t="shared" si="75"/>
        <v>3</v>
      </c>
      <c r="G421" s="239">
        <v>65000</v>
      </c>
      <c r="H421" s="239">
        <v>70000</v>
      </c>
      <c r="I421" s="204"/>
      <c r="J421" s="205">
        <f t="shared" si="79"/>
        <v>0</v>
      </c>
      <c r="K421" s="205">
        <f t="shared" si="77"/>
        <v>0</v>
      </c>
      <c r="L421" s="430">
        <f t="shared" si="78"/>
        <v>195000</v>
      </c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 spans="1:26" ht="14.4">
      <c r="A422" s="427"/>
      <c r="B422" s="434" t="s">
        <v>513</v>
      </c>
      <c r="C422" s="431"/>
      <c r="D422" s="435"/>
      <c r="E422" s="435"/>
      <c r="F422" s="429">
        <f t="shared" si="75"/>
        <v>0</v>
      </c>
      <c r="G422" s="298">
        <v>109000</v>
      </c>
      <c r="H422" s="298">
        <v>118000</v>
      </c>
      <c r="I422" s="299"/>
      <c r="J422" s="300">
        <f t="shared" si="79"/>
        <v>0</v>
      </c>
      <c r="K422" s="300">
        <f t="shared" si="77"/>
        <v>0</v>
      </c>
      <c r="L422" s="436">
        <f t="shared" si="78"/>
        <v>0</v>
      </c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 spans="1:26" ht="14.4">
      <c r="A423" s="437"/>
      <c r="B423" s="438"/>
      <c r="C423" s="439">
        <f t="shared" ref="C423:F423" si="80">+SUM(C345:C415)</f>
        <v>248</v>
      </c>
      <c r="D423" s="440">
        <f t="shared" si="80"/>
        <v>0</v>
      </c>
      <c r="E423" s="440">
        <f t="shared" si="80"/>
        <v>0</v>
      </c>
      <c r="F423" s="439">
        <f t="shared" si="80"/>
        <v>248</v>
      </c>
      <c r="G423" s="441">
        <f t="shared" ref="G423:L423" si="81">+SUM(G345:G422)</f>
        <v>6177057</v>
      </c>
      <c r="H423" s="441">
        <f t="shared" si="81"/>
        <v>6457000</v>
      </c>
      <c r="I423" s="442">
        <f t="shared" si="81"/>
        <v>0</v>
      </c>
      <c r="J423" s="441">
        <f t="shared" si="81"/>
        <v>0</v>
      </c>
      <c r="K423" s="441">
        <f t="shared" si="81"/>
        <v>0</v>
      </c>
      <c r="L423" s="441">
        <f t="shared" si="81"/>
        <v>19479379</v>
      </c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 spans="1:26" ht="14.4">
      <c r="A424" s="427"/>
      <c r="B424" s="428" t="s">
        <v>514</v>
      </c>
      <c r="C424" s="431">
        <v>5</v>
      </c>
      <c r="D424" s="321"/>
      <c r="E424" s="321"/>
      <c r="F424" s="429">
        <f t="shared" ref="F424:F435" si="82">+C424+D424-E424</f>
        <v>5</v>
      </c>
      <c r="G424" s="203">
        <v>43421</v>
      </c>
      <c r="H424" s="203">
        <v>50000</v>
      </c>
      <c r="I424" s="204"/>
      <c r="J424" s="205">
        <f t="shared" ref="J424:J435" si="83">+I424*H424</f>
        <v>0</v>
      </c>
      <c r="K424" s="205">
        <f t="shared" ref="K424:K435" si="84">+(H424-G424)*I424</f>
        <v>0</v>
      </c>
      <c r="L424" s="430">
        <f t="shared" ref="L424:L435" si="85">+G424*F424</f>
        <v>217105</v>
      </c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 spans="1:26" ht="14.4">
      <c r="A425" s="427"/>
      <c r="B425" s="428" t="s">
        <v>515</v>
      </c>
      <c r="C425" s="431"/>
      <c r="D425" s="321"/>
      <c r="E425" s="321"/>
      <c r="F425" s="429">
        <f t="shared" si="82"/>
        <v>0</v>
      </c>
      <c r="G425" s="203">
        <v>44748</v>
      </c>
      <c r="H425" s="203">
        <v>44000</v>
      </c>
      <c r="I425" s="204"/>
      <c r="J425" s="205">
        <f t="shared" si="83"/>
        <v>0</v>
      </c>
      <c r="K425" s="205">
        <f t="shared" si="84"/>
        <v>0</v>
      </c>
      <c r="L425" s="430">
        <f t="shared" si="85"/>
        <v>0</v>
      </c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 spans="1:26" ht="14.4">
      <c r="A426" s="427"/>
      <c r="B426" s="428" t="s">
        <v>516</v>
      </c>
      <c r="C426" s="431">
        <v>4</v>
      </c>
      <c r="D426" s="321"/>
      <c r="E426" s="321"/>
      <c r="F426" s="429">
        <f t="shared" si="82"/>
        <v>4</v>
      </c>
      <c r="G426" s="203">
        <v>40111</v>
      </c>
      <c r="H426" s="203">
        <v>38000</v>
      </c>
      <c r="I426" s="204"/>
      <c r="J426" s="205">
        <f t="shared" si="83"/>
        <v>0</v>
      </c>
      <c r="K426" s="205">
        <f t="shared" si="84"/>
        <v>0</v>
      </c>
      <c r="L426" s="430">
        <f t="shared" si="85"/>
        <v>160444</v>
      </c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 spans="1:26" ht="14.4">
      <c r="A427" s="427"/>
      <c r="B427" s="428" t="s">
        <v>517</v>
      </c>
      <c r="C427" s="431">
        <v>2</v>
      </c>
      <c r="D427" s="321"/>
      <c r="E427" s="321"/>
      <c r="F427" s="429">
        <f t="shared" si="82"/>
        <v>2</v>
      </c>
      <c r="G427" s="203">
        <v>19662</v>
      </c>
      <c r="H427" s="203">
        <v>22000</v>
      </c>
      <c r="I427" s="204"/>
      <c r="J427" s="205">
        <f t="shared" si="83"/>
        <v>0</v>
      </c>
      <c r="K427" s="205">
        <f t="shared" si="84"/>
        <v>0</v>
      </c>
      <c r="L427" s="430">
        <f t="shared" si="85"/>
        <v>39324</v>
      </c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 spans="1:26" ht="14.4">
      <c r="A428" s="427"/>
      <c r="B428" s="428" t="s">
        <v>518</v>
      </c>
      <c r="C428" s="431"/>
      <c r="D428" s="321"/>
      <c r="E428" s="321"/>
      <c r="F428" s="429">
        <f t="shared" si="82"/>
        <v>0</v>
      </c>
      <c r="G428" s="203">
        <v>72900</v>
      </c>
      <c r="H428" s="203">
        <v>76000</v>
      </c>
      <c r="I428" s="204"/>
      <c r="J428" s="205">
        <f t="shared" si="83"/>
        <v>0</v>
      </c>
      <c r="K428" s="205">
        <f t="shared" si="84"/>
        <v>0</v>
      </c>
      <c r="L428" s="430">
        <f t="shared" si="85"/>
        <v>0</v>
      </c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 spans="1:26" ht="14.4">
      <c r="A429" s="427"/>
      <c r="B429" s="428" t="s">
        <v>519</v>
      </c>
      <c r="C429" s="431"/>
      <c r="D429" s="321"/>
      <c r="E429" s="321"/>
      <c r="F429" s="429">
        <f t="shared" si="82"/>
        <v>0</v>
      </c>
      <c r="G429" s="203">
        <v>45300</v>
      </c>
      <c r="H429" s="203">
        <v>48000</v>
      </c>
      <c r="I429" s="204"/>
      <c r="J429" s="205">
        <f t="shared" si="83"/>
        <v>0</v>
      </c>
      <c r="K429" s="205">
        <f t="shared" si="84"/>
        <v>0</v>
      </c>
      <c r="L429" s="430">
        <f t="shared" si="85"/>
        <v>0</v>
      </c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 spans="1:26" ht="14.4">
      <c r="A430" s="443"/>
      <c r="B430" s="444" t="s">
        <v>520</v>
      </c>
      <c r="C430" s="431">
        <v>18</v>
      </c>
      <c r="D430" s="321"/>
      <c r="E430" s="321"/>
      <c r="F430" s="429">
        <f t="shared" si="82"/>
        <v>18</v>
      </c>
      <c r="G430" s="239">
        <v>6465</v>
      </c>
      <c r="H430" s="239">
        <v>7000</v>
      </c>
      <c r="I430" s="204"/>
      <c r="J430" s="205">
        <f t="shared" si="83"/>
        <v>0</v>
      </c>
      <c r="K430" s="205">
        <f t="shared" si="84"/>
        <v>0</v>
      </c>
      <c r="L430" s="430">
        <f t="shared" si="85"/>
        <v>116370</v>
      </c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 spans="1:26" ht="14.4">
      <c r="A431" s="443"/>
      <c r="B431" s="444" t="s">
        <v>521</v>
      </c>
      <c r="C431" s="431">
        <v>26</v>
      </c>
      <c r="D431" s="321"/>
      <c r="E431" s="321"/>
      <c r="F431" s="431">
        <f t="shared" si="82"/>
        <v>26</v>
      </c>
      <c r="G431" s="210">
        <v>7460</v>
      </c>
      <c r="H431" s="210">
        <v>8000</v>
      </c>
      <c r="I431" s="445"/>
      <c r="J431" s="205">
        <f t="shared" si="83"/>
        <v>0</v>
      </c>
      <c r="K431" s="205">
        <f t="shared" si="84"/>
        <v>0</v>
      </c>
      <c r="L431" s="430">
        <f t="shared" si="85"/>
        <v>193960</v>
      </c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 spans="1:26" ht="14.4">
      <c r="A432" s="443"/>
      <c r="B432" s="446" t="s">
        <v>522</v>
      </c>
      <c r="C432" s="431"/>
      <c r="D432" s="321"/>
      <c r="E432" s="321"/>
      <c r="F432" s="431">
        <f t="shared" si="82"/>
        <v>0</v>
      </c>
      <c r="G432" s="210">
        <v>80000</v>
      </c>
      <c r="H432" s="210">
        <v>84000</v>
      </c>
      <c r="I432" s="445"/>
      <c r="J432" s="205">
        <f t="shared" si="83"/>
        <v>0</v>
      </c>
      <c r="K432" s="205">
        <f t="shared" si="84"/>
        <v>0</v>
      </c>
      <c r="L432" s="430">
        <f t="shared" si="85"/>
        <v>0</v>
      </c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 spans="1:26" ht="14.4">
      <c r="A433" s="427"/>
      <c r="B433" s="428" t="s">
        <v>523</v>
      </c>
      <c r="C433" s="431"/>
      <c r="D433" s="321"/>
      <c r="E433" s="321"/>
      <c r="F433" s="429">
        <f t="shared" si="82"/>
        <v>0</v>
      </c>
      <c r="G433" s="203">
        <v>80000</v>
      </c>
      <c r="H433" s="203">
        <v>84000</v>
      </c>
      <c r="I433" s="204"/>
      <c r="J433" s="205">
        <f t="shared" si="83"/>
        <v>0</v>
      </c>
      <c r="K433" s="205">
        <f t="shared" si="84"/>
        <v>0</v>
      </c>
      <c r="L433" s="430">
        <f t="shared" si="85"/>
        <v>0</v>
      </c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 spans="1:26" ht="14.4">
      <c r="A434" s="427"/>
      <c r="B434" s="428" t="s">
        <v>524</v>
      </c>
      <c r="C434" s="431">
        <v>5</v>
      </c>
      <c r="D434" s="321"/>
      <c r="E434" s="321"/>
      <c r="F434" s="429">
        <f t="shared" si="82"/>
        <v>5</v>
      </c>
      <c r="G434" s="210">
        <v>38000</v>
      </c>
      <c r="H434" s="210">
        <v>40000</v>
      </c>
      <c r="I434" s="445"/>
      <c r="J434" s="205">
        <f t="shared" si="83"/>
        <v>0</v>
      </c>
      <c r="K434" s="205">
        <f t="shared" si="84"/>
        <v>0</v>
      </c>
      <c r="L434" s="430">
        <f t="shared" si="85"/>
        <v>190000</v>
      </c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 spans="1:26" ht="14.4">
      <c r="A435" s="427"/>
      <c r="B435" s="434" t="s">
        <v>525</v>
      </c>
      <c r="C435" s="431"/>
      <c r="D435" s="321"/>
      <c r="E435" s="321"/>
      <c r="F435" s="429">
        <f t="shared" si="82"/>
        <v>0</v>
      </c>
      <c r="G435" s="210">
        <v>29800</v>
      </c>
      <c r="H435" s="210">
        <v>33000</v>
      </c>
      <c r="I435" s="445"/>
      <c r="J435" s="205">
        <f t="shared" si="83"/>
        <v>0</v>
      </c>
      <c r="K435" s="205">
        <f t="shared" si="84"/>
        <v>0</v>
      </c>
      <c r="L435" s="430">
        <f t="shared" si="85"/>
        <v>0</v>
      </c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 spans="1:26" ht="14.4">
      <c r="A436" s="437"/>
      <c r="B436" s="438"/>
      <c r="C436" s="447">
        <f t="shared" ref="C436:F436" si="86">+SUM(C424:C433)</f>
        <v>55</v>
      </c>
      <c r="D436" s="447">
        <f t="shared" si="86"/>
        <v>0</v>
      </c>
      <c r="E436" s="447">
        <f t="shared" si="86"/>
        <v>0</v>
      </c>
      <c r="F436" s="447">
        <f t="shared" si="86"/>
        <v>55</v>
      </c>
      <c r="G436" s="448">
        <f t="shared" ref="G436:L436" si="87">+SUM(G424:G435)</f>
        <v>507867</v>
      </c>
      <c r="H436" s="448">
        <f t="shared" si="87"/>
        <v>534000</v>
      </c>
      <c r="I436" s="449">
        <f t="shared" si="87"/>
        <v>0</v>
      </c>
      <c r="J436" s="448">
        <f t="shared" si="87"/>
        <v>0</v>
      </c>
      <c r="K436" s="448">
        <f t="shared" si="87"/>
        <v>0</v>
      </c>
      <c r="L436" s="448">
        <f t="shared" si="87"/>
        <v>917203</v>
      </c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 spans="1:26" ht="14.4">
      <c r="A437" s="427"/>
      <c r="B437" s="428" t="s">
        <v>669</v>
      </c>
      <c r="C437" s="431">
        <v>4</v>
      </c>
      <c r="D437" s="321"/>
      <c r="E437" s="321"/>
      <c r="F437" s="429">
        <f t="shared" ref="F437:F464" si="88">+C437+D437-E437</f>
        <v>4</v>
      </c>
      <c r="G437" s="203"/>
      <c r="H437" s="203"/>
      <c r="I437" s="204"/>
      <c r="J437" s="205">
        <f t="shared" ref="J437:J464" si="89">+I437*H437</f>
        <v>0</v>
      </c>
      <c r="K437" s="205">
        <f t="shared" ref="K437:K464" si="90">+(H437-G437)*I437</f>
        <v>0</v>
      </c>
      <c r="L437" s="430">
        <f t="shared" ref="L437:L464" si="91">+G437*F437</f>
        <v>0</v>
      </c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 spans="1:26" ht="14.4">
      <c r="A438" s="427"/>
      <c r="B438" s="428" t="s">
        <v>526</v>
      </c>
      <c r="C438" s="431"/>
      <c r="D438" s="321"/>
      <c r="E438" s="321"/>
      <c r="F438" s="429">
        <f t="shared" si="88"/>
        <v>0</v>
      </c>
      <c r="G438" s="203">
        <v>102000</v>
      </c>
      <c r="H438" s="203">
        <v>108000</v>
      </c>
      <c r="I438" s="204"/>
      <c r="J438" s="205">
        <f t="shared" si="89"/>
        <v>0</v>
      </c>
      <c r="K438" s="205">
        <f t="shared" si="90"/>
        <v>0</v>
      </c>
      <c r="L438" s="430">
        <f t="shared" si="91"/>
        <v>0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14.4">
      <c r="A439" s="427"/>
      <c r="B439" s="387" t="s">
        <v>527</v>
      </c>
      <c r="C439" s="431">
        <v>1</v>
      </c>
      <c r="D439" s="321"/>
      <c r="E439" s="321"/>
      <c r="F439" s="429">
        <f t="shared" si="88"/>
        <v>1</v>
      </c>
      <c r="G439" s="203">
        <v>86250</v>
      </c>
      <c r="H439" s="203">
        <v>93000</v>
      </c>
      <c r="I439" s="204"/>
      <c r="J439" s="205">
        <f t="shared" si="89"/>
        <v>0</v>
      </c>
      <c r="K439" s="205">
        <f t="shared" si="90"/>
        <v>0</v>
      </c>
      <c r="L439" s="430">
        <f t="shared" si="91"/>
        <v>86250</v>
      </c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 spans="1:26" ht="14.4">
      <c r="A440" s="427"/>
      <c r="B440" s="428" t="s">
        <v>528</v>
      </c>
      <c r="C440" s="431">
        <v>2</v>
      </c>
      <c r="D440" s="321"/>
      <c r="E440" s="321"/>
      <c r="F440" s="429">
        <f t="shared" si="88"/>
        <v>2</v>
      </c>
      <c r="G440" s="203">
        <v>58000</v>
      </c>
      <c r="H440" s="203">
        <v>64000</v>
      </c>
      <c r="I440" s="204"/>
      <c r="J440" s="205">
        <f t="shared" si="89"/>
        <v>0</v>
      </c>
      <c r="K440" s="205">
        <f t="shared" si="90"/>
        <v>0</v>
      </c>
      <c r="L440" s="430">
        <f t="shared" si="91"/>
        <v>116000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 spans="1:26" ht="14.4">
      <c r="A441" s="427"/>
      <c r="B441" s="428" t="s">
        <v>529</v>
      </c>
      <c r="C441" s="431"/>
      <c r="D441" s="321"/>
      <c r="E441" s="321"/>
      <c r="F441" s="429">
        <f t="shared" si="88"/>
        <v>0</v>
      </c>
      <c r="G441" s="203">
        <v>85000</v>
      </c>
      <c r="H441" s="203">
        <v>64000</v>
      </c>
      <c r="I441" s="204"/>
      <c r="J441" s="205">
        <f t="shared" si="89"/>
        <v>0</v>
      </c>
      <c r="K441" s="205">
        <f t="shared" si="90"/>
        <v>0</v>
      </c>
      <c r="L441" s="430">
        <f t="shared" si="91"/>
        <v>0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 spans="1:26" ht="14.4">
      <c r="A442" s="427"/>
      <c r="B442" s="428" t="s">
        <v>670</v>
      </c>
      <c r="C442" s="431">
        <v>1</v>
      </c>
      <c r="D442" s="321"/>
      <c r="E442" s="321"/>
      <c r="F442" s="429">
        <f t="shared" si="88"/>
        <v>1</v>
      </c>
      <c r="G442" s="203"/>
      <c r="H442" s="203"/>
      <c r="I442" s="204"/>
      <c r="J442" s="205">
        <f t="shared" si="89"/>
        <v>0</v>
      </c>
      <c r="K442" s="205">
        <f t="shared" si="90"/>
        <v>0</v>
      </c>
      <c r="L442" s="430">
        <f t="shared" si="91"/>
        <v>0</v>
      </c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 spans="1:26" ht="14.4">
      <c r="A443" s="427"/>
      <c r="B443" s="428" t="s">
        <v>671</v>
      </c>
      <c r="C443" s="431">
        <v>1</v>
      </c>
      <c r="D443" s="321"/>
      <c r="E443" s="321"/>
      <c r="F443" s="429">
        <f t="shared" si="88"/>
        <v>1</v>
      </c>
      <c r="G443" s="203"/>
      <c r="H443" s="203"/>
      <c r="I443" s="204"/>
      <c r="J443" s="205">
        <f t="shared" si="89"/>
        <v>0</v>
      </c>
      <c r="K443" s="205">
        <f t="shared" si="90"/>
        <v>0</v>
      </c>
      <c r="L443" s="430">
        <f t="shared" si="91"/>
        <v>0</v>
      </c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 spans="1:26" ht="14.4">
      <c r="A444" s="427"/>
      <c r="B444" s="428" t="s">
        <v>530</v>
      </c>
      <c r="C444" s="431">
        <v>3</v>
      </c>
      <c r="D444" s="321"/>
      <c r="E444" s="321"/>
      <c r="F444" s="429">
        <f t="shared" si="88"/>
        <v>3</v>
      </c>
      <c r="G444" s="203">
        <v>70000</v>
      </c>
      <c r="H444" s="203">
        <v>75000</v>
      </c>
      <c r="I444" s="204"/>
      <c r="J444" s="205">
        <f t="shared" si="89"/>
        <v>0</v>
      </c>
      <c r="K444" s="205">
        <f t="shared" si="90"/>
        <v>0</v>
      </c>
      <c r="L444" s="430">
        <f t="shared" si="91"/>
        <v>210000</v>
      </c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 spans="1:26" ht="14.4">
      <c r="A445" s="427"/>
      <c r="B445" s="428" t="s">
        <v>531</v>
      </c>
      <c r="C445" s="431"/>
      <c r="D445" s="321"/>
      <c r="E445" s="321"/>
      <c r="F445" s="429">
        <f t="shared" si="88"/>
        <v>0</v>
      </c>
      <c r="G445" s="203">
        <v>195088</v>
      </c>
      <c r="H445" s="203">
        <v>22000</v>
      </c>
      <c r="I445" s="204"/>
      <c r="J445" s="205">
        <f t="shared" si="89"/>
        <v>0</v>
      </c>
      <c r="K445" s="205">
        <f t="shared" si="90"/>
        <v>0</v>
      </c>
      <c r="L445" s="430">
        <f t="shared" si="91"/>
        <v>0</v>
      </c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 spans="1:26" ht="14.4">
      <c r="A446" s="427"/>
      <c r="B446" s="428" t="s">
        <v>532</v>
      </c>
      <c r="C446" s="431">
        <v>9</v>
      </c>
      <c r="D446" s="321"/>
      <c r="E446" s="321"/>
      <c r="F446" s="429">
        <f t="shared" si="88"/>
        <v>9</v>
      </c>
      <c r="G446" s="203">
        <v>75000</v>
      </c>
      <c r="H446" s="203">
        <v>80000</v>
      </c>
      <c r="I446" s="204"/>
      <c r="J446" s="205">
        <f t="shared" si="89"/>
        <v>0</v>
      </c>
      <c r="K446" s="205">
        <f t="shared" si="90"/>
        <v>0</v>
      </c>
      <c r="L446" s="430">
        <f t="shared" si="91"/>
        <v>675000</v>
      </c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 spans="1:26" ht="14.4">
      <c r="A447" s="427"/>
      <c r="B447" s="428" t="s">
        <v>533</v>
      </c>
      <c r="C447" s="431">
        <v>1</v>
      </c>
      <c r="D447" s="321"/>
      <c r="E447" s="321"/>
      <c r="F447" s="429">
        <f t="shared" si="88"/>
        <v>1</v>
      </c>
      <c r="G447" s="203">
        <v>38000</v>
      </c>
      <c r="H447" s="203">
        <v>42000</v>
      </c>
      <c r="I447" s="204"/>
      <c r="J447" s="205">
        <f t="shared" si="89"/>
        <v>0</v>
      </c>
      <c r="K447" s="205">
        <f t="shared" si="90"/>
        <v>0</v>
      </c>
      <c r="L447" s="430">
        <f t="shared" si="91"/>
        <v>38000</v>
      </c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 spans="1:26" ht="14.4">
      <c r="A448" s="427"/>
      <c r="B448" s="428" t="s">
        <v>534</v>
      </c>
      <c r="C448" s="431">
        <v>2</v>
      </c>
      <c r="D448" s="321"/>
      <c r="E448" s="321"/>
      <c r="F448" s="429">
        <f t="shared" si="88"/>
        <v>2</v>
      </c>
      <c r="G448" s="203">
        <v>105000</v>
      </c>
      <c r="H448" s="203">
        <v>80000</v>
      </c>
      <c r="I448" s="204"/>
      <c r="J448" s="205">
        <f t="shared" si="89"/>
        <v>0</v>
      </c>
      <c r="K448" s="205">
        <f t="shared" si="90"/>
        <v>0</v>
      </c>
      <c r="L448" s="430">
        <f t="shared" si="91"/>
        <v>210000</v>
      </c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 spans="1:26" ht="14.4">
      <c r="A449" s="427"/>
      <c r="B449" s="428" t="s">
        <v>535</v>
      </c>
      <c r="C449" s="431">
        <v>1</v>
      </c>
      <c r="D449" s="321"/>
      <c r="E449" s="321"/>
      <c r="F449" s="429">
        <f t="shared" si="88"/>
        <v>1</v>
      </c>
      <c r="G449" s="203">
        <v>94000</v>
      </c>
      <c r="H449" s="203">
        <v>100000</v>
      </c>
      <c r="I449" s="204"/>
      <c r="J449" s="205">
        <f t="shared" si="89"/>
        <v>0</v>
      </c>
      <c r="K449" s="205">
        <f t="shared" si="90"/>
        <v>0</v>
      </c>
      <c r="L449" s="430">
        <f t="shared" si="91"/>
        <v>94000</v>
      </c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 spans="1:26" ht="14.4">
      <c r="A450" s="427"/>
      <c r="B450" s="428" t="s">
        <v>536</v>
      </c>
      <c r="C450" s="431"/>
      <c r="D450" s="321"/>
      <c r="E450" s="321"/>
      <c r="F450" s="429">
        <f t="shared" si="88"/>
        <v>0</v>
      </c>
      <c r="G450" s="203">
        <v>78500</v>
      </c>
      <c r="H450" s="203">
        <v>88000</v>
      </c>
      <c r="I450" s="204"/>
      <c r="J450" s="205">
        <f t="shared" si="89"/>
        <v>0</v>
      </c>
      <c r="K450" s="205">
        <f t="shared" si="90"/>
        <v>0</v>
      </c>
      <c r="L450" s="430">
        <f t="shared" si="91"/>
        <v>0</v>
      </c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 spans="1:26" ht="14.4">
      <c r="A451" s="427"/>
      <c r="B451" s="428" t="s">
        <v>537</v>
      </c>
      <c r="C451" s="431"/>
      <c r="D451" s="321"/>
      <c r="E451" s="321"/>
      <c r="F451" s="429">
        <f t="shared" si="88"/>
        <v>0</v>
      </c>
      <c r="G451" s="203">
        <v>43000</v>
      </c>
      <c r="H451" s="203">
        <v>47000</v>
      </c>
      <c r="I451" s="204"/>
      <c r="J451" s="205">
        <f t="shared" si="89"/>
        <v>0</v>
      </c>
      <c r="K451" s="205">
        <f t="shared" si="90"/>
        <v>0</v>
      </c>
      <c r="L451" s="430">
        <f t="shared" si="91"/>
        <v>0</v>
      </c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 spans="1:26" ht="14.4">
      <c r="A452" s="427"/>
      <c r="B452" s="428" t="s">
        <v>538</v>
      </c>
      <c r="C452" s="431"/>
      <c r="D452" s="321"/>
      <c r="E452" s="321"/>
      <c r="F452" s="429">
        <f t="shared" si="88"/>
        <v>0</v>
      </c>
      <c r="G452" s="203">
        <v>93420</v>
      </c>
      <c r="H452" s="203">
        <v>105000</v>
      </c>
      <c r="I452" s="204"/>
      <c r="J452" s="205">
        <f t="shared" si="89"/>
        <v>0</v>
      </c>
      <c r="K452" s="205">
        <f t="shared" si="90"/>
        <v>0</v>
      </c>
      <c r="L452" s="430">
        <f t="shared" si="91"/>
        <v>0</v>
      </c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 spans="1:26" ht="14.4">
      <c r="A453" s="427"/>
      <c r="B453" s="428" t="s">
        <v>539</v>
      </c>
      <c r="C453" s="321"/>
      <c r="D453" s="321"/>
      <c r="E453" s="321"/>
      <c r="F453" s="429">
        <f t="shared" si="88"/>
        <v>0</v>
      </c>
      <c r="G453" s="203">
        <v>91300</v>
      </c>
      <c r="H453" s="203">
        <v>97000</v>
      </c>
      <c r="I453" s="204"/>
      <c r="J453" s="205">
        <f t="shared" si="89"/>
        <v>0</v>
      </c>
      <c r="K453" s="205">
        <f t="shared" si="90"/>
        <v>0</v>
      </c>
      <c r="L453" s="430">
        <f t="shared" si="91"/>
        <v>0</v>
      </c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 spans="1:26" ht="14.4">
      <c r="A454" s="427"/>
      <c r="B454" s="428" t="s">
        <v>540</v>
      </c>
      <c r="C454" s="431"/>
      <c r="D454" s="321"/>
      <c r="E454" s="321"/>
      <c r="F454" s="429">
        <f t="shared" si="88"/>
        <v>0</v>
      </c>
      <c r="G454" s="203">
        <v>70000</v>
      </c>
      <c r="H454" s="203">
        <v>75000</v>
      </c>
      <c r="I454" s="204"/>
      <c r="J454" s="205">
        <f t="shared" si="89"/>
        <v>0</v>
      </c>
      <c r="K454" s="205">
        <f t="shared" si="90"/>
        <v>0</v>
      </c>
      <c r="L454" s="430">
        <f t="shared" si="91"/>
        <v>0</v>
      </c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 spans="1:26" ht="14.4">
      <c r="A455" s="427"/>
      <c r="B455" s="428" t="s">
        <v>541</v>
      </c>
      <c r="C455" s="431">
        <v>1</v>
      </c>
      <c r="D455" s="321"/>
      <c r="E455" s="321"/>
      <c r="F455" s="429">
        <f t="shared" si="88"/>
        <v>1</v>
      </c>
      <c r="G455" s="203">
        <v>37300</v>
      </c>
      <c r="H455" s="203">
        <v>40000</v>
      </c>
      <c r="I455" s="204"/>
      <c r="J455" s="205">
        <f t="shared" si="89"/>
        <v>0</v>
      </c>
      <c r="K455" s="205">
        <f t="shared" si="90"/>
        <v>0</v>
      </c>
      <c r="L455" s="430">
        <f t="shared" si="91"/>
        <v>37300</v>
      </c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 spans="1:26" ht="14.4">
      <c r="A456" s="427"/>
      <c r="B456" s="428" t="s">
        <v>542</v>
      </c>
      <c r="C456" s="321">
        <v>1</v>
      </c>
      <c r="D456" s="321"/>
      <c r="E456" s="321"/>
      <c r="F456" s="429">
        <f t="shared" si="88"/>
        <v>1</v>
      </c>
      <c r="G456" s="203">
        <v>70000</v>
      </c>
      <c r="H456" s="203">
        <v>75000</v>
      </c>
      <c r="I456" s="204"/>
      <c r="J456" s="205">
        <f t="shared" si="89"/>
        <v>0</v>
      </c>
      <c r="K456" s="205">
        <f t="shared" si="90"/>
        <v>0</v>
      </c>
      <c r="L456" s="430">
        <f t="shared" si="91"/>
        <v>70000</v>
      </c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 spans="1:26" ht="14.4">
      <c r="A457" s="427"/>
      <c r="B457" s="428" t="s">
        <v>543</v>
      </c>
      <c r="C457" s="431"/>
      <c r="D457" s="321"/>
      <c r="E457" s="321"/>
      <c r="F457" s="429">
        <f t="shared" si="88"/>
        <v>0</v>
      </c>
      <c r="G457" s="203">
        <v>37300</v>
      </c>
      <c r="H457" s="203">
        <v>40000</v>
      </c>
      <c r="I457" s="204"/>
      <c r="J457" s="205">
        <f t="shared" si="89"/>
        <v>0</v>
      </c>
      <c r="K457" s="205">
        <f t="shared" si="90"/>
        <v>0</v>
      </c>
      <c r="L457" s="430">
        <f t="shared" si="91"/>
        <v>0</v>
      </c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 spans="1:26" ht="14.4">
      <c r="A458" s="427"/>
      <c r="B458" s="428" t="s">
        <v>544</v>
      </c>
      <c r="C458" s="431"/>
      <c r="D458" s="321"/>
      <c r="E458" s="321"/>
      <c r="F458" s="429">
        <f t="shared" si="88"/>
        <v>0</v>
      </c>
      <c r="G458" s="203">
        <v>77500</v>
      </c>
      <c r="H458" s="203">
        <v>84000</v>
      </c>
      <c r="I458" s="204"/>
      <c r="J458" s="205">
        <f t="shared" si="89"/>
        <v>0</v>
      </c>
      <c r="K458" s="205">
        <f t="shared" si="90"/>
        <v>0</v>
      </c>
      <c r="L458" s="430">
        <f t="shared" si="91"/>
        <v>0</v>
      </c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 spans="1:26" ht="14.4">
      <c r="A459" s="427"/>
      <c r="B459" s="428" t="s">
        <v>545</v>
      </c>
      <c r="C459" s="431"/>
      <c r="D459" s="321"/>
      <c r="E459" s="321"/>
      <c r="F459" s="429">
        <f t="shared" si="88"/>
        <v>0</v>
      </c>
      <c r="G459" s="203">
        <v>194000</v>
      </c>
      <c r="H459" s="203">
        <v>205000</v>
      </c>
      <c r="I459" s="204"/>
      <c r="J459" s="205">
        <f t="shared" si="89"/>
        <v>0</v>
      </c>
      <c r="K459" s="205">
        <f t="shared" si="90"/>
        <v>0</v>
      </c>
      <c r="L459" s="430">
        <f t="shared" si="91"/>
        <v>0</v>
      </c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 spans="1:26" ht="14.4">
      <c r="A460" s="427"/>
      <c r="B460" s="428" t="s">
        <v>546</v>
      </c>
      <c r="C460" s="321"/>
      <c r="D460" s="321"/>
      <c r="E460" s="321"/>
      <c r="F460" s="429">
        <f t="shared" si="88"/>
        <v>0</v>
      </c>
      <c r="G460" s="203">
        <v>5000</v>
      </c>
      <c r="H460" s="203">
        <v>5500</v>
      </c>
      <c r="I460" s="204"/>
      <c r="J460" s="205">
        <f t="shared" si="89"/>
        <v>0</v>
      </c>
      <c r="K460" s="205">
        <f t="shared" si="90"/>
        <v>0</v>
      </c>
      <c r="L460" s="430">
        <f t="shared" si="91"/>
        <v>0</v>
      </c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 spans="1:26" ht="14.4">
      <c r="A461" s="427"/>
      <c r="B461" s="428" t="s">
        <v>547</v>
      </c>
      <c r="C461" s="431"/>
      <c r="D461" s="321"/>
      <c r="E461" s="321"/>
      <c r="F461" s="429">
        <f t="shared" si="88"/>
        <v>0</v>
      </c>
      <c r="G461" s="203">
        <v>3200</v>
      </c>
      <c r="H461" s="203">
        <v>3600</v>
      </c>
      <c r="I461" s="204"/>
      <c r="J461" s="205">
        <f t="shared" si="89"/>
        <v>0</v>
      </c>
      <c r="K461" s="205">
        <f t="shared" si="90"/>
        <v>0</v>
      </c>
      <c r="L461" s="430">
        <f t="shared" si="91"/>
        <v>0</v>
      </c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 spans="1:26" ht="14.4">
      <c r="A462" s="427"/>
      <c r="B462" s="428" t="s">
        <v>548</v>
      </c>
      <c r="C462" s="431"/>
      <c r="D462" s="321"/>
      <c r="E462" s="321"/>
      <c r="F462" s="429">
        <f t="shared" si="88"/>
        <v>0</v>
      </c>
      <c r="G462" s="203">
        <v>270000</v>
      </c>
      <c r="H462" s="203">
        <v>300000</v>
      </c>
      <c r="I462" s="204"/>
      <c r="J462" s="205">
        <f t="shared" si="89"/>
        <v>0</v>
      </c>
      <c r="K462" s="205">
        <f t="shared" si="90"/>
        <v>0</v>
      </c>
      <c r="L462" s="430">
        <f t="shared" si="91"/>
        <v>0</v>
      </c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 spans="1:26" ht="14.4">
      <c r="A463" s="427"/>
      <c r="B463" s="428" t="s">
        <v>549</v>
      </c>
      <c r="C463" s="431">
        <v>1</v>
      </c>
      <c r="D463" s="321"/>
      <c r="E463" s="321"/>
      <c r="F463" s="429">
        <f t="shared" si="88"/>
        <v>1</v>
      </c>
      <c r="G463" s="210">
        <v>260000</v>
      </c>
      <c r="H463" s="210">
        <v>290000</v>
      </c>
      <c r="I463" s="445"/>
      <c r="J463" s="205">
        <f t="shared" si="89"/>
        <v>0</v>
      </c>
      <c r="K463" s="205">
        <f t="shared" si="90"/>
        <v>0</v>
      </c>
      <c r="L463" s="430">
        <f t="shared" si="91"/>
        <v>260000</v>
      </c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 spans="1:26" ht="14.4">
      <c r="A464" s="427"/>
      <c r="B464" s="434" t="s">
        <v>550</v>
      </c>
      <c r="C464" s="431"/>
      <c r="D464" s="321"/>
      <c r="E464" s="321"/>
      <c r="F464" s="429">
        <f t="shared" si="88"/>
        <v>0</v>
      </c>
      <c r="G464" s="210">
        <v>160000</v>
      </c>
      <c r="H464" s="210">
        <v>170000</v>
      </c>
      <c r="I464" s="445"/>
      <c r="J464" s="205">
        <f t="shared" si="89"/>
        <v>0</v>
      </c>
      <c r="K464" s="205">
        <f t="shared" si="90"/>
        <v>0</v>
      </c>
      <c r="L464" s="430">
        <f t="shared" si="91"/>
        <v>0</v>
      </c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 spans="1:26" ht="14.4">
      <c r="A465" s="437"/>
      <c r="B465" s="438"/>
      <c r="C465" s="447">
        <f t="shared" ref="C465:L465" si="92">+SUM(C437:C464)</f>
        <v>28</v>
      </c>
      <c r="D465" s="447">
        <f t="shared" si="92"/>
        <v>0</v>
      </c>
      <c r="E465" s="447">
        <f t="shared" si="92"/>
        <v>0</v>
      </c>
      <c r="F465" s="447">
        <f t="shared" si="92"/>
        <v>28</v>
      </c>
      <c r="G465" s="448">
        <f t="shared" si="92"/>
        <v>2398858</v>
      </c>
      <c r="H465" s="448">
        <f t="shared" si="92"/>
        <v>2353100</v>
      </c>
      <c r="I465" s="449">
        <f t="shared" si="92"/>
        <v>0</v>
      </c>
      <c r="J465" s="448">
        <f t="shared" si="92"/>
        <v>0</v>
      </c>
      <c r="K465" s="448">
        <f t="shared" si="92"/>
        <v>0</v>
      </c>
      <c r="L465" s="448">
        <f t="shared" si="92"/>
        <v>1796550</v>
      </c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 spans="1:26" ht="14.4">
      <c r="A466" s="450"/>
      <c r="B466" s="428" t="s">
        <v>551</v>
      </c>
      <c r="C466" s="431">
        <v>6</v>
      </c>
      <c r="D466" s="321"/>
      <c r="E466" s="321"/>
      <c r="F466" s="429">
        <f t="shared" ref="F466:F574" si="93">+C466+D466-E466</f>
        <v>6</v>
      </c>
      <c r="G466" s="203">
        <v>49000</v>
      </c>
      <c r="H466" s="203">
        <v>58000</v>
      </c>
      <c r="I466" s="204"/>
      <c r="J466" s="205">
        <f t="shared" ref="J466:J572" si="94">+I466*H466</f>
        <v>0</v>
      </c>
      <c r="K466" s="205">
        <f t="shared" ref="K466:K572" si="95">+(H466-G466)*I466</f>
        <v>0</v>
      </c>
      <c r="L466" s="430">
        <f t="shared" ref="L466:L572" si="96">+G466*F466</f>
        <v>294000</v>
      </c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 spans="1:26" ht="14.4">
      <c r="A467" s="450"/>
      <c r="B467" s="428" t="s">
        <v>552</v>
      </c>
      <c r="C467" s="431">
        <v>2</v>
      </c>
      <c r="D467" s="321"/>
      <c r="E467" s="321"/>
      <c r="F467" s="429">
        <f t="shared" si="93"/>
        <v>2</v>
      </c>
      <c r="G467" s="203">
        <v>28000</v>
      </c>
      <c r="H467" s="203">
        <v>32000</v>
      </c>
      <c r="I467" s="204"/>
      <c r="J467" s="205">
        <f t="shared" si="94"/>
        <v>0</v>
      </c>
      <c r="K467" s="205">
        <f t="shared" si="95"/>
        <v>0</v>
      </c>
      <c r="L467" s="430">
        <f t="shared" si="96"/>
        <v>56000</v>
      </c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 spans="1:26" ht="14.4">
      <c r="A468" s="450"/>
      <c r="B468" s="428" t="s">
        <v>553</v>
      </c>
      <c r="C468" s="431">
        <v>0</v>
      </c>
      <c r="D468" s="321"/>
      <c r="E468" s="321"/>
      <c r="F468" s="429">
        <f t="shared" si="93"/>
        <v>0</v>
      </c>
      <c r="G468" s="203">
        <v>71800</v>
      </c>
      <c r="H468" s="203">
        <v>73000</v>
      </c>
      <c r="I468" s="204"/>
      <c r="J468" s="205">
        <f t="shared" si="94"/>
        <v>0</v>
      </c>
      <c r="K468" s="205">
        <f t="shared" si="95"/>
        <v>0</v>
      </c>
      <c r="L468" s="430">
        <f t="shared" si="96"/>
        <v>0</v>
      </c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 spans="1:26" ht="14.4">
      <c r="A469" s="450"/>
      <c r="B469" s="428" t="s">
        <v>554</v>
      </c>
      <c r="C469" s="321">
        <v>4</v>
      </c>
      <c r="D469" s="321"/>
      <c r="E469" s="321"/>
      <c r="F469" s="429">
        <f t="shared" si="93"/>
        <v>4</v>
      </c>
      <c r="G469" s="203">
        <v>57600</v>
      </c>
      <c r="H469" s="203">
        <v>62000</v>
      </c>
      <c r="I469" s="204"/>
      <c r="J469" s="205">
        <f t="shared" si="94"/>
        <v>0</v>
      </c>
      <c r="K469" s="205">
        <f t="shared" si="95"/>
        <v>0</v>
      </c>
      <c r="L469" s="430">
        <f t="shared" si="96"/>
        <v>230400</v>
      </c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 spans="1:26" ht="14.4">
      <c r="A470" s="450"/>
      <c r="B470" s="428" t="s">
        <v>555</v>
      </c>
      <c r="C470" s="321">
        <v>2</v>
      </c>
      <c r="D470" s="321"/>
      <c r="E470" s="321"/>
      <c r="F470" s="429">
        <f t="shared" si="93"/>
        <v>2</v>
      </c>
      <c r="G470" s="203">
        <v>116260</v>
      </c>
      <c r="H470" s="203">
        <v>123000</v>
      </c>
      <c r="I470" s="204"/>
      <c r="J470" s="205">
        <f t="shared" si="94"/>
        <v>0</v>
      </c>
      <c r="K470" s="205">
        <f t="shared" si="95"/>
        <v>0</v>
      </c>
      <c r="L470" s="430">
        <f t="shared" si="96"/>
        <v>232520</v>
      </c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 spans="1:26" ht="14.4">
      <c r="A471" s="450"/>
      <c r="B471" s="428" t="s">
        <v>556</v>
      </c>
      <c r="C471" s="431">
        <v>4</v>
      </c>
      <c r="D471" s="321"/>
      <c r="E471" s="321"/>
      <c r="F471" s="429">
        <f t="shared" si="93"/>
        <v>4</v>
      </c>
      <c r="G471" s="203">
        <v>51000</v>
      </c>
      <c r="H471" s="203">
        <v>58000</v>
      </c>
      <c r="I471" s="204"/>
      <c r="J471" s="205">
        <f t="shared" si="94"/>
        <v>0</v>
      </c>
      <c r="K471" s="205">
        <f t="shared" si="95"/>
        <v>0</v>
      </c>
      <c r="L471" s="430">
        <f t="shared" si="96"/>
        <v>204000</v>
      </c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 spans="1:26" ht="14.4">
      <c r="A472" s="450"/>
      <c r="B472" s="428" t="s">
        <v>557</v>
      </c>
      <c r="C472" s="431"/>
      <c r="D472" s="321"/>
      <c r="E472" s="321"/>
      <c r="F472" s="429">
        <f t="shared" si="93"/>
        <v>0</v>
      </c>
      <c r="G472" s="203">
        <v>51000</v>
      </c>
      <c r="H472" s="203">
        <v>58000</v>
      </c>
      <c r="I472" s="204"/>
      <c r="J472" s="205">
        <f t="shared" si="94"/>
        <v>0</v>
      </c>
      <c r="K472" s="205">
        <f t="shared" si="95"/>
        <v>0</v>
      </c>
      <c r="L472" s="430">
        <f t="shared" si="96"/>
        <v>0</v>
      </c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 spans="1:26" ht="14.4">
      <c r="A473" s="450"/>
      <c r="B473" s="428" t="s">
        <v>558</v>
      </c>
      <c r="C473" s="431">
        <v>1</v>
      </c>
      <c r="D473" s="321"/>
      <c r="E473" s="321"/>
      <c r="F473" s="429">
        <f t="shared" si="93"/>
        <v>1</v>
      </c>
      <c r="G473" s="203">
        <v>51000</v>
      </c>
      <c r="H473" s="203">
        <v>58000</v>
      </c>
      <c r="I473" s="204"/>
      <c r="J473" s="205">
        <f t="shared" si="94"/>
        <v>0</v>
      </c>
      <c r="K473" s="205">
        <f t="shared" si="95"/>
        <v>0</v>
      </c>
      <c r="L473" s="430">
        <f t="shared" si="96"/>
        <v>51000</v>
      </c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 spans="1:26" ht="14.4">
      <c r="A474" s="450"/>
      <c r="B474" s="428" t="s">
        <v>559</v>
      </c>
      <c r="C474" s="431">
        <v>2</v>
      </c>
      <c r="D474" s="321"/>
      <c r="E474" s="321"/>
      <c r="F474" s="429">
        <f t="shared" si="93"/>
        <v>2</v>
      </c>
      <c r="G474" s="203">
        <v>51000</v>
      </c>
      <c r="H474" s="203">
        <v>58000</v>
      </c>
      <c r="I474" s="204"/>
      <c r="J474" s="205">
        <f t="shared" si="94"/>
        <v>0</v>
      </c>
      <c r="K474" s="205">
        <f t="shared" si="95"/>
        <v>0</v>
      </c>
      <c r="L474" s="430">
        <f t="shared" si="96"/>
        <v>102000</v>
      </c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 spans="1:26" ht="14.4">
      <c r="A475" s="450"/>
      <c r="B475" s="428" t="s">
        <v>560</v>
      </c>
      <c r="C475" s="431">
        <v>4</v>
      </c>
      <c r="D475" s="321"/>
      <c r="E475" s="321"/>
      <c r="F475" s="429">
        <f t="shared" si="93"/>
        <v>4</v>
      </c>
      <c r="G475" s="203">
        <v>51000</v>
      </c>
      <c r="H475" s="203">
        <v>58000</v>
      </c>
      <c r="I475" s="204"/>
      <c r="J475" s="205">
        <f t="shared" si="94"/>
        <v>0</v>
      </c>
      <c r="K475" s="205">
        <f t="shared" si="95"/>
        <v>0</v>
      </c>
      <c r="L475" s="430">
        <f t="shared" si="96"/>
        <v>204000</v>
      </c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 spans="1:26" ht="14.4">
      <c r="A476" s="450"/>
      <c r="B476" s="428" t="s">
        <v>561</v>
      </c>
      <c r="C476" s="431"/>
      <c r="D476" s="321"/>
      <c r="E476" s="321"/>
      <c r="F476" s="429">
        <f t="shared" si="93"/>
        <v>0</v>
      </c>
      <c r="G476" s="203">
        <v>17286</v>
      </c>
      <c r="H476" s="203">
        <v>20000</v>
      </c>
      <c r="I476" s="204"/>
      <c r="J476" s="205">
        <f t="shared" si="94"/>
        <v>0</v>
      </c>
      <c r="K476" s="205">
        <f t="shared" si="95"/>
        <v>0</v>
      </c>
      <c r="L476" s="430">
        <f t="shared" si="96"/>
        <v>0</v>
      </c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 spans="1:26" ht="14.4">
      <c r="A477" s="450"/>
      <c r="B477" s="428" t="s">
        <v>562</v>
      </c>
      <c r="C477" s="431">
        <v>2</v>
      </c>
      <c r="D477" s="321"/>
      <c r="E477" s="321"/>
      <c r="F477" s="429">
        <f t="shared" si="93"/>
        <v>2</v>
      </c>
      <c r="G477" s="203">
        <v>90324</v>
      </c>
      <c r="H477" s="203">
        <v>92000</v>
      </c>
      <c r="I477" s="204"/>
      <c r="J477" s="205">
        <f t="shared" si="94"/>
        <v>0</v>
      </c>
      <c r="K477" s="205">
        <f t="shared" si="95"/>
        <v>0</v>
      </c>
      <c r="L477" s="430">
        <f t="shared" si="96"/>
        <v>180648</v>
      </c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 spans="1:26" ht="14.4">
      <c r="A478" s="450"/>
      <c r="B478" s="428" t="s">
        <v>563</v>
      </c>
      <c r="C478" s="431">
        <v>2</v>
      </c>
      <c r="D478" s="321"/>
      <c r="E478" s="321"/>
      <c r="F478" s="429">
        <f t="shared" si="93"/>
        <v>2</v>
      </c>
      <c r="G478" s="203">
        <v>65477</v>
      </c>
      <c r="H478" s="203">
        <v>67000</v>
      </c>
      <c r="I478" s="204"/>
      <c r="J478" s="205">
        <f t="shared" si="94"/>
        <v>0</v>
      </c>
      <c r="K478" s="205">
        <f t="shared" si="95"/>
        <v>0</v>
      </c>
      <c r="L478" s="430">
        <f t="shared" si="96"/>
        <v>130954</v>
      </c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 spans="1:26" ht="14.4">
      <c r="A479" s="450"/>
      <c r="B479" s="428" t="s">
        <v>564</v>
      </c>
      <c r="C479" s="431">
        <v>2</v>
      </c>
      <c r="D479" s="321"/>
      <c r="E479" s="321"/>
      <c r="F479" s="429">
        <f t="shared" si="93"/>
        <v>2</v>
      </c>
      <c r="G479" s="203">
        <v>40825</v>
      </c>
      <c r="H479" s="203">
        <v>41000</v>
      </c>
      <c r="I479" s="204"/>
      <c r="J479" s="205">
        <f t="shared" si="94"/>
        <v>0</v>
      </c>
      <c r="K479" s="205">
        <f t="shared" si="95"/>
        <v>0</v>
      </c>
      <c r="L479" s="430">
        <f t="shared" si="96"/>
        <v>81650</v>
      </c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 spans="1:26" ht="14.4">
      <c r="A480" s="450"/>
      <c r="B480" s="428" t="s">
        <v>565</v>
      </c>
      <c r="C480" s="431"/>
      <c r="D480" s="321"/>
      <c r="E480" s="321"/>
      <c r="F480" s="429">
        <f t="shared" si="93"/>
        <v>0</v>
      </c>
      <c r="G480" s="203">
        <v>81000</v>
      </c>
      <c r="H480" s="203">
        <v>84000</v>
      </c>
      <c r="I480" s="204"/>
      <c r="J480" s="205">
        <f t="shared" si="94"/>
        <v>0</v>
      </c>
      <c r="K480" s="205">
        <f t="shared" si="95"/>
        <v>0</v>
      </c>
      <c r="L480" s="430">
        <f t="shared" si="96"/>
        <v>0</v>
      </c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 spans="1:26" ht="14.4">
      <c r="A481" s="450"/>
      <c r="B481" s="428" t="s">
        <v>566</v>
      </c>
      <c r="C481" s="431"/>
      <c r="D481" s="321"/>
      <c r="E481" s="321"/>
      <c r="F481" s="429">
        <f t="shared" si="93"/>
        <v>0</v>
      </c>
      <c r="G481" s="203">
        <v>27900</v>
      </c>
      <c r="H481" s="203">
        <v>29500</v>
      </c>
      <c r="I481" s="204"/>
      <c r="J481" s="205">
        <f t="shared" si="94"/>
        <v>0</v>
      </c>
      <c r="K481" s="205">
        <f t="shared" si="95"/>
        <v>0</v>
      </c>
      <c r="L481" s="430">
        <f t="shared" si="96"/>
        <v>0</v>
      </c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 spans="1:26" ht="14.4">
      <c r="A482" s="450"/>
      <c r="B482" s="428" t="s">
        <v>567</v>
      </c>
      <c r="C482" s="431"/>
      <c r="D482" s="321"/>
      <c r="E482" s="321"/>
      <c r="F482" s="429">
        <f t="shared" si="93"/>
        <v>0</v>
      </c>
      <c r="G482" s="203">
        <v>25700</v>
      </c>
      <c r="H482" s="203">
        <v>28000</v>
      </c>
      <c r="I482" s="204"/>
      <c r="J482" s="205">
        <f t="shared" si="94"/>
        <v>0</v>
      </c>
      <c r="K482" s="205">
        <f t="shared" si="95"/>
        <v>0</v>
      </c>
      <c r="L482" s="430">
        <f t="shared" si="96"/>
        <v>0</v>
      </c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 spans="1:26" ht="14.4">
      <c r="A483" s="450"/>
      <c r="B483" s="428" t="s">
        <v>568</v>
      </c>
      <c r="C483" s="431"/>
      <c r="D483" s="321"/>
      <c r="E483" s="321"/>
      <c r="F483" s="429">
        <f t="shared" si="93"/>
        <v>0</v>
      </c>
      <c r="G483" s="203">
        <v>36000</v>
      </c>
      <c r="H483" s="203">
        <v>40000</v>
      </c>
      <c r="I483" s="204"/>
      <c r="J483" s="205">
        <f t="shared" si="94"/>
        <v>0</v>
      </c>
      <c r="K483" s="205">
        <f t="shared" si="95"/>
        <v>0</v>
      </c>
      <c r="L483" s="430">
        <f t="shared" si="96"/>
        <v>0</v>
      </c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 spans="1:26" ht="14.4">
      <c r="A484" s="450"/>
      <c r="B484" s="428" t="s">
        <v>569</v>
      </c>
      <c r="C484" s="431"/>
      <c r="D484" s="321"/>
      <c r="E484" s="321"/>
      <c r="F484" s="429">
        <f t="shared" si="93"/>
        <v>0</v>
      </c>
      <c r="G484" s="203">
        <v>19800</v>
      </c>
      <c r="H484" s="203">
        <v>24000</v>
      </c>
      <c r="I484" s="204"/>
      <c r="J484" s="205">
        <f t="shared" si="94"/>
        <v>0</v>
      </c>
      <c r="K484" s="205">
        <f t="shared" si="95"/>
        <v>0</v>
      </c>
      <c r="L484" s="430">
        <f t="shared" si="96"/>
        <v>0</v>
      </c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 spans="1:26" ht="14.4">
      <c r="A485" s="450"/>
      <c r="B485" s="428" t="s">
        <v>570</v>
      </c>
      <c r="C485" s="431">
        <v>1</v>
      </c>
      <c r="D485" s="321"/>
      <c r="E485" s="321"/>
      <c r="F485" s="429">
        <f t="shared" si="93"/>
        <v>1</v>
      </c>
      <c r="G485" s="203">
        <v>24000</v>
      </c>
      <c r="H485" s="203">
        <v>26000</v>
      </c>
      <c r="I485" s="204"/>
      <c r="J485" s="205">
        <f t="shared" si="94"/>
        <v>0</v>
      </c>
      <c r="K485" s="205">
        <f t="shared" si="95"/>
        <v>0</v>
      </c>
      <c r="L485" s="430">
        <f t="shared" si="96"/>
        <v>24000</v>
      </c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 spans="1:26" ht="14.4">
      <c r="A486" s="450"/>
      <c r="B486" s="428" t="s">
        <v>571</v>
      </c>
      <c r="C486" s="431"/>
      <c r="D486" s="321"/>
      <c r="E486" s="321"/>
      <c r="F486" s="429">
        <f t="shared" si="93"/>
        <v>0</v>
      </c>
      <c r="G486" s="203">
        <v>45000</v>
      </c>
      <c r="H486" s="203">
        <v>44000</v>
      </c>
      <c r="I486" s="204"/>
      <c r="J486" s="205">
        <f t="shared" si="94"/>
        <v>0</v>
      </c>
      <c r="K486" s="205">
        <f t="shared" si="95"/>
        <v>0</v>
      </c>
      <c r="L486" s="430">
        <f t="shared" si="96"/>
        <v>0</v>
      </c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 spans="1:26" ht="14.4">
      <c r="A487" s="450"/>
      <c r="B487" s="428" t="s">
        <v>572</v>
      </c>
      <c r="C487" s="431"/>
      <c r="D487" s="321"/>
      <c r="E487" s="321"/>
      <c r="F487" s="429">
        <f t="shared" si="93"/>
        <v>0</v>
      </c>
      <c r="G487" s="203">
        <v>23000</v>
      </c>
      <c r="H487" s="203">
        <v>28000</v>
      </c>
      <c r="I487" s="204"/>
      <c r="J487" s="205">
        <f t="shared" si="94"/>
        <v>0</v>
      </c>
      <c r="K487" s="205">
        <f t="shared" si="95"/>
        <v>0</v>
      </c>
      <c r="L487" s="430">
        <f t="shared" si="96"/>
        <v>0</v>
      </c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 spans="1:26" ht="14.4">
      <c r="A488" s="450"/>
      <c r="B488" s="428" t="s">
        <v>573</v>
      </c>
      <c r="C488" s="431"/>
      <c r="D488" s="321"/>
      <c r="E488" s="321"/>
      <c r="F488" s="429">
        <f t="shared" si="93"/>
        <v>0</v>
      </c>
      <c r="G488" s="203">
        <v>38000</v>
      </c>
      <c r="H488" s="203">
        <v>41000</v>
      </c>
      <c r="I488" s="204"/>
      <c r="J488" s="205">
        <f t="shared" si="94"/>
        <v>0</v>
      </c>
      <c r="K488" s="205">
        <f t="shared" si="95"/>
        <v>0</v>
      </c>
      <c r="L488" s="430">
        <f t="shared" si="96"/>
        <v>0</v>
      </c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 spans="1:26" ht="14.4">
      <c r="A489" s="450"/>
      <c r="B489" s="428" t="s">
        <v>672</v>
      </c>
      <c r="C489" s="431">
        <v>1</v>
      </c>
      <c r="D489" s="321"/>
      <c r="E489" s="321"/>
      <c r="F489" s="429">
        <f t="shared" si="93"/>
        <v>1</v>
      </c>
      <c r="G489" s="203">
        <v>50000</v>
      </c>
      <c r="H489" s="203">
        <v>55000</v>
      </c>
      <c r="I489" s="204"/>
      <c r="J489" s="205">
        <f t="shared" si="94"/>
        <v>0</v>
      </c>
      <c r="K489" s="205">
        <f t="shared" si="95"/>
        <v>0</v>
      </c>
      <c r="L489" s="430">
        <f t="shared" si="96"/>
        <v>50000</v>
      </c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 spans="1:26" ht="14.4">
      <c r="A490" s="450"/>
      <c r="B490" s="428" t="s">
        <v>575</v>
      </c>
      <c r="C490" s="431"/>
      <c r="D490" s="321"/>
      <c r="E490" s="321"/>
      <c r="F490" s="429">
        <f t="shared" si="93"/>
        <v>0</v>
      </c>
      <c r="G490" s="203">
        <v>31500</v>
      </c>
      <c r="H490" s="203">
        <v>35000</v>
      </c>
      <c r="I490" s="204"/>
      <c r="J490" s="205">
        <f t="shared" si="94"/>
        <v>0</v>
      </c>
      <c r="K490" s="205">
        <f t="shared" si="95"/>
        <v>0</v>
      </c>
      <c r="L490" s="430">
        <f t="shared" si="96"/>
        <v>0</v>
      </c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 spans="1:26" ht="14.4">
      <c r="A491" s="450"/>
      <c r="B491" s="428" t="s">
        <v>576</v>
      </c>
      <c r="C491" s="431"/>
      <c r="D491" s="321"/>
      <c r="E491" s="321"/>
      <c r="F491" s="429">
        <f t="shared" si="93"/>
        <v>0</v>
      </c>
      <c r="G491" s="203">
        <v>36000</v>
      </c>
      <c r="H491" s="203">
        <v>48000</v>
      </c>
      <c r="I491" s="204"/>
      <c r="J491" s="205">
        <f t="shared" si="94"/>
        <v>0</v>
      </c>
      <c r="K491" s="205">
        <f t="shared" si="95"/>
        <v>0</v>
      </c>
      <c r="L491" s="430">
        <f t="shared" si="96"/>
        <v>0</v>
      </c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 spans="1:26" ht="14.4">
      <c r="A492" s="450"/>
      <c r="B492" s="428" t="s">
        <v>577</v>
      </c>
      <c r="C492" s="431"/>
      <c r="D492" s="321"/>
      <c r="E492" s="321"/>
      <c r="F492" s="429">
        <f t="shared" si="93"/>
        <v>0</v>
      </c>
      <c r="G492" s="203">
        <v>34908</v>
      </c>
      <c r="H492" s="203">
        <v>37000</v>
      </c>
      <c r="I492" s="204"/>
      <c r="J492" s="205">
        <f t="shared" si="94"/>
        <v>0</v>
      </c>
      <c r="K492" s="205">
        <f t="shared" si="95"/>
        <v>0</v>
      </c>
      <c r="L492" s="430">
        <f t="shared" si="96"/>
        <v>0</v>
      </c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 spans="1:26" ht="14.4">
      <c r="A493" s="450"/>
      <c r="B493" s="428" t="s">
        <v>578</v>
      </c>
      <c r="C493" s="321"/>
      <c r="D493" s="321"/>
      <c r="E493" s="321"/>
      <c r="F493" s="429">
        <f t="shared" si="93"/>
        <v>0</v>
      </c>
      <c r="G493" s="203">
        <v>9266</v>
      </c>
      <c r="H493" s="203">
        <v>12500</v>
      </c>
      <c r="I493" s="204"/>
      <c r="J493" s="205">
        <f t="shared" si="94"/>
        <v>0</v>
      </c>
      <c r="K493" s="205">
        <f t="shared" si="95"/>
        <v>0</v>
      </c>
      <c r="L493" s="430">
        <f t="shared" si="96"/>
        <v>0</v>
      </c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 spans="1:26" ht="14.4">
      <c r="A494" s="450"/>
      <c r="B494" s="428" t="s">
        <v>579</v>
      </c>
      <c r="C494" s="431">
        <v>28</v>
      </c>
      <c r="D494" s="321"/>
      <c r="E494" s="321"/>
      <c r="F494" s="429">
        <f t="shared" si="93"/>
        <v>28</v>
      </c>
      <c r="G494" s="203">
        <v>10400</v>
      </c>
      <c r="H494" s="203">
        <v>13000</v>
      </c>
      <c r="I494" s="204"/>
      <c r="J494" s="205">
        <f t="shared" si="94"/>
        <v>0</v>
      </c>
      <c r="K494" s="205">
        <f t="shared" si="95"/>
        <v>0</v>
      </c>
      <c r="L494" s="430">
        <f t="shared" si="96"/>
        <v>291200</v>
      </c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 spans="1:26" ht="14.4">
      <c r="A495" s="450"/>
      <c r="B495" s="428" t="s">
        <v>580</v>
      </c>
      <c r="C495" s="431">
        <v>4</v>
      </c>
      <c r="D495" s="321"/>
      <c r="E495" s="321"/>
      <c r="F495" s="429">
        <f t="shared" si="93"/>
        <v>4</v>
      </c>
      <c r="G495" s="203">
        <v>18000</v>
      </c>
      <c r="H495" s="203">
        <v>20000</v>
      </c>
      <c r="I495" s="204"/>
      <c r="J495" s="205">
        <f t="shared" si="94"/>
        <v>0</v>
      </c>
      <c r="K495" s="205">
        <f t="shared" si="95"/>
        <v>0</v>
      </c>
      <c r="L495" s="430">
        <f t="shared" si="96"/>
        <v>72000</v>
      </c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 spans="1:26" ht="14.4">
      <c r="A496" s="450"/>
      <c r="B496" s="428" t="s">
        <v>581</v>
      </c>
      <c r="C496" s="431">
        <v>4</v>
      </c>
      <c r="D496" s="321"/>
      <c r="E496" s="321"/>
      <c r="F496" s="429">
        <f t="shared" si="93"/>
        <v>4</v>
      </c>
      <c r="G496" s="203">
        <v>85000</v>
      </c>
      <c r="H496" s="203">
        <v>89000</v>
      </c>
      <c r="I496" s="204"/>
      <c r="J496" s="205">
        <f t="shared" si="94"/>
        <v>0</v>
      </c>
      <c r="K496" s="205">
        <f t="shared" si="95"/>
        <v>0</v>
      </c>
      <c r="L496" s="430">
        <f t="shared" si="96"/>
        <v>340000</v>
      </c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 spans="1:26" ht="14.4">
      <c r="A497" s="450"/>
      <c r="B497" s="428" t="s">
        <v>582</v>
      </c>
      <c r="C497" s="431">
        <v>3</v>
      </c>
      <c r="D497" s="321"/>
      <c r="E497" s="321"/>
      <c r="F497" s="429">
        <f t="shared" si="93"/>
        <v>3</v>
      </c>
      <c r="G497" s="203">
        <v>41000</v>
      </c>
      <c r="H497" s="203">
        <v>46000</v>
      </c>
      <c r="I497" s="204"/>
      <c r="J497" s="205">
        <f t="shared" si="94"/>
        <v>0</v>
      </c>
      <c r="K497" s="205">
        <f t="shared" si="95"/>
        <v>0</v>
      </c>
      <c r="L497" s="430">
        <f t="shared" si="96"/>
        <v>123000</v>
      </c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 spans="1:26" ht="14.4">
      <c r="A498" s="450"/>
      <c r="B498" s="428" t="s">
        <v>583</v>
      </c>
      <c r="C498" s="431">
        <v>3</v>
      </c>
      <c r="D498" s="321"/>
      <c r="E498" s="321"/>
      <c r="F498" s="429">
        <f t="shared" si="93"/>
        <v>3</v>
      </c>
      <c r="G498" s="203">
        <v>138000</v>
      </c>
      <c r="H498" s="203">
        <v>141000</v>
      </c>
      <c r="I498" s="204"/>
      <c r="J498" s="205">
        <f t="shared" si="94"/>
        <v>0</v>
      </c>
      <c r="K498" s="205">
        <f t="shared" si="95"/>
        <v>0</v>
      </c>
      <c r="L498" s="430">
        <f t="shared" si="96"/>
        <v>414000</v>
      </c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 spans="1:26" ht="14.4">
      <c r="A499" s="450"/>
      <c r="B499" s="428" t="s">
        <v>584</v>
      </c>
      <c r="C499" s="431">
        <v>3</v>
      </c>
      <c r="D499" s="321"/>
      <c r="E499" s="321"/>
      <c r="F499" s="429">
        <f t="shared" si="93"/>
        <v>3</v>
      </c>
      <c r="G499" s="203">
        <f>23600</f>
        <v>23600</v>
      </c>
      <c r="H499" s="203">
        <v>26000</v>
      </c>
      <c r="I499" s="204"/>
      <c r="J499" s="205">
        <f t="shared" si="94"/>
        <v>0</v>
      </c>
      <c r="K499" s="205">
        <f t="shared" si="95"/>
        <v>0</v>
      </c>
      <c r="L499" s="430">
        <f t="shared" si="96"/>
        <v>70800</v>
      </c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 spans="1:26" ht="14.4">
      <c r="A500" s="450"/>
      <c r="B500" s="428" t="s">
        <v>585</v>
      </c>
      <c r="C500" s="431"/>
      <c r="D500" s="321"/>
      <c r="E500" s="321"/>
      <c r="F500" s="429">
        <f t="shared" si="93"/>
        <v>0</v>
      </c>
      <c r="G500" s="203">
        <v>13513</v>
      </c>
      <c r="H500" s="203">
        <v>16000</v>
      </c>
      <c r="I500" s="204"/>
      <c r="J500" s="205">
        <f t="shared" si="94"/>
        <v>0</v>
      </c>
      <c r="K500" s="205">
        <f t="shared" si="95"/>
        <v>0</v>
      </c>
      <c r="L500" s="430">
        <f t="shared" si="96"/>
        <v>0</v>
      </c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 spans="1:26" ht="14.4">
      <c r="A501" s="450"/>
      <c r="B501" s="428" t="s">
        <v>586</v>
      </c>
      <c r="C501" s="321">
        <v>5</v>
      </c>
      <c r="D501" s="321"/>
      <c r="E501" s="321"/>
      <c r="F501" s="429">
        <f t="shared" si="93"/>
        <v>5</v>
      </c>
      <c r="G501" s="203">
        <v>9450</v>
      </c>
      <c r="H501" s="203">
        <v>13000</v>
      </c>
      <c r="I501" s="204"/>
      <c r="J501" s="205">
        <f t="shared" si="94"/>
        <v>0</v>
      </c>
      <c r="K501" s="205">
        <f t="shared" si="95"/>
        <v>0</v>
      </c>
      <c r="L501" s="430">
        <f t="shared" si="96"/>
        <v>47250</v>
      </c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 spans="1:26" ht="14.4">
      <c r="A502" s="450"/>
      <c r="B502" s="428" t="s">
        <v>587</v>
      </c>
      <c r="C502" s="431">
        <v>1</v>
      </c>
      <c r="D502" s="321"/>
      <c r="E502" s="321"/>
      <c r="F502" s="429">
        <f t="shared" si="93"/>
        <v>1</v>
      </c>
      <c r="G502" s="203">
        <v>21000</v>
      </c>
      <c r="H502" s="203">
        <v>13000</v>
      </c>
      <c r="I502" s="204"/>
      <c r="J502" s="205">
        <f t="shared" si="94"/>
        <v>0</v>
      </c>
      <c r="K502" s="205">
        <f t="shared" si="95"/>
        <v>0</v>
      </c>
      <c r="L502" s="430">
        <f t="shared" si="96"/>
        <v>21000</v>
      </c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 spans="1:26" ht="14.4">
      <c r="A503" s="450"/>
      <c r="B503" s="428" t="s">
        <v>588</v>
      </c>
      <c r="C503" s="321">
        <v>1</v>
      </c>
      <c r="D503" s="321"/>
      <c r="E503" s="321"/>
      <c r="F503" s="429">
        <f t="shared" si="93"/>
        <v>1</v>
      </c>
      <c r="G503" s="203">
        <v>54310</v>
      </c>
      <c r="H503" s="203">
        <v>58000</v>
      </c>
      <c r="I503" s="204"/>
      <c r="J503" s="205">
        <f t="shared" si="94"/>
        <v>0</v>
      </c>
      <c r="K503" s="205">
        <f t="shared" si="95"/>
        <v>0</v>
      </c>
      <c r="L503" s="430">
        <f t="shared" si="96"/>
        <v>54310</v>
      </c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 spans="1:26" ht="14.4">
      <c r="A504" s="450"/>
      <c r="B504" s="428" t="s">
        <v>589</v>
      </c>
      <c r="C504" s="431">
        <v>7</v>
      </c>
      <c r="D504" s="321"/>
      <c r="E504" s="321"/>
      <c r="F504" s="429">
        <f t="shared" si="93"/>
        <v>7</v>
      </c>
      <c r="G504" s="203">
        <v>14640</v>
      </c>
      <c r="H504" s="203">
        <v>16000</v>
      </c>
      <c r="I504" s="204"/>
      <c r="J504" s="205">
        <f t="shared" si="94"/>
        <v>0</v>
      </c>
      <c r="K504" s="205">
        <f t="shared" si="95"/>
        <v>0</v>
      </c>
      <c r="L504" s="430">
        <f t="shared" si="96"/>
        <v>102480</v>
      </c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 spans="1:26" ht="14.4">
      <c r="A505" s="450"/>
      <c r="B505" s="428" t="s">
        <v>590</v>
      </c>
      <c r="C505" s="431">
        <v>0</v>
      </c>
      <c r="D505" s="321"/>
      <c r="E505" s="321"/>
      <c r="F505" s="429">
        <f t="shared" si="93"/>
        <v>0</v>
      </c>
      <c r="G505" s="203">
        <v>6300</v>
      </c>
      <c r="H505" s="203">
        <v>9000</v>
      </c>
      <c r="I505" s="204"/>
      <c r="J505" s="205">
        <f t="shared" si="94"/>
        <v>0</v>
      </c>
      <c r="K505" s="205">
        <f t="shared" si="95"/>
        <v>0</v>
      </c>
      <c r="L505" s="430">
        <f t="shared" si="96"/>
        <v>0</v>
      </c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 spans="1:26" ht="14.4">
      <c r="A506" s="450"/>
      <c r="B506" s="428" t="s">
        <v>591</v>
      </c>
      <c r="C506" s="431">
        <v>0</v>
      </c>
      <c r="D506" s="321"/>
      <c r="E506" s="321"/>
      <c r="F506" s="429">
        <f t="shared" si="93"/>
        <v>0</v>
      </c>
      <c r="G506" s="203">
        <v>16800</v>
      </c>
      <c r="H506" s="203">
        <v>19000</v>
      </c>
      <c r="I506" s="204"/>
      <c r="J506" s="205">
        <f t="shared" si="94"/>
        <v>0</v>
      </c>
      <c r="K506" s="205">
        <f t="shared" si="95"/>
        <v>0</v>
      </c>
      <c r="L506" s="430">
        <f t="shared" si="96"/>
        <v>0</v>
      </c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 spans="1:26" ht="14.4">
      <c r="A507" s="450"/>
      <c r="B507" s="428" t="s">
        <v>592</v>
      </c>
      <c r="C507" s="431">
        <v>6</v>
      </c>
      <c r="D507" s="321"/>
      <c r="E507" s="321"/>
      <c r="F507" s="429">
        <f t="shared" si="93"/>
        <v>6</v>
      </c>
      <c r="G507" s="203">
        <v>27000</v>
      </c>
      <c r="H507" s="203">
        <v>30000</v>
      </c>
      <c r="I507" s="204"/>
      <c r="J507" s="205">
        <f t="shared" si="94"/>
        <v>0</v>
      </c>
      <c r="K507" s="205">
        <f t="shared" si="95"/>
        <v>0</v>
      </c>
      <c r="L507" s="430">
        <f t="shared" si="96"/>
        <v>162000</v>
      </c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 spans="1:26" ht="14.4">
      <c r="A508" s="450"/>
      <c r="B508" s="428" t="s">
        <v>593</v>
      </c>
      <c r="C508" s="431">
        <v>2</v>
      </c>
      <c r="D508" s="321"/>
      <c r="E508" s="321"/>
      <c r="F508" s="429">
        <f t="shared" si="93"/>
        <v>2</v>
      </c>
      <c r="G508" s="203">
        <v>20000</v>
      </c>
      <c r="H508" s="203">
        <v>22000</v>
      </c>
      <c r="I508" s="204"/>
      <c r="J508" s="205">
        <f t="shared" si="94"/>
        <v>0</v>
      </c>
      <c r="K508" s="205">
        <f t="shared" si="95"/>
        <v>0</v>
      </c>
      <c r="L508" s="430">
        <f t="shared" si="96"/>
        <v>40000</v>
      </c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 spans="1:26" ht="14.4">
      <c r="A509" s="450"/>
      <c r="B509" s="428" t="s">
        <v>594</v>
      </c>
      <c r="C509" s="431"/>
      <c r="D509" s="321"/>
      <c r="E509" s="321"/>
      <c r="F509" s="429">
        <f t="shared" si="93"/>
        <v>0</v>
      </c>
      <c r="G509" s="203">
        <v>40000</v>
      </c>
      <c r="H509" s="203">
        <v>55000</v>
      </c>
      <c r="I509" s="204"/>
      <c r="J509" s="205">
        <f t="shared" si="94"/>
        <v>0</v>
      </c>
      <c r="K509" s="205">
        <f t="shared" si="95"/>
        <v>0</v>
      </c>
      <c r="L509" s="430">
        <f t="shared" si="96"/>
        <v>0</v>
      </c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 spans="1:26" ht="14.4">
      <c r="A510" s="450"/>
      <c r="B510" s="428" t="s">
        <v>595</v>
      </c>
      <c r="C510" s="431">
        <v>0</v>
      </c>
      <c r="D510" s="321"/>
      <c r="E510" s="321"/>
      <c r="F510" s="429">
        <f t="shared" si="93"/>
        <v>0</v>
      </c>
      <c r="G510" s="203">
        <v>7900</v>
      </c>
      <c r="H510" s="203">
        <v>11000</v>
      </c>
      <c r="I510" s="204"/>
      <c r="J510" s="205">
        <f t="shared" si="94"/>
        <v>0</v>
      </c>
      <c r="K510" s="205">
        <f t="shared" si="95"/>
        <v>0</v>
      </c>
      <c r="L510" s="430">
        <f t="shared" si="96"/>
        <v>0</v>
      </c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 spans="1:26" ht="14.4">
      <c r="A511" s="450"/>
      <c r="B511" s="428" t="s">
        <v>596</v>
      </c>
      <c r="C511" s="431">
        <v>14</v>
      </c>
      <c r="D511" s="321"/>
      <c r="E511" s="321"/>
      <c r="F511" s="429">
        <f t="shared" si="93"/>
        <v>14</v>
      </c>
      <c r="G511" s="203">
        <v>18327</v>
      </c>
      <c r="H511" s="203">
        <v>21000</v>
      </c>
      <c r="I511" s="204"/>
      <c r="J511" s="205">
        <f t="shared" si="94"/>
        <v>0</v>
      </c>
      <c r="K511" s="205">
        <f t="shared" si="95"/>
        <v>0</v>
      </c>
      <c r="L511" s="430">
        <f t="shared" si="96"/>
        <v>256578</v>
      </c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 spans="1:26" ht="14.4">
      <c r="A512" s="450"/>
      <c r="B512" s="428" t="s">
        <v>597</v>
      </c>
      <c r="C512" s="431">
        <v>2</v>
      </c>
      <c r="D512" s="321"/>
      <c r="E512" s="321"/>
      <c r="F512" s="429">
        <f t="shared" si="93"/>
        <v>2</v>
      </c>
      <c r="G512" s="203">
        <v>19800</v>
      </c>
      <c r="H512" s="203">
        <v>23000</v>
      </c>
      <c r="I512" s="204"/>
      <c r="J512" s="205">
        <f t="shared" si="94"/>
        <v>0</v>
      </c>
      <c r="K512" s="205">
        <f t="shared" si="95"/>
        <v>0</v>
      </c>
      <c r="L512" s="430">
        <f t="shared" si="96"/>
        <v>39600</v>
      </c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 spans="1:26" ht="14.4">
      <c r="A513" s="450"/>
      <c r="B513" s="428" t="s">
        <v>598</v>
      </c>
      <c r="C513" s="431">
        <v>2</v>
      </c>
      <c r="D513" s="321"/>
      <c r="E513" s="321"/>
      <c r="F513" s="429">
        <f t="shared" si="93"/>
        <v>2</v>
      </c>
      <c r="G513" s="203">
        <v>18650</v>
      </c>
      <c r="H513" s="203">
        <v>21000</v>
      </c>
      <c r="I513" s="204"/>
      <c r="J513" s="205">
        <f t="shared" si="94"/>
        <v>0</v>
      </c>
      <c r="K513" s="205">
        <f t="shared" si="95"/>
        <v>0</v>
      </c>
      <c r="L513" s="430">
        <f t="shared" si="96"/>
        <v>37300</v>
      </c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 spans="1:26" ht="14.4">
      <c r="A514" s="450"/>
      <c r="B514" s="451" t="s">
        <v>599</v>
      </c>
      <c r="C514" s="431">
        <v>7</v>
      </c>
      <c r="D514" s="321"/>
      <c r="E514" s="321"/>
      <c r="F514" s="429">
        <f t="shared" si="93"/>
        <v>7</v>
      </c>
      <c r="G514" s="203">
        <v>17000</v>
      </c>
      <c r="H514" s="203">
        <v>20000</v>
      </c>
      <c r="I514" s="204"/>
      <c r="J514" s="205">
        <f t="shared" si="94"/>
        <v>0</v>
      </c>
      <c r="K514" s="205">
        <f t="shared" si="95"/>
        <v>0</v>
      </c>
      <c r="L514" s="430">
        <f t="shared" si="96"/>
        <v>119000</v>
      </c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 spans="1:26" ht="14.4">
      <c r="A515" s="450"/>
      <c r="B515" s="451" t="s">
        <v>600</v>
      </c>
      <c r="C515" s="321">
        <v>4</v>
      </c>
      <c r="D515" s="321"/>
      <c r="E515" s="321"/>
      <c r="F515" s="429">
        <f t="shared" si="93"/>
        <v>4</v>
      </c>
      <c r="G515" s="203">
        <v>67400</v>
      </c>
      <c r="H515" s="203">
        <v>59000</v>
      </c>
      <c r="I515" s="204"/>
      <c r="J515" s="205">
        <f t="shared" si="94"/>
        <v>0</v>
      </c>
      <c r="K515" s="205">
        <f t="shared" si="95"/>
        <v>0</v>
      </c>
      <c r="L515" s="430">
        <f t="shared" si="96"/>
        <v>269600</v>
      </c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 spans="1:26" ht="14.4">
      <c r="A516" s="450"/>
      <c r="B516" s="451" t="s">
        <v>601</v>
      </c>
      <c r="C516" s="431">
        <v>0</v>
      </c>
      <c r="D516" s="321"/>
      <c r="E516" s="321"/>
      <c r="F516" s="429">
        <f t="shared" si="93"/>
        <v>0</v>
      </c>
      <c r="G516" s="203">
        <v>29000</v>
      </c>
      <c r="H516" s="203">
        <v>31800</v>
      </c>
      <c r="I516" s="204"/>
      <c r="J516" s="205">
        <f t="shared" si="94"/>
        <v>0</v>
      </c>
      <c r="K516" s="205">
        <f t="shared" si="95"/>
        <v>0</v>
      </c>
      <c r="L516" s="430">
        <f t="shared" si="96"/>
        <v>0</v>
      </c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 spans="1:26" ht="14.4">
      <c r="A517" s="450"/>
      <c r="B517" s="451" t="s">
        <v>602</v>
      </c>
      <c r="C517" s="431">
        <v>1</v>
      </c>
      <c r="D517" s="321"/>
      <c r="E517" s="321"/>
      <c r="F517" s="429">
        <f t="shared" si="93"/>
        <v>1</v>
      </c>
      <c r="G517" s="203">
        <v>29500</v>
      </c>
      <c r="H517" s="203">
        <v>32000</v>
      </c>
      <c r="I517" s="204"/>
      <c r="J517" s="205">
        <f t="shared" si="94"/>
        <v>0</v>
      </c>
      <c r="K517" s="205">
        <f t="shared" si="95"/>
        <v>0</v>
      </c>
      <c r="L517" s="430">
        <f t="shared" si="96"/>
        <v>29500</v>
      </c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 spans="1:26" ht="14.4">
      <c r="A518" s="450"/>
      <c r="B518" s="451" t="s">
        <v>603</v>
      </c>
      <c r="C518" s="431">
        <v>1</v>
      </c>
      <c r="D518" s="321"/>
      <c r="E518" s="321"/>
      <c r="F518" s="429">
        <f t="shared" si="93"/>
        <v>1</v>
      </c>
      <c r="G518" s="203">
        <v>48000</v>
      </c>
      <c r="H518" s="203">
        <v>52000</v>
      </c>
      <c r="I518" s="204"/>
      <c r="J518" s="205">
        <f t="shared" si="94"/>
        <v>0</v>
      </c>
      <c r="K518" s="205">
        <f t="shared" si="95"/>
        <v>0</v>
      </c>
      <c r="L518" s="430">
        <f t="shared" si="96"/>
        <v>48000</v>
      </c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 spans="1:26" ht="14.4">
      <c r="A519" s="450"/>
      <c r="B519" s="451" t="s">
        <v>604</v>
      </c>
      <c r="C519" s="431">
        <v>1</v>
      </c>
      <c r="D519" s="321"/>
      <c r="E519" s="321"/>
      <c r="F519" s="429">
        <f t="shared" si="93"/>
        <v>1</v>
      </c>
      <c r="G519" s="203">
        <v>50000</v>
      </c>
      <c r="H519" s="203">
        <v>54000</v>
      </c>
      <c r="I519" s="204"/>
      <c r="J519" s="205">
        <f t="shared" si="94"/>
        <v>0</v>
      </c>
      <c r="K519" s="205">
        <f t="shared" si="95"/>
        <v>0</v>
      </c>
      <c r="L519" s="430">
        <f t="shared" si="96"/>
        <v>50000</v>
      </c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 spans="1:26" ht="14.4">
      <c r="A520" s="450"/>
      <c r="B520" s="451" t="s">
        <v>605</v>
      </c>
      <c r="C520" s="431">
        <v>1</v>
      </c>
      <c r="D520" s="321"/>
      <c r="E520" s="321"/>
      <c r="F520" s="429">
        <f t="shared" si="93"/>
        <v>1</v>
      </c>
      <c r="G520" s="203">
        <v>42000</v>
      </c>
      <c r="H520" s="203">
        <v>46000</v>
      </c>
      <c r="I520" s="204"/>
      <c r="J520" s="205">
        <f t="shared" si="94"/>
        <v>0</v>
      </c>
      <c r="K520" s="205">
        <f t="shared" si="95"/>
        <v>0</v>
      </c>
      <c r="L520" s="430">
        <f t="shared" si="96"/>
        <v>42000</v>
      </c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 spans="1:26" ht="14.4">
      <c r="A521" s="450"/>
      <c r="B521" s="451" t="s">
        <v>606</v>
      </c>
      <c r="C521" s="431">
        <v>6</v>
      </c>
      <c r="D521" s="321"/>
      <c r="E521" s="321"/>
      <c r="F521" s="429">
        <f t="shared" si="93"/>
        <v>6</v>
      </c>
      <c r="G521" s="203">
        <v>34000</v>
      </c>
      <c r="H521" s="203">
        <v>38000</v>
      </c>
      <c r="I521" s="204"/>
      <c r="J521" s="205">
        <f t="shared" si="94"/>
        <v>0</v>
      </c>
      <c r="K521" s="205">
        <f t="shared" si="95"/>
        <v>0</v>
      </c>
      <c r="L521" s="430">
        <f t="shared" si="96"/>
        <v>204000</v>
      </c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 spans="1:26" ht="14.4">
      <c r="A522" s="450"/>
      <c r="B522" s="451" t="s">
        <v>607</v>
      </c>
      <c r="C522" s="431">
        <v>20</v>
      </c>
      <c r="D522" s="321"/>
      <c r="E522" s="321"/>
      <c r="F522" s="429">
        <f t="shared" si="93"/>
        <v>20</v>
      </c>
      <c r="G522" s="203">
        <v>18000</v>
      </c>
      <c r="H522" s="203">
        <v>21000</v>
      </c>
      <c r="I522" s="204"/>
      <c r="J522" s="205">
        <f t="shared" si="94"/>
        <v>0</v>
      </c>
      <c r="K522" s="205">
        <f t="shared" si="95"/>
        <v>0</v>
      </c>
      <c r="L522" s="430">
        <f t="shared" si="96"/>
        <v>360000</v>
      </c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 spans="1:26" ht="14.4">
      <c r="A523" s="450"/>
      <c r="B523" s="451" t="s">
        <v>673</v>
      </c>
      <c r="C523" s="431">
        <v>1</v>
      </c>
      <c r="D523" s="321"/>
      <c r="E523" s="321"/>
      <c r="F523" s="429">
        <f t="shared" si="93"/>
        <v>1</v>
      </c>
      <c r="G523" s="203"/>
      <c r="H523" s="203"/>
      <c r="I523" s="204"/>
      <c r="J523" s="205">
        <f t="shared" si="94"/>
        <v>0</v>
      </c>
      <c r="K523" s="205">
        <f t="shared" si="95"/>
        <v>0</v>
      </c>
      <c r="L523" s="430">
        <f t="shared" si="96"/>
        <v>0</v>
      </c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 spans="1:26" ht="14.4">
      <c r="A524" s="450"/>
      <c r="B524" s="451" t="s">
        <v>674</v>
      </c>
      <c r="C524" s="431">
        <v>3</v>
      </c>
      <c r="D524" s="321"/>
      <c r="E524" s="321"/>
      <c r="F524" s="429">
        <f t="shared" si="93"/>
        <v>3</v>
      </c>
      <c r="G524" s="203"/>
      <c r="H524" s="203"/>
      <c r="I524" s="204"/>
      <c r="J524" s="205">
        <f t="shared" si="94"/>
        <v>0</v>
      </c>
      <c r="K524" s="205">
        <f t="shared" si="95"/>
        <v>0</v>
      </c>
      <c r="L524" s="430">
        <f t="shared" si="96"/>
        <v>0</v>
      </c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 spans="1:26" ht="14.4">
      <c r="A525" s="450"/>
      <c r="B525" s="451" t="s">
        <v>610</v>
      </c>
      <c r="C525" s="431">
        <v>3</v>
      </c>
      <c r="D525" s="321"/>
      <c r="E525" s="321"/>
      <c r="F525" s="429">
        <f t="shared" si="93"/>
        <v>3</v>
      </c>
      <c r="G525" s="203">
        <f>136685/4</f>
        <v>34171.25</v>
      </c>
      <c r="H525" s="203">
        <v>38000</v>
      </c>
      <c r="I525" s="204"/>
      <c r="J525" s="205">
        <f t="shared" si="94"/>
        <v>0</v>
      </c>
      <c r="K525" s="205">
        <f t="shared" si="95"/>
        <v>0</v>
      </c>
      <c r="L525" s="430">
        <f t="shared" si="96"/>
        <v>102513.75</v>
      </c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 spans="1:26" ht="14.4">
      <c r="A526" s="450"/>
      <c r="B526" s="451" t="s">
        <v>611</v>
      </c>
      <c r="C526" s="431">
        <v>5</v>
      </c>
      <c r="D526" s="321"/>
      <c r="E526" s="321"/>
      <c r="F526" s="429">
        <f t="shared" si="93"/>
        <v>5</v>
      </c>
      <c r="G526" s="203">
        <v>24000</v>
      </c>
      <c r="H526" s="203">
        <v>26000</v>
      </c>
      <c r="I526" s="204"/>
      <c r="J526" s="205">
        <f t="shared" si="94"/>
        <v>0</v>
      </c>
      <c r="K526" s="205">
        <f t="shared" si="95"/>
        <v>0</v>
      </c>
      <c r="L526" s="430">
        <f t="shared" si="96"/>
        <v>120000</v>
      </c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 spans="1:26" ht="14.4">
      <c r="A527" s="450"/>
      <c r="B527" s="451" t="s">
        <v>612</v>
      </c>
      <c r="C527" s="431">
        <v>41</v>
      </c>
      <c r="D527" s="321"/>
      <c r="E527" s="321"/>
      <c r="F527" s="429">
        <f t="shared" si="93"/>
        <v>41</v>
      </c>
      <c r="G527" s="203">
        <v>16000</v>
      </c>
      <c r="H527" s="203">
        <v>18000</v>
      </c>
      <c r="I527" s="204"/>
      <c r="J527" s="205">
        <f t="shared" si="94"/>
        <v>0</v>
      </c>
      <c r="K527" s="205">
        <f t="shared" si="95"/>
        <v>0</v>
      </c>
      <c r="L527" s="430">
        <f t="shared" si="96"/>
        <v>656000</v>
      </c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 spans="1:26" ht="14.4">
      <c r="A528" s="450"/>
      <c r="B528" s="451" t="s">
        <v>675</v>
      </c>
      <c r="C528" s="431">
        <v>5</v>
      </c>
      <c r="D528" s="321"/>
      <c r="E528" s="321"/>
      <c r="F528" s="429">
        <f t="shared" si="93"/>
        <v>5</v>
      </c>
      <c r="G528" s="203">
        <v>16000</v>
      </c>
      <c r="H528" s="203">
        <v>20000</v>
      </c>
      <c r="I528" s="204"/>
      <c r="J528" s="205">
        <f t="shared" si="94"/>
        <v>0</v>
      </c>
      <c r="K528" s="205">
        <f t="shared" si="95"/>
        <v>0</v>
      </c>
      <c r="L528" s="430">
        <f t="shared" si="96"/>
        <v>80000</v>
      </c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 spans="1:26" ht="14.4">
      <c r="A529" s="450"/>
      <c r="B529" s="451" t="s">
        <v>614</v>
      </c>
      <c r="C529" s="431">
        <v>2</v>
      </c>
      <c r="D529" s="321"/>
      <c r="E529" s="321"/>
      <c r="F529" s="429">
        <f t="shared" si="93"/>
        <v>2</v>
      </c>
      <c r="G529" s="203">
        <v>75000</v>
      </c>
      <c r="H529" s="203">
        <v>80000</v>
      </c>
      <c r="I529" s="204"/>
      <c r="J529" s="205">
        <f t="shared" si="94"/>
        <v>0</v>
      </c>
      <c r="K529" s="205">
        <f t="shared" si="95"/>
        <v>0</v>
      </c>
      <c r="L529" s="430">
        <f t="shared" si="96"/>
        <v>150000</v>
      </c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 spans="1:26" ht="14.4">
      <c r="A530" s="450"/>
      <c r="B530" s="451" t="s">
        <v>615</v>
      </c>
      <c r="C530" s="321">
        <v>3</v>
      </c>
      <c r="D530" s="321"/>
      <c r="E530" s="321"/>
      <c r="F530" s="429">
        <f t="shared" si="93"/>
        <v>3</v>
      </c>
      <c r="G530" s="203">
        <v>129187</v>
      </c>
      <c r="H530" s="203">
        <v>131000</v>
      </c>
      <c r="I530" s="204"/>
      <c r="J530" s="205">
        <f t="shared" si="94"/>
        <v>0</v>
      </c>
      <c r="K530" s="205">
        <f t="shared" si="95"/>
        <v>0</v>
      </c>
      <c r="L530" s="430">
        <f t="shared" si="96"/>
        <v>387561</v>
      </c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 spans="1:26" ht="14.4">
      <c r="A531" s="450"/>
      <c r="B531" s="451" t="s">
        <v>616</v>
      </c>
      <c r="C531" s="431"/>
      <c r="D531" s="321"/>
      <c r="E531" s="321"/>
      <c r="F531" s="429">
        <f t="shared" si="93"/>
        <v>0</v>
      </c>
      <c r="G531" s="203">
        <v>11000</v>
      </c>
      <c r="H531" s="203">
        <v>13000</v>
      </c>
      <c r="I531" s="204"/>
      <c r="J531" s="205">
        <f t="shared" si="94"/>
        <v>0</v>
      </c>
      <c r="K531" s="205">
        <f t="shared" si="95"/>
        <v>0</v>
      </c>
      <c r="L531" s="430">
        <f t="shared" si="96"/>
        <v>0</v>
      </c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 spans="1:26" ht="14.4">
      <c r="A532" s="450"/>
      <c r="B532" s="451" t="s">
        <v>617</v>
      </c>
      <c r="C532" s="431"/>
      <c r="D532" s="321"/>
      <c r="E532" s="321"/>
      <c r="F532" s="429">
        <f t="shared" si="93"/>
        <v>0</v>
      </c>
      <c r="G532" s="203">
        <v>61000</v>
      </c>
      <c r="H532" s="203">
        <v>66000</v>
      </c>
      <c r="I532" s="204"/>
      <c r="J532" s="205">
        <f t="shared" si="94"/>
        <v>0</v>
      </c>
      <c r="K532" s="205">
        <f t="shared" si="95"/>
        <v>0</v>
      </c>
      <c r="L532" s="430">
        <f t="shared" si="96"/>
        <v>0</v>
      </c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 spans="1:26" ht="14.4">
      <c r="A533" s="450"/>
      <c r="B533" s="451" t="s">
        <v>618</v>
      </c>
      <c r="C533" s="431">
        <v>3</v>
      </c>
      <c r="D533" s="321"/>
      <c r="E533" s="321"/>
      <c r="F533" s="429">
        <f t="shared" si="93"/>
        <v>3</v>
      </c>
      <c r="G533" s="203">
        <v>19000</v>
      </c>
      <c r="H533" s="203">
        <v>22000</v>
      </c>
      <c r="I533" s="204"/>
      <c r="J533" s="205">
        <f t="shared" si="94"/>
        <v>0</v>
      </c>
      <c r="K533" s="205">
        <f t="shared" si="95"/>
        <v>0</v>
      </c>
      <c r="L533" s="430">
        <f t="shared" si="96"/>
        <v>57000</v>
      </c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 spans="1:26" ht="14.4">
      <c r="A534" s="450"/>
      <c r="B534" s="451" t="s">
        <v>619</v>
      </c>
      <c r="C534" s="431"/>
      <c r="D534" s="321"/>
      <c r="E534" s="321"/>
      <c r="F534" s="429">
        <f t="shared" si="93"/>
        <v>0</v>
      </c>
      <c r="G534" s="203">
        <v>10000</v>
      </c>
      <c r="H534" s="203">
        <v>12000</v>
      </c>
      <c r="I534" s="204"/>
      <c r="J534" s="205">
        <f t="shared" si="94"/>
        <v>0</v>
      </c>
      <c r="K534" s="205">
        <f t="shared" si="95"/>
        <v>0</v>
      </c>
      <c r="L534" s="430">
        <f t="shared" si="96"/>
        <v>0</v>
      </c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 spans="1:26" ht="14.4">
      <c r="A535" s="450"/>
      <c r="B535" s="451" t="s">
        <v>676</v>
      </c>
      <c r="C535" s="431">
        <v>4</v>
      </c>
      <c r="D535" s="321"/>
      <c r="E535" s="321"/>
      <c r="F535" s="429">
        <f t="shared" si="93"/>
        <v>4</v>
      </c>
      <c r="G535" s="203"/>
      <c r="H535" s="203"/>
      <c r="I535" s="204"/>
      <c r="J535" s="205">
        <f t="shared" si="94"/>
        <v>0</v>
      </c>
      <c r="K535" s="205">
        <f t="shared" si="95"/>
        <v>0</v>
      </c>
      <c r="L535" s="430">
        <f t="shared" si="96"/>
        <v>0</v>
      </c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 spans="1:26" ht="14.4">
      <c r="A536" s="450"/>
      <c r="B536" s="451" t="s">
        <v>621</v>
      </c>
      <c r="C536" s="431"/>
      <c r="D536" s="321"/>
      <c r="E536" s="321"/>
      <c r="F536" s="429">
        <f t="shared" si="93"/>
        <v>0</v>
      </c>
      <c r="G536" s="203">
        <v>11000</v>
      </c>
      <c r="H536" s="203">
        <v>13000</v>
      </c>
      <c r="I536" s="204"/>
      <c r="J536" s="205">
        <f t="shared" si="94"/>
        <v>0</v>
      </c>
      <c r="K536" s="205">
        <f t="shared" si="95"/>
        <v>0</v>
      </c>
      <c r="L536" s="430">
        <f t="shared" si="96"/>
        <v>0</v>
      </c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 spans="1:26" ht="14.4">
      <c r="A537" s="450"/>
      <c r="B537" s="451" t="s">
        <v>622</v>
      </c>
      <c r="C537" s="431">
        <v>1</v>
      </c>
      <c r="D537" s="321"/>
      <c r="E537" s="321"/>
      <c r="F537" s="429">
        <f t="shared" si="93"/>
        <v>1</v>
      </c>
      <c r="G537" s="203">
        <v>28000</v>
      </c>
      <c r="H537" s="203">
        <v>31000</v>
      </c>
      <c r="I537" s="204"/>
      <c r="J537" s="205">
        <f t="shared" si="94"/>
        <v>0</v>
      </c>
      <c r="K537" s="205">
        <f t="shared" si="95"/>
        <v>0</v>
      </c>
      <c r="L537" s="430">
        <f t="shared" si="96"/>
        <v>28000</v>
      </c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 spans="1:26" ht="14.4">
      <c r="A538" s="450"/>
      <c r="B538" s="451" t="s">
        <v>623</v>
      </c>
      <c r="C538" s="431">
        <v>2</v>
      </c>
      <c r="D538" s="321"/>
      <c r="E538" s="321"/>
      <c r="F538" s="429">
        <f t="shared" si="93"/>
        <v>2</v>
      </c>
      <c r="G538" s="203">
        <v>11000</v>
      </c>
      <c r="H538" s="203">
        <v>13000</v>
      </c>
      <c r="I538" s="204"/>
      <c r="J538" s="205">
        <f t="shared" si="94"/>
        <v>0</v>
      </c>
      <c r="K538" s="205">
        <f t="shared" si="95"/>
        <v>0</v>
      </c>
      <c r="L538" s="430">
        <f t="shared" si="96"/>
        <v>22000</v>
      </c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 spans="1:26" ht="14.4">
      <c r="A539" s="450"/>
      <c r="B539" s="451" t="s">
        <v>624</v>
      </c>
      <c r="C539" s="431">
        <v>17</v>
      </c>
      <c r="D539" s="321"/>
      <c r="E539" s="321"/>
      <c r="F539" s="429">
        <f t="shared" si="93"/>
        <v>17</v>
      </c>
      <c r="G539" s="203">
        <v>23000</v>
      </c>
      <c r="H539" s="203">
        <v>26000</v>
      </c>
      <c r="I539" s="204"/>
      <c r="J539" s="205">
        <f t="shared" si="94"/>
        <v>0</v>
      </c>
      <c r="K539" s="205">
        <f t="shared" si="95"/>
        <v>0</v>
      </c>
      <c r="L539" s="430">
        <f t="shared" si="96"/>
        <v>391000</v>
      </c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 spans="1:26" ht="14.4">
      <c r="A540" s="450"/>
      <c r="B540" s="451" t="s">
        <v>625</v>
      </c>
      <c r="C540" s="431">
        <v>2</v>
      </c>
      <c r="D540" s="321"/>
      <c r="E540" s="321"/>
      <c r="F540" s="429">
        <f t="shared" si="93"/>
        <v>2</v>
      </c>
      <c r="G540" s="203">
        <v>37000</v>
      </c>
      <c r="H540" s="203">
        <v>40000</v>
      </c>
      <c r="I540" s="204"/>
      <c r="J540" s="205">
        <f t="shared" si="94"/>
        <v>0</v>
      </c>
      <c r="K540" s="205">
        <f t="shared" si="95"/>
        <v>0</v>
      </c>
      <c r="L540" s="430">
        <f t="shared" si="96"/>
        <v>74000</v>
      </c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 spans="1:26" ht="14.4">
      <c r="A541" s="450"/>
      <c r="B541" s="451" t="s">
        <v>626</v>
      </c>
      <c r="C541" s="431">
        <v>1</v>
      </c>
      <c r="D541" s="321"/>
      <c r="E541" s="321"/>
      <c r="F541" s="429">
        <f t="shared" si="93"/>
        <v>1</v>
      </c>
      <c r="G541" s="203">
        <v>18800</v>
      </c>
      <c r="H541" s="203">
        <v>21000</v>
      </c>
      <c r="I541" s="204"/>
      <c r="J541" s="205">
        <f t="shared" si="94"/>
        <v>0</v>
      </c>
      <c r="K541" s="205">
        <f t="shared" si="95"/>
        <v>0</v>
      </c>
      <c r="L541" s="430">
        <f t="shared" si="96"/>
        <v>18800</v>
      </c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 spans="1:26" ht="14.4">
      <c r="A542" s="450"/>
      <c r="B542" s="451" t="s">
        <v>627</v>
      </c>
      <c r="C542" s="431">
        <v>0</v>
      </c>
      <c r="D542" s="321"/>
      <c r="E542" s="321"/>
      <c r="F542" s="429">
        <f t="shared" si="93"/>
        <v>0</v>
      </c>
      <c r="G542" s="203">
        <v>11500</v>
      </c>
      <c r="H542" s="203">
        <v>13000</v>
      </c>
      <c r="I542" s="204"/>
      <c r="J542" s="205">
        <f t="shared" si="94"/>
        <v>0</v>
      </c>
      <c r="K542" s="205">
        <f t="shared" si="95"/>
        <v>0</v>
      </c>
      <c r="L542" s="430">
        <f t="shared" si="96"/>
        <v>0</v>
      </c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 spans="1:26" ht="14.4">
      <c r="A543" s="450"/>
      <c r="B543" s="451" t="s">
        <v>628</v>
      </c>
      <c r="C543" s="431"/>
      <c r="D543" s="321"/>
      <c r="E543" s="321"/>
      <c r="F543" s="429">
        <f t="shared" si="93"/>
        <v>0</v>
      </c>
      <c r="G543" s="203">
        <v>22000</v>
      </c>
      <c r="H543" s="203">
        <v>24500</v>
      </c>
      <c r="I543" s="204"/>
      <c r="J543" s="205">
        <f t="shared" si="94"/>
        <v>0</v>
      </c>
      <c r="K543" s="205">
        <f t="shared" si="95"/>
        <v>0</v>
      </c>
      <c r="L543" s="430">
        <f t="shared" si="96"/>
        <v>0</v>
      </c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 spans="1:26" ht="14.4">
      <c r="A544" s="450"/>
      <c r="B544" s="451" t="s">
        <v>629</v>
      </c>
      <c r="C544" s="431">
        <v>3</v>
      </c>
      <c r="D544" s="321"/>
      <c r="E544" s="321"/>
      <c r="F544" s="429">
        <f t="shared" si="93"/>
        <v>3</v>
      </c>
      <c r="G544" s="203">
        <v>40000</v>
      </c>
      <c r="H544" s="203">
        <v>44000</v>
      </c>
      <c r="I544" s="204"/>
      <c r="J544" s="205">
        <f t="shared" si="94"/>
        <v>0</v>
      </c>
      <c r="K544" s="205">
        <f t="shared" si="95"/>
        <v>0</v>
      </c>
      <c r="L544" s="430">
        <f t="shared" si="96"/>
        <v>120000</v>
      </c>
      <c r="M544" s="452">
        <f>8*64</f>
        <v>512</v>
      </c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 spans="1:26" ht="14.4">
      <c r="A545" s="450"/>
      <c r="B545" s="451" t="s">
        <v>677</v>
      </c>
      <c r="C545" s="431">
        <v>3</v>
      </c>
      <c r="D545" s="321"/>
      <c r="E545" s="321"/>
      <c r="F545" s="429">
        <f t="shared" si="93"/>
        <v>3</v>
      </c>
      <c r="G545" s="203">
        <v>57000</v>
      </c>
      <c r="H545" s="203">
        <v>71000</v>
      </c>
      <c r="I545" s="204"/>
      <c r="J545" s="205">
        <f t="shared" si="94"/>
        <v>0</v>
      </c>
      <c r="K545" s="205">
        <f t="shared" si="95"/>
        <v>0</v>
      </c>
      <c r="L545" s="430">
        <f t="shared" si="96"/>
        <v>171000</v>
      </c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 spans="1:26" ht="14.4">
      <c r="A546" s="450"/>
      <c r="B546" s="451" t="s">
        <v>631</v>
      </c>
      <c r="C546" s="431">
        <v>1</v>
      </c>
      <c r="D546" s="321"/>
      <c r="E546" s="321"/>
      <c r="F546" s="429">
        <f t="shared" si="93"/>
        <v>1</v>
      </c>
      <c r="G546" s="203">
        <v>51000</v>
      </c>
      <c r="H546" s="203">
        <v>58000</v>
      </c>
      <c r="I546" s="204"/>
      <c r="J546" s="205">
        <f t="shared" si="94"/>
        <v>0</v>
      </c>
      <c r="K546" s="205">
        <f t="shared" si="95"/>
        <v>0</v>
      </c>
      <c r="L546" s="430">
        <f t="shared" si="96"/>
        <v>51000</v>
      </c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 spans="1:26" ht="14.4">
      <c r="A547" s="450"/>
      <c r="B547" s="451" t="s">
        <v>632</v>
      </c>
      <c r="C547" s="431">
        <v>2</v>
      </c>
      <c r="D547" s="321"/>
      <c r="E547" s="321"/>
      <c r="F547" s="429">
        <f t="shared" si="93"/>
        <v>2</v>
      </c>
      <c r="G547" s="203">
        <v>6500</v>
      </c>
      <c r="H547" s="203">
        <v>7500</v>
      </c>
      <c r="I547" s="204"/>
      <c r="J547" s="205">
        <f t="shared" si="94"/>
        <v>0</v>
      </c>
      <c r="K547" s="205">
        <f t="shared" si="95"/>
        <v>0</v>
      </c>
      <c r="L547" s="430">
        <f t="shared" si="96"/>
        <v>13000</v>
      </c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 spans="1:26" ht="14.4">
      <c r="A548" s="450"/>
      <c r="B548" s="451" t="s">
        <v>633</v>
      </c>
      <c r="C548" s="431">
        <v>2</v>
      </c>
      <c r="D548" s="321"/>
      <c r="E548" s="321"/>
      <c r="F548" s="429">
        <f t="shared" si="93"/>
        <v>2</v>
      </c>
      <c r="G548" s="203">
        <v>75000</v>
      </c>
      <c r="H548" s="203">
        <v>80000</v>
      </c>
      <c r="I548" s="204"/>
      <c r="J548" s="205">
        <f t="shared" si="94"/>
        <v>0</v>
      </c>
      <c r="K548" s="205">
        <f t="shared" si="95"/>
        <v>0</v>
      </c>
      <c r="L548" s="430">
        <f t="shared" si="96"/>
        <v>150000</v>
      </c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 spans="1:26" ht="14.4">
      <c r="A549" s="450"/>
      <c r="B549" s="451" t="s">
        <v>634</v>
      </c>
      <c r="C549" s="431">
        <v>1</v>
      </c>
      <c r="D549" s="321"/>
      <c r="E549" s="321"/>
      <c r="F549" s="429">
        <f t="shared" si="93"/>
        <v>1</v>
      </c>
      <c r="G549" s="203">
        <v>31000</v>
      </c>
      <c r="H549" s="203">
        <v>35000</v>
      </c>
      <c r="I549" s="204"/>
      <c r="J549" s="205">
        <f t="shared" si="94"/>
        <v>0</v>
      </c>
      <c r="K549" s="205">
        <f t="shared" si="95"/>
        <v>0</v>
      </c>
      <c r="L549" s="430">
        <f t="shared" si="96"/>
        <v>31000</v>
      </c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 spans="1:26" ht="14.4">
      <c r="A550" s="450"/>
      <c r="B550" s="451" t="s">
        <v>635</v>
      </c>
      <c r="C550" s="431">
        <v>2</v>
      </c>
      <c r="D550" s="321"/>
      <c r="E550" s="321"/>
      <c r="F550" s="429">
        <f t="shared" si="93"/>
        <v>2</v>
      </c>
      <c r="G550" s="203">
        <v>55000</v>
      </c>
      <c r="H550" s="203">
        <v>59000</v>
      </c>
      <c r="I550" s="204"/>
      <c r="J550" s="205">
        <f t="shared" si="94"/>
        <v>0</v>
      </c>
      <c r="K550" s="205">
        <f t="shared" si="95"/>
        <v>0</v>
      </c>
      <c r="L550" s="430">
        <f t="shared" si="96"/>
        <v>110000</v>
      </c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 spans="1:26" ht="14.4">
      <c r="A551" s="450"/>
      <c r="B551" s="451" t="s">
        <v>636</v>
      </c>
      <c r="C551" s="431">
        <v>0</v>
      </c>
      <c r="D551" s="321"/>
      <c r="E551" s="321"/>
      <c r="F551" s="429">
        <f t="shared" si="93"/>
        <v>0</v>
      </c>
      <c r="G551" s="203">
        <v>22700</v>
      </c>
      <c r="H551" s="203">
        <v>26000</v>
      </c>
      <c r="I551" s="204"/>
      <c r="J551" s="205">
        <f t="shared" si="94"/>
        <v>0</v>
      </c>
      <c r="K551" s="205">
        <f t="shared" si="95"/>
        <v>0</v>
      </c>
      <c r="L551" s="430">
        <f t="shared" si="96"/>
        <v>0</v>
      </c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 spans="1:26" ht="14.4">
      <c r="A552" s="450"/>
      <c r="B552" s="451" t="s">
        <v>637</v>
      </c>
      <c r="C552" s="431">
        <v>1</v>
      </c>
      <c r="D552" s="321"/>
      <c r="E552" s="321"/>
      <c r="F552" s="429">
        <f t="shared" si="93"/>
        <v>1</v>
      </c>
      <c r="G552" s="203">
        <v>27000</v>
      </c>
      <c r="H552" s="203">
        <v>30000</v>
      </c>
      <c r="I552" s="204"/>
      <c r="J552" s="205">
        <f t="shared" si="94"/>
        <v>0</v>
      </c>
      <c r="K552" s="205">
        <f t="shared" si="95"/>
        <v>0</v>
      </c>
      <c r="L552" s="430">
        <f t="shared" si="96"/>
        <v>27000</v>
      </c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 spans="1:26" ht="14.4">
      <c r="A553" s="450"/>
      <c r="B553" s="451" t="s">
        <v>638</v>
      </c>
      <c r="C553" s="431">
        <v>0</v>
      </c>
      <c r="D553" s="321"/>
      <c r="E553" s="321"/>
      <c r="F553" s="429">
        <f t="shared" si="93"/>
        <v>0</v>
      </c>
      <c r="G553" s="203">
        <v>11000</v>
      </c>
      <c r="H553" s="203">
        <v>13000</v>
      </c>
      <c r="I553" s="204"/>
      <c r="J553" s="205">
        <f t="shared" si="94"/>
        <v>0</v>
      </c>
      <c r="K553" s="205">
        <f t="shared" si="95"/>
        <v>0</v>
      </c>
      <c r="L553" s="430">
        <f t="shared" si="96"/>
        <v>0</v>
      </c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 spans="1:26" ht="14.4">
      <c r="A554" s="450"/>
      <c r="B554" s="451" t="s">
        <v>678</v>
      </c>
      <c r="C554" s="431">
        <v>2</v>
      </c>
      <c r="D554" s="321"/>
      <c r="E554" s="321"/>
      <c r="F554" s="429">
        <f t="shared" si="93"/>
        <v>2</v>
      </c>
      <c r="G554" s="203"/>
      <c r="H554" s="203"/>
      <c r="I554" s="204"/>
      <c r="J554" s="205">
        <f t="shared" si="94"/>
        <v>0</v>
      </c>
      <c r="K554" s="205">
        <f t="shared" si="95"/>
        <v>0</v>
      </c>
      <c r="L554" s="430">
        <f t="shared" si="96"/>
        <v>0</v>
      </c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 spans="1:26" ht="14.4">
      <c r="A555" s="450"/>
      <c r="B555" s="451" t="s">
        <v>640</v>
      </c>
      <c r="C555" s="431">
        <v>2</v>
      </c>
      <c r="D555" s="321"/>
      <c r="E555" s="321"/>
      <c r="F555" s="429">
        <f t="shared" si="93"/>
        <v>2</v>
      </c>
      <c r="G555" s="203">
        <v>49000</v>
      </c>
      <c r="H555" s="203">
        <v>52000</v>
      </c>
      <c r="I555" s="204"/>
      <c r="J555" s="205">
        <f t="shared" si="94"/>
        <v>0</v>
      </c>
      <c r="K555" s="205">
        <f t="shared" si="95"/>
        <v>0</v>
      </c>
      <c r="L555" s="430">
        <f t="shared" si="96"/>
        <v>98000</v>
      </c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 spans="1:26" ht="14.4">
      <c r="A556" s="450"/>
      <c r="B556" s="451" t="s">
        <v>641</v>
      </c>
      <c r="C556" s="431">
        <v>3</v>
      </c>
      <c r="D556" s="321"/>
      <c r="E556" s="321"/>
      <c r="F556" s="429">
        <f t="shared" si="93"/>
        <v>3</v>
      </c>
      <c r="G556" s="203">
        <v>49000</v>
      </c>
      <c r="H556" s="203">
        <v>52000</v>
      </c>
      <c r="I556" s="204"/>
      <c r="J556" s="205">
        <f t="shared" si="94"/>
        <v>0</v>
      </c>
      <c r="K556" s="205">
        <f t="shared" si="95"/>
        <v>0</v>
      </c>
      <c r="L556" s="430">
        <f t="shared" si="96"/>
        <v>147000</v>
      </c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 spans="1:26" ht="14.4">
      <c r="A557" s="450"/>
      <c r="B557" s="451" t="s">
        <v>679</v>
      </c>
      <c r="C557" s="431">
        <v>0</v>
      </c>
      <c r="D557" s="321"/>
      <c r="E557" s="321"/>
      <c r="F557" s="429">
        <f t="shared" si="93"/>
        <v>0</v>
      </c>
      <c r="G557" s="203">
        <v>27000</v>
      </c>
      <c r="H557" s="203">
        <v>30000</v>
      </c>
      <c r="I557" s="204"/>
      <c r="J557" s="205">
        <f t="shared" si="94"/>
        <v>0</v>
      </c>
      <c r="K557" s="205">
        <f t="shared" si="95"/>
        <v>0</v>
      </c>
      <c r="L557" s="430">
        <f t="shared" si="96"/>
        <v>0</v>
      </c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 spans="1:26" ht="14.4">
      <c r="A558" s="450"/>
      <c r="B558" s="451" t="s">
        <v>643</v>
      </c>
      <c r="C558" s="431">
        <v>4</v>
      </c>
      <c r="D558" s="321"/>
      <c r="E558" s="321"/>
      <c r="F558" s="429">
        <f t="shared" si="93"/>
        <v>4</v>
      </c>
      <c r="G558" s="203">
        <v>27000</v>
      </c>
      <c r="H558" s="203">
        <v>30000</v>
      </c>
      <c r="I558" s="204"/>
      <c r="J558" s="205">
        <f t="shared" si="94"/>
        <v>0</v>
      </c>
      <c r="K558" s="205">
        <f t="shared" si="95"/>
        <v>0</v>
      </c>
      <c r="L558" s="430">
        <f t="shared" si="96"/>
        <v>108000</v>
      </c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 spans="1:26" ht="14.4">
      <c r="A559" s="450"/>
      <c r="B559" s="451" t="s">
        <v>644</v>
      </c>
      <c r="C559" s="431"/>
      <c r="D559" s="321"/>
      <c r="E559" s="321"/>
      <c r="F559" s="429">
        <f t="shared" si="93"/>
        <v>0</v>
      </c>
      <c r="G559" s="203">
        <v>28800</v>
      </c>
      <c r="H559" s="203">
        <v>31000</v>
      </c>
      <c r="I559" s="204"/>
      <c r="J559" s="205">
        <f t="shared" si="94"/>
        <v>0</v>
      </c>
      <c r="K559" s="205">
        <f t="shared" si="95"/>
        <v>0</v>
      </c>
      <c r="L559" s="430">
        <f t="shared" si="96"/>
        <v>0</v>
      </c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 spans="1:26" ht="14.4">
      <c r="A560" s="450"/>
      <c r="B560" s="451" t="s">
        <v>645</v>
      </c>
      <c r="C560" s="431">
        <v>1</v>
      </c>
      <c r="D560" s="321"/>
      <c r="E560" s="321"/>
      <c r="F560" s="429">
        <f t="shared" si="93"/>
        <v>1</v>
      </c>
      <c r="G560" s="203">
        <v>13000</v>
      </c>
      <c r="H560" s="203">
        <v>15000</v>
      </c>
      <c r="I560" s="204"/>
      <c r="J560" s="205">
        <f t="shared" si="94"/>
        <v>0</v>
      </c>
      <c r="K560" s="205">
        <f t="shared" si="95"/>
        <v>0</v>
      </c>
      <c r="L560" s="430">
        <f t="shared" si="96"/>
        <v>13000</v>
      </c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 spans="1:26" ht="14.4">
      <c r="A561" s="450"/>
      <c r="B561" s="451" t="s">
        <v>646</v>
      </c>
      <c r="C561" s="431"/>
      <c r="D561" s="321"/>
      <c r="E561" s="321"/>
      <c r="F561" s="429">
        <f t="shared" si="93"/>
        <v>0</v>
      </c>
      <c r="G561" s="203">
        <v>16000</v>
      </c>
      <c r="H561" s="203">
        <v>19000</v>
      </c>
      <c r="I561" s="204"/>
      <c r="J561" s="205">
        <f t="shared" si="94"/>
        <v>0</v>
      </c>
      <c r="K561" s="205">
        <f t="shared" si="95"/>
        <v>0</v>
      </c>
      <c r="L561" s="430">
        <f t="shared" si="96"/>
        <v>0</v>
      </c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 spans="1:26" ht="14.4">
      <c r="A562" s="450"/>
      <c r="B562" s="451" t="s">
        <v>647</v>
      </c>
      <c r="C562" s="431">
        <v>2</v>
      </c>
      <c r="D562" s="321"/>
      <c r="E562" s="321"/>
      <c r="F562" s="429">
        <f t="shared" si="93"/>
        <v>2</v>
      </c>
      <c r="G562" s="203">
        <v>56000</v>
      </c>
      <c r="H562" s="203">
        <v>60000</v>
      </c>
      <c r="I562" s="204"/>
      <c r="J562" s="205">
        <f t="shared" si="94"/>
        <v>0</v>
      </c>
      <c r="K562" s="205">
        <f t="shared" si="95"/>
        <v>0</v>
      </c>
      <c r="L562" s="430">
        <f t="shared" si="96"/>
        <v>112000</v>
      </c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 spans="1:26" ht="14.4">
      <c r="A563" s="450"/>
      <c r="B563" s="451" t="s">
        <v>648</v>
      </c>
      <c r="C563" s="431">
        <v>2</v>
      </c>
      <c r="D563" s="321"/>
      <c r="E563" s="321"/>
      <c r="F563" s="429">
        <f t="shared" si="93"/>
        <v>2</v>
      </c>
      <c r="G563" s="203">
        <v>25400</v>
      </c>
      <c r="H563" s="203">
        <v>28000</v>
      </c>
      <c r="I563" s="204"/>
      <c r="J563" s="205">
        <f t="shared" si="94"/>
        <v>0</v>
      </c>
      <c r="K563" s="205">
        <f t="shared" si="95"/>
        <v>0</v>
      </c>
      <c r="L563" s="430">
        <f t="shared" si="96"/>
        <v>50800</v>
      </c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 spans="1:26" ht="14.4">
      <c r="A564" s="450"/>
      <c r="B564" s="451" t="s">
        <v>680</v>
      </c>
      <c r="C564" s="431">
        <v>2</v>
      </c>
      <c r="D564" s="321"/>
      <c r="E564" s="321"/>
      <c r="F564" s="429">
        <f t="shared" si="93"/>
        <v>2</v>
      </c>
      <c r="G564" s="203">
        <v>24000</v>
      </c>
      <c r="H564" s="203">
        <v>26000</v>
      </c>
      <c r="I564" s="204"/>
      <c r="J564" s="205">
        <f t="shared" si="94"/>
        <v>0</v>
      </c>
      <c r="K564" s="205">
        <f t="shared" si="95"/>
        <v>0</v>
      </c>
      <c r="L564" s="430">
        <f t="shared" si="96"/>
        <v>48000</v>
      </c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 spans="1:26" ht="14.4">
      <c r="A565" s="450"/>
      <c r="B565" s="451" t="s">
        <v>650</v>
      </c>
      <c r="C565" s="431">
        <v>0</v>
      </c>
      <c r="D565" s="321"/>
      <c r="E565" s="321"/>
      <c r="F565" s="429">
        <f t="shared" si="93"/>
        <v>0</v>
      </c>
      <c r="G565" s="203">
        <v>25470</v>
      </c>
      <c r="H565" s="203">
        <v>27000</v>
      </c>
      <c r="I565" s="204"/>
      <c r="J565" s="205">
        <f t="shared" si="94"/>
        <v>0</v>
      </c>
      <c r="K565" s="205">
        <f t="shared" si="95"/>
        <v>0</v>
      </c>
      <c r="L565" s="430">
        <f t="shared" si="96"/>
        <v>0</v>
      </c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 spans="1:26" ht="14.4">
      <c r="A566" s="450"/>
      <c r="B566" s="451" t="s">
        <v>651</v>
      </c>
      <c r="C566" s="431">
        <v>3</v>
      </c>
      <c r="D566" s="321"/>
      <c r="E566" s="321"/>
      <c r="F566" s="429">
        <f t="shared" si="93"/>
        <v>3</v>
      </c>
      <c r="G566" s="203">
        <v>45400</v>
      </c>
      <c r="H566" s="203">
        <v>48000</v>
      </c>
      <c r="I566" s="204"/>
      <c r="J566" s="205">
        <f t="shared" si="94"/>
        <v>0</v>
      </c>
      <c r="K566" s="205">
        <f t="shared" si="95"/>
        <v>0</v>
      </c>
      <c r="L566" s="430">
        <f t="shared" si="96"/>
        <v>136200</v>
      </c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 spans="1:26" ht="14.4">
      <c r="A567" s="450"/>
      <c r="B567" s="451" t="s">
        <v>652</v>
      </c>
      <c r="C567" s="431">
        <v>3</v>
      </c>
      <c r="D567" s="321"/>
      <c r="E567" s="321"/>
      <c r="F567" s="429">
        <f t="shared" si="93"/>
        <v>3</v>
      </c>
      <c r="G567" s="203">
        <v>21000</v>
      </c>
      <c r="H567" s="203">
        <v>24500</v>
      </c>
      <c r="I567" s="204"/>
      <c r="J567" s="205">
        <f t="shared" si="94"/>
        <v>0</v>
      </c>
      <c r="K567" s="205">
        <f t="shared" si="95"/>
        <v>0</v>
      </c>
      <c r="L567" s="430">
        <f t="shared" si="96"/>
        <v>63000</v>
      </c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 spans="1:26" ht="14.4">
      <c r="A568" s="450"/>
      <c r="B568" s="451" t="s">
        <v>653</v>
      </c>
      <c r="C568" s="431">
        <v>3</v>
      </c>
      <c r="D568" s="321"/>
      <c r="E568" s="321"/>
      <c r="F568" s="429">
        <f t="shared" si="93"/>
        <v>3</v>
      </c>
      <c r="G568" s="203">
        <v>48000</v>
      </c>
      <c r="H568" s="203">
        <v>55000</v>
      </c>
      <c r="I568" s="204"/>
      <c r="J568" s="205">
        <f t="shared" si="94"/>
        <v>0</v>
      </c>
      <c r="K568" s="205">
        <f t="shared" si="95"/>
        <v>0</v>
      </c>
      <c r="L568" s="430">
        <f t="shared" si="96"/>
        <v>144000</v>
      </c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 spans="1:26" ht="14.4">
      <c r="A569" s="450"/>
      <c r="B569" s="451" t="s">
        <v>654</v>
      </c>
      <c r="C569" s="431">
        <v>3</v>
      </c>
      <c r="D569" s="321"/>
      <c r="E569" s="321"/>
      <c r="F569" s="429">
        <f t="shared" si="93"/>
        <v>3</v>
      </c>
      <c r="G569" s="203">
        <v>46750</v>
      </c>
      <c r="H569" s="203">
        <v>50000</v>
      </c>
      <c r="I569" s="204"/>
      <c r="J569" s="205">
        <f t="shared" si="94"/>
        <v>0</v>
      </c>
      <c r="K569" s="205">
        <f t="shared" si="95"/>
        <v>0</v>
      </c>
      <c r="L569" s="430">
        <f t="shared" si="96"/>
        <v>140250</v>
      </c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 spans="1:26" ht="14.4">
      <c r="A570" s="450"/>
      <c r="B570" s="451" t="s">
        <v>655</v>
      </c>
      <c r="C570" s="431"/>
      <c r="D570" s="321"/>
      <c r="E570" s="321"/>
      <c r="F570" s="429">
        <f t="shared" si="93"/>
        <v>0</v>
      </c>
      <c r="G570" s="203">
        <v>25250</v>
      </c>
      <c r="H570" s="203">
        <v>27000</v>
      </c>
      <c r="I570" s="204"/>
      <c r="J570" s="205">
        <f t="shared" si="94"/>
        <v>0</v>
      </c>
      <c r="K570" s="205">
        <f t="shared" si="95"/>
        <v>0</v>
      </c>
      <c r="L570" s="430">
        <f t="shared" si="96"/>
        <v>0</v>
      </c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 spans="1:26" ht="14.4">
      <c r="A571" s="450"/>
      <c r="B571" s="451" t="s">
        <v>656</v>
      </c>
      <c r="C571" s="431">
        <v>6</v>
      </c>
      <c r="D571" s="321"/>
      <c r="E571" s="321"/>
      <c r="F571" s="429">
        <f t="shared" si="93"/>
        <v>6</v>
      </c>
      <c r="G571" s="210">
        <v>38000</v>
      </c>
      <c r="H571" s="210">
        <v>40000</v>
      </c>
      <c r="I571" s="445"/>
      <c r="J571" s="205">
        <f t="shared" si="94"/>
        <v>0</v>
      </c>
      <c r="K571" s="205">
        <f t="shared" si="95"/>
        <v>0</v>
      </c>
      <c r="L571" s="430">
        <f t="shared" si="96"/>
        <v>228000</v>
      </c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 spans="1:26" ht="14.4">
      <c r="A572" s="450"/>
      <c r="B572" s="453" t="s">
        <v>681</v>
      </c>
      <c r="C572" s="431">
        <v>9</v>
      </c>
      <c r="D572" s="321"/>
      <c r="E572" s="321"/>
      <c r="F572" s="429">
        <f t="shared" si="93"/>
        <v>9</v>
      </c>
      <c r="G572" s="210">
        <v>13500</v>
      </c>
      <c r="H572" s="210">
        <v>15000</v>
      </c>
      <c r="I572" s="445"/>
      <c r="J572" s="205">
        <f t="shared" si="94"/>
        <v>0</v>
      </c>
      <c r="K572" s="205">
        <f t="shared" si="95"/>
        <v>0</v>
      </c>
      <c r="L572" s="430">
        <f t="shared" si="96"/>
        <v>121500</v>
      </c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 spans="1:26" ht="14.4">
      <c r="A573" s="450"/>
      <c r="B573" s="453" t="s">
        <v>682</v>
      </c>
      <c r="C573" s="431">
        <v>1</v>
      </c>
      <c r="D573" s="321"/>
      <c r="E573" s="321"/>
      <c r="F573" s="429">
        <f t="shared" si="93"/>
        <v>1</v>
      </c>
      <c r="G573" s="239"/>
      <c r="H573" s="239"/>
      <c r="I573" s="468"/>
      <c r="J573" s="205"/>
      <c r="K573" s="205"/>
      <c r="L573" s="430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 spans="1:26" ht="14.4">
      <c r="A574" s="450"/>
      <c r="B574" s="454" t="s">
        <v>658</v>
      </c>
      <c r="C574" s="431">
        <v>2</v>
      </c>
      <c r="D574" s="321"/>
      <c r="E574" s="321"/>
      <c r="F574" s="429">
        <f t="shared" si="93"/>
        <v>2</v>
      </c>
      <c r="G574" s="298">
        <v>38000</v>
      </c>
      <c r="H574" s="298">
        <v>40000</v>
      </c>
      <c r="I574" s="213"/>
      <c r="J574" s="205">
        <f>+I574*H574</f>
        <v>0</v>
      </c>
      <c r="K574" s="205">
        <f>+(H574-G574)*I574</f>
        <v>0</v>
      </c>
      <c r="L574" s="430">
        <f>+G574*F574</f>
        <v>76000</v>
      </c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 spans="1:26" ht="14.4">
      <c r="A575" s="455"/>
      <c r="B575" s="456"/>
      <c r="C575" s="457">
        <f t="shared" ref="C575:F575" si="97">+SUM(C466:C574)</f>
        <v>315</v>
      </c>
      <c r="D575" s="458">
        <f t="shared" si="97"/>
        <v>0</v>
      </c>
      <c r="E575" s="458">
        <f t="shared" si="97"/>
        <v>0</v>
      </c>
      <c r="F575" s="458">
        <f t="shared" si="97"/>
        <v>315</v>
      </c>
      <c r="G575" s="459">
        <f t="shared" ref="G575:L575" si="98">SUM(G466:G574)</f>
        <v>3762664.25</v>
      </c>
      <c r="H575" s="459">
        <f t="shared" si="98"/>
        <v>4106300</v>
      </c>
      <c r="I575" s="460">
        <f t="shared" si="98"/>
        <v>0</v>
      </c>
      <c r="J575" s="459">
        <f t="shared" si="98"/>
        <v>0</v>
      </c>
      <c r="K575" s="459">
        <f t="shared" si="98"/>
        <v>0</v>
      </c>
      <c r="L575" s="459">
        <f t="shared" si="98"/>
        <v>9280414.75</v>
      </c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 spans="1:26" ht="14.4">
      <c r="A576" s="191"/>
      <c r="B576" s="191"/>
      <c r="C576" s="439">
        <v>515</v>
      </c>
      <c r="D576" s="439">
        <f t="shared" ref="D576:L576" si="99">D575+D465+D436+D423</f>
        <v>0</v>
      </c>
      <c r="E576" s="439">
        <f t="shared" si="99"/>
        <v>0</v>
      </c>
      <c r="F576" s="439">
        <f t="shared" si="99"/>
        <v>646</v>
      </c>
      <c r="G576" s="461">
        <f t="shared" si="99"/>
        <v>12846446.25</v>
      </c>
      <c r="H576" s="461">
        <f t="shared" si="99"/>
        <v>13450400</v>
      </c>
      <c r="I576" s="462">
        <f t="shared" si="99"/>
        <v>0</v>
      </c>
      <c r="J576" s="439">
        <f t="shared" si="99"/>
        <v>0</v>
      </c>
      <c r="K576" s="439">
        <f t="shared" si="99"/>
        <v>0</v>
      </c>
      <c r="L576" s="439">
        <f t="shared" si="99"/>
        <v>31473546.75</v>
      </c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 spans="1:26" ht="14.4">
      <c r="A577" s="191"/>
      <c r="B577" s="191"/>
      <c r="C577" s="191"/>
      <c r="D577" s="191"/>
      <c r="E577" s="191"/>
      <c r="F577" s="191"/>
      <c r="G577" s="386"/>
      <c r="H577" s="386"/>
      <c r="I577" s="463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 spans="1:26" ht="14.4">
      <c r="A578" s="191"/>
      <c r="B578" s="191"/>
      <c r="C578" s="191"/>
      <c r="D578" s="191"/>
      <c r="E578" s="191"/>
      <c r="F578" s="191"/>
      <c r="G578" s="386"/>
      <c r="H578" s="386"/>
      <c r="I578" s="463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 spans="1:26" ht="14.4">
      <c r="A579" s="191"/>
      <c r="B579" s="191"/>
      <c r="C579" s="191"/>
      <c r="D579" s="191"/>
      <c r="E579" s="191"/>
      <c r="F579" s="191"/>
      <c r="G579" s="386"/>
      <c r="H579" s="386"/>
      <c r="I579" s="463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 spans="1:26" ht="14.4">
      <c r="A580" s="191"/>
      <c r="B580" s="191"/>
      <c r="C580" s="191"/>
      <c r="D580" s="191"/>
      <c r="E580" s="191"/>
      <c r="F580" s="191"/>
      <c r="G580" s="386"/>
      <c r="H580" s="386"/>
      <c r="I580" s="463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 spans="1:26" ht="14.4">
      <c r="A581" s="191"/>
      <c r="B581" s="191"/>
      <c r="C581" s="191"/>
      <c r="D581" s="191"/>
      <c r="E581" s="191"/>
      <c r="F581" s="191"/>
      <c r="G581" s="386"/>
      <c r="H581" s="386"/>
      <c r="I581" s="463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 spans="1:26" ht="14.4">
      <c r="A582" s="191"/>
      <c r="B582" s="191"/>
      <c r="C582" s="191"/>
      <c r="D582" s="191"/>
      <c r="E582" s="191"/>
      <c r="F582" s="191"/>
      <c r="G582" s="386"/>
      <c r="H582" s="386"/>
      <c r="I582" s="463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 spans="1:26" ht="14.4">
      <c r="A583" s="191"/>
      <c r="B583" s="191"/>
      <c r="C583" s="191"/>
      <c r="D583" s="191"/>
      <c r="E583" s="191"/>
      <c r="F583" s="191"/>
      <c r="G583" s="386"/>
      <c r="H583" s="386"/>
      <c r="I583" s="463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 spans="1:26" ht="14.4">
      <c r="A584" s="191"/>
      <c r="B584" s="191"/>
      <c r="C584" s="191"/>
      <c r="D584" s="191"/>
      <c r="E584" s="191"/>
      <c r="F584" s="191"/>
      <c r="G584" s="386"/>
      <c r="H584" s="386"/>
      <c r="I584" s="46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 spans="1:26" ht="14.4">
      <c r="A585" s="191"/>
      <c r="B585" s="191"/>
      <c r="C585" s="191"/>
      <c r="D585" s="191"/>
      <c r="E585" s="191"/>
      <c r="F585" s="191"/>
      <c r="G585" s="386"/>
      <c r="H585" s="386"/>
      <c r="I585" s="46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 spans="1:26" ht="14.4">
      <c r="A586" s="191"/>
      <c r="B586" s="191"/>
      <c r="C586" s="191"/>
      <c r="D586" s="191"/>
      <c r="E586" s="191"/>
      <c r="F586" s="191"/>
      <c r="G586" s="386"/>
      <c r="H586" s="386"/>
      <c r="I586" s="46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 spans="1:26" ht="14.4">
      <c r="A587" s="191"/>
      <c r="B587" s="191"/>
      <c r="C587" s="191"/>
      <c r="D587" s="191"/>
      <c r="E587" s="191"/>
      <c r="F587" s="191"/>
      <c r="G587" s="386"/>
      <c r="H587" s="386"/>
      <c r="I587" s="46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 spans="1:26" ht="14.4">
      <c r="A588" s="191"/>
      <c r="B588" s="191"/>
      <c r="C588" s="191"/>
      <c r="D588" s="191"/>
      <c r="E588" s="191"/>
      <c r="F588" s="191"/>
      <c r="G588" s="386"/>
      <c r="H588" s="386"/>
      <c r="I588" s="46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 spans="1:26" ht="14.4">
      <c r="A589" s="191"/>
      <c r="B589" s="191"/>
      <c r="C589" s="191"/>
      <c r="D589" s="191"/>
      <c r="E589" s="191"/>
      <c r="F589" s="191"/>
      <c r="G589" s="386"/>
      <c r="H589" s="386"/>
      <c r="I589" s="46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 spans="1:26" ht="14.4">
      <c r="A590" s="191"/>
      <c r="B590" s="191"/>
      <c r="C590" s="191"/>
      <c r="D590" s="191"/>
      <c r="E590" s="191"/>
      <c r="F590" s="191"/>
      <c r="G590" s="386"/>
      <c r="H590" s="386"/>
      <c r="I590" s="46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 spans="1:26" ht="14.4">
      <c r="A591" s="191"/>
      <c r="B591" s="191"/>
      <c r="C591" s="191"/>
      <c r="D591" s="191"/>
      <c r="E591" s="191"/>
      <c r="F591" s="191"/>
      <c r="G591" s="386"/>
      <c r="H591" s="386"/>
      <c r="I591" s="46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 spans="1:26" ht="14.4">
      <c r="A592" s="191"/>
      <c r="B592" s="191"/>
      <c r="C592" s="191"/>
      <c r="D592" s="191"/>
      <c r="E592" s="191"/>
      <c r="F592" s="191"/>
      <c r="G592" s="386"/>
      <c r="H592" s="386"/>
      <c r="I592" s="46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 spans="1:26" ht="14.4">
      <c r="A593" s="191"/>
      <c r="B593" s="191"/>
      <c r="C593" s="191"/>
      <c r="D593" s="191"/>
      <c r="E593" s="191"/>
      <c r="F593" s="191"/>
      <c r="G593" s="386"/>
      <c r="H593" s="386"/>
      <c r="I593" s="46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 spans="1:26" ht="14.4">
      <c r="A594" s="191"/>
      <c r="B594" s="191"/>
      <c r="C594" s="191"/>
      <c r="D594" s="191"/>
      <c r="E594" s="191"/>
      <c r="F594" s="191"/>
      <c r="G594" s="386"/>
      <c r="H594" s="386"/>
      <c r="I594" s="46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 spans="1:26" ht="14.4">
      <c r="A595" s="191"/>
      <c r="B595" s="191"/>
      <c r="C595" s="191"/>
      <c r="D595" s="191"/>
      <c r="E595" s="191"/>
      <c r="F595" s="191"/>
      <c r="G595" s="386"/>
      <c r="H595" s="386"/>
      <c r="I595" s="46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 spans="1:26" ht="14.4">
      <c r="A596" s="191"/>
      <c r="B596" s="191"/>
      <c r="C596" s="191"/>
      <c r="D596" s="191"/>
      <c r="E596" s="191"/>
      <c r="F596" s="191"/>
      <c r="G596" s="386"/>
      <c r="H596" s="386"/>
      <c r="I596" s="46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 spans="1:26" ht="14.4">
      <c r="A597" s="191"/>
      <c r="B597" s="191"/>
      <c r="C597" s="191"/>
      <c r="D597" s="191"/>
      <c r="E597" s="191"/>
      <c r="F597" s="191"/>
      <c r="G597" s="386"/>
      <c r="H597" s="386"/>
      <c r="I597" s="46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 spans="1:26" ht="14.4">
      <c r="A598" s="191"/>
      <c r="B598" s="191"/>
      <c r="C598" s="191"/>
      <c r="D598" s="191"/>
      <c r="E598" s="191"/>
      <c r="F598" s="191"/>
      <c r="G598" s="386"/>
      <c r="H598" s="386"/>
      <c r="I598" s="46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 spans="1:26" ht="14.4">
      <c r="A599" s="191"/>
      <c r="B599" s="191"/>
      <c r="C599" s="191"/>
      <c r="D599" s="191"/>
      <c r="E599" s="191"/>
      <c r="F599" s="191"/>
      <c r="G599" s="386"/>
      <c r="H599" s="386"/>
      <c r="I599" s="46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 spans="1:26" ht="14.4">
      <c r="A600" s="191"/>
      <c r="B600" s="191"/>
      <c r="C600" s="191"/>
      <c r="D600" s="191"/>
      <c r="E600" s="191"/>
      <c r="F600" s="191"/>
      <c r="G600" s="386"/>
      <c r="H600" s="386"/>
      <c r="I600" s="46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 spans="1:26" ht="14.4">
      <c r="A601" s="191"/>
      <c r="B601" s="191"/>
      <c r="C601" s="191"/>
      <c r="D601" s="191"/>
      <c r="E601" s="191"/>
      <c r="F601" s="191"/>
      <c r="G601" s="386"/>
      <c r="H601" s="386"/>
      <c r="I601" s="46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 spans="1:26" ht="14.4">
      <c r="A602" s="191"/>
      <c r="B602" s="191"/>
      <c r="C602" s="191"/>
      <c r="D602" s="191"/>
      <c r="E602" s="191"/>
      <c r="F602" s="191"/>
      <c r="G602" s="386"/>
      <c r="H602" s="386"/>
      <c r="I602" s="46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 spans="1:26" ht="14.4">
      <c r="A603" s="191"/>
      <c r="B603" s="191"/>
      <c r="C603" s="191"/>
      <c r="D603" s="191"/>
      <c r="E603" s="191"/>
      <c r="F603" s="191"/>
      <c r="G603" s="386"/>
      <c r="H603" s="386"/>
      <c r="I603" s="46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 spans="1:26" ht="14.4">
      <c r="A604" s="191"/>
      <c r="B604" s="191"/>
      <c r="C604" s="191"/>
      <c r="D604" s="191"/>
      <c r="E604" s="191"/>
      <c r="F604" s="191"/>
      <c r="G604" s="386"/>
      <c r="H604" s="386"/>
      <c r="I604" s="46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 spans="1:26" ht="14.4">
      <c r="A605" s="191"/>
      <c r="B605" s="191"/>
      <c r="C605" s="191"/>
      <c r="D605" s="191"/>
      <c r="E605" s="191"/>
      <c r="F605" s="191"/>
      <c r="G605" s="386"/>
      <c r="H605" s="386"/>
      <c r="I605" s="46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 spans="1:26" ht="14.4">
      <c r="A606" s="191"/>
      <c r="B606" s="191"/>
      <c r="C606" s="191"/>
      <c r="D606" s="191"/>
      <c r="E606" s="191"/>
      <c r="F606" s="191"/>
      <c r="G606" s="386"/>
      <c r="H606" s="386"/>
      <c r="I606" s="46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 spans="1:26" ht="14.4">
      <c r="A607" s="191"/>
      <c r="B607" s="191"/>
      <c r="C607" s="191"/>
      <c r="D607" s="191"/>
      <c r="E607" s="191"/>
      <c r="F607" s="191"/>
      <c r="G607" s="386"/>
      <c r="H607" s="386"/>
      <c r="I607" s="46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 spans="1:26" ht="14.4">
      <c r="A608" s="191"/>
      <c r="B608" s="191"/>
      <c r="C608" s="191"/>
      <c r="D608" s="191"/>
      <c r="E608" s="191"/>
      <c r="F608" s="191"/>
      <c r="G608" s="386"/>
      <c r="H608" s="386"/>
      <c r="I608" s="46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 spans="1:26" ht="14.4">
      <c r="A609" s="191"/>
      <c r="B609" s="191"/>
      <c r="C609" s="191"/>
      <c r="D609" s="191"/>
      <c r="E609" s="191"/>
      <c r="F609" s="191"/>
      <c r="G609" s="386"/>
      <c r="H609" s="386"/>
      <c r="I609" s="46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 spans="1:26" ht="14.4">
      <c r="A610" s="191"/>
      <c r="B610" s="191"/>
      <c r="C610" s="191"/>
      <c r="D610" s="191"/>
      <c r="E610" s="191"/>
      <c r="F610" s="191"/>
      <c r="G610" s="386"/>
      <c r="H610" s="386"/>
      <c r="I610" s="46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 spans="1:26" ht="14.4">
      <c r="A611" s="191"/>
      <c r="B611" s="191"/>
      <c r="C611" s="191"/>
      <c r="D611" s="191"/>
      <c r="E611" s="191"/>
      <c r="F611" s="191"/>
      <c r="G611" s="386"/>
      <c r="H611" s="386"/>
      <c r="I611" s="46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 spans="1:26" ht="14.4">
      <c r="A612" s="191"/>
      <c r="B612" s="191"/>
      <c r="C612" s="191"/>
      <c r="D612" s="191"/>
      <c r="E612" s="191"/>
      <c r="F612" s="191"/>
      <c r="G612" s="386"/>
      <c r="H612" s="386"/>
      <c r="I612" s="46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 spans="1:26" ht="14.4">
      <c r="A613" s="191"/>
      <c r="B613" s="191"/>
      <c r="C613" s="191"/>
      <c r="D613" s="191"/>
      <c r="E613" s="191"/>
      <c r="F613" s="191"/>
      <c r="G613" s="386"/>
      <c r="H613" s="386"/>
      <c r="I613" s="46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 spans="1:26" ht="14.4">
      <c r="A614" s="191"/>
      <c r="B614" s="191"/>
      <c r="C614" s="191"/>
      <c r="D614" s="191"/>
      <c r="E614" s="191"/>
      <c r="F614" s="191"/>
      <c r="G614" s="386"/>
      <c r="H614" s="386"/>
      <c r="I614" s="46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 spans="1:26" ht="14.4">
      <c r="A615" s="191"/>
      <c r="B615" s="191"/>
      <c r="C615" s="191"/>
      <c r="D615" s="191"/>
      <c r="E615" s="191"/>
      <c r="F615" s="191"/>
      <c r="G615" s="386"/>
      <c r="H615" s="386"/>
      <c r="I615" s="46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spans="1:26" ht="14.4">
      <c r="A616" s="191"/>
      <c r="B616" s="191"/>
      <c r="C616" s="191"/>
      <c r="D616" s="191"/>
      <c r="E616" s="191"/>
      <c r="F616" s="191"/>
      <c r="G616" s="386"/>
      <c r="H616" s="386"/>
      <c r="I616" s="46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spans="1:26" ht="14.4">
      <c r="A617" s="191"/>
      <c r="B617" s="191"/>
      <c r="C617" s="191"/>
      <c r="D617" s="191"/>
      <c r="E617" s="191"/>
      <c r="F617" s="191"/>
      <c r="G617" s="386"/>
      <c r="H617" s="386"/>
      <c r="I617" s="46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spans="1:26" ht="14.4">
      <c r="A618" s="191"/>
      <c r="B618" s="191"/>
      <c r="C618" s="191"/>
      <c r="D618" s="191"/>
      <c r="E618" s="191"/>
      <c r="F618" s="191"/>
      <c r="G618" s="386"/>
      <c r="H618" s="386"/>
      <c r="I618" s="46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spans="1:26" ht="14.4">
      <c r="A619" s="191"/>
      <c r="B619" s="191"/>
      <c r="C619" s="191"/>
      <c r="D619" s="191"/>
      <c r="E619" s="191"/>
      <c r="F619" s="191"/>
      <c r="G619" s="386"/>
      <c r="H619" s="386"/>
      <c r="I619" s="46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spans="1:26" ht="14.4">
      <c r="A620" s="191"/>
      <c r="B620" s="191"/>
      <c r="C620" s="191"/>
      <c r="D620" s="191"/>
      <c r="E620" s="191"/>
      <c r="F620" s="191"/>
      <c r="G620" s="386"/>
      <c r="H620" s="386"/>
      <c r="I620" s="46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spans="1:26" ht="14.4">
      <c r="A621" s="191"/>
      <c r="B621" s="191"/>
      <c r="C621" s="191"/>
      <c r="D621" s="191"/>
      <c r="E621" s="191"/>
      <c r="F621" s="191"/>
      <c r="G621" s="386"/>
      <c r="H621" s="386"/>
      <c r="I621" s="46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spans="1:26" ht="14.4">
      <c r="A622" s="191"/>
      <c r="B622" s="191"/>
      <c r="C622" s="191"/>
      <c r="D622" s="191"/>
      <c r="E622" s="191"/>
      <c r="F622" s="191"/>
      <c r="G622" s="386"/>
      <c r="H622" s="386"/>
      <c r="I622" s="46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spans="1:26" ht="14.4">
      <c r="A623" s="191"/>
      <c r="B623" s="191"/>
      <c r="C623" s="191"/>
      <c r="D623" s="191"/>
      <c r="E623" s="191"/>
      <c r="F623" s="191"/>
      <c r="G623" s="386"/>
      <c r="H623" s="386"/>
      <c r="I623" s="46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spans="1:26" ht="14.4">
      <c r="A624" s="191"/>
      <c r="B624" s="191"/>
      <c r="C624" s="191"/>
      <c r="D624" s="191"/>
      <c r="E624" s="191"/>
      <c r="F624" s="191"/>
      <c r="G624" s="386"/>
      <c r="H624" s="386"/>
      <c r="I624" s="46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spans="1:26" ht="14.4">
      <c r="A625" s="191"/>
      <c r="B625" s="191"/>
      <c r="C625" s="191"/>
      <c r="D625" s="191"/>
      <c r="E625" s="191"/>
      <c r="F625" s="191"/>
      <c r="G625" s="386"/>
      <c r="H625" s="386"/>
      <c r="I625" s="46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spans="1:26" ht="14.4">
      <c r="A626" s="191"/>
      <c r="B626" s="191"/>
      <c r="C626" s="191"/>
      <c r="D626" s="191"/>
      <c r="E626" s="191"/>
      <c r="F626" s="191"/>
      <c r="G626" s="386"/>
      <c r="H626" s="386"/>
      <c r="I626" s="46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spans="1:26" ht="14.4">
      <c r="A627" s="191"/>
      <c r="B627" s="191"/>
      <c r="C627" s="191"/>
      <c r="D627" s="191"/>
      <c r="E627" s="191"/>
      <c r="F627" s="191"/>
      <c r="G627" s="386"/>
      <c r="H627" s="386"/>
      <c r="I627" s="46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spans="1:26" ht="14.4">
      <c r="A628" s="191"/>
      <c r="B628" s="191"/>
      <c r="C628" s="191"/>
      <c r="D628" s="191"/>
      <c r="E628" s="191"/>
      <c r="F628" s="191"/>
      <c r="G628" s="386"/>
      <c r="H628" s="386"/>
      <c r="I628" s="46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spans="1:26" ht="14.4">
      <c r="A629" s="191"/>
      <c r="B629" s="191"/>
      <c r="C629" s="191"/>
      <c r="D629" s="191"/>
      <c r="E629" s="191"/>
      <c r="F629" s="191"/>
      <c r="G629" s="386"/>
      <c r="H629" s="386"/>
      <c r="I629" s="46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spans="1:26" ht="14.4">
      <c r="A630" s="191"/>
      <c r="B630" s="191"/>
      <c r="C630" s="191"/>
      <c r="D630" s="191"/>
      <c r="E630" s="191"/>
      <c r="F630" s="191"/>
      <c r="G630" s="386"/>
      <c r="H630" s="386"/>
      <c r="I630" s="46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 spans="1:26" ht="14.4">
      <c r="A631" s="191"/>
      <c r="B631" s="191"/>
      <c r="C631" s="191"/>
      <c r="D631" s="191"/>
      <c r="E631" s="191"/>
      <c r="F631" s="191"/>
      <c r="G631" s="386"/>
      <c r="H631" s="386"/>
      <c r="I631" s="46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 spans="1:26" ht="14.4">
      <c r="A632" s="191"/>
      <c r="B632" s="191"/>
      <c r="C632" s="191"/>
      <c r="D632" s="191"/>
      <c r="E632" s="191"/>
      <c r="F632" s="191"/>
      <c r="G632" s="386"/>
      <c r="H632" s="386"/>
      <c r="I632" s="46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 spans="1:26" ht="14.4">
      <c r="A633" s="191"/>
      <c r="B633" s="191"/>
      <c r="C633" s="191"/>
      <c r="D633" s="191"/>
      <c r="E633" s="191"/>
      <c r="F633" s="191"/>
      <c r="G633" s="386"/>
      <c r="H633" s="386"/>
      <c r="I633" s="46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 spans="1:26" ht="14.4">
      <c r="A634" s="191"/>
      <c r="B634" s="191"/>
      <c r="C634" s="191"/>
      <c r="D634" s="191"/>
      <c r="E634" s="191"/>
      <c r="F634" s="191"/>
      <c r="G634" s="386"/>
      <c r="H634" s="386"/>
      <c r="I634" s="46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 spans="1:26" ht="14.4">
      <c r="A635" s="191"/>
      <c r="B635" s="191"/>
      <c r="C635" s="191"/>
      <c r="D635" s="191"/>
      <c r="E635" s="191"/>
      <c r="F635" s="191"/>
      <c r="G635" s="386"/>
      <c r="H635" s="386"/>
      <c r="I635" s="46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 spans="1:26" ht="14.4">
      <c r="A636" s="191"/>
      <c r="B636" s="191"/>
      <c r="C636" s="191"/>
      <c r="D636" s="191"/>
      <c r="E636" s="191"/>
      <c r="F636" s="191"/>
      <c r="G636" s="386"/>
      <c r="H636" s="386"/>
      <c r="I636" s="46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 spans="1:26" ht="14.4">
      <c r="A637" s="191"/>
      <c r="B637" s="191"/>
      <c r="C637" s="191"/>
      <c r="D637" s="191"/>
      <c r="E637" s="191"/>
      <c r="F637" s="191"/>
      <c r="G637" s="386"/>
      <c r="H637" s="386"/>
      <c r="I637" s="46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 spans="1:26" ht="14.4">
      <c r="A638" s="191"/>
      <c r="B638" s="191"/>
      <c r="C638" s="191"/>
      <c r="D638" s="191"/>
      <c r="E638" s="191"/>
      <c r="F638" s="191"/>
      <c r="G638" s="386"/>
      <c r="H638" s="386"/>
      <c r="I638" s="46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 spans="1:26" ht="14.4">
      <c r="A639" s="191"/>
      <c r="B639" s="191"/>
      <c r="C639" s="191"/>
      <c r="D639" s="191"/>
      <c r="E639" s="191"/>
      <c r="F639" s="191"/>
      <c r="G639" s="386"/>
      <c r="H639" s="386"/>
      <c r="I639" s="46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 spans="1:26" ht="14.4">
      <c r="A640" s="191"/>
      <c r="B640" s="191"/>
      <c r="C640" s="191"/>
      <c r="D640" s="191"/>
      <c r="E640" s="191"/>
      <c r="F640" s="191"/>
      <c r="G640" s="386"/>
      <c r="H640" s="386"/>
      <c r="I640" s="46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 spans="1:26" ht="14.4">
      <c r="A641" s="191"/>
      <c r="B641" s="191"/>
      <c r="C641" s="191"/>
      <c r="D641" s="191"/>
      <c r="E641" s="191"/>
      <c r="F641" s="191"/>
      <c r="G641" s="386"/>
      <c r="H641" s="386"/>
      <c r="I641" s="46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 spans="1:26" ht="14.4">
      <c r="A642" s="191"/>
      <c r="B642" s="191"/>
      <c r="C642" s="191"/>
      <c r="D642" s="191"/>
      <c r="E642" s="191"/>
      <c r="F642" s="191"/>
      <c r="G642" s="386"/>
      <c r="H642" s="386"/>
      <c r="I642" s="46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 spans="1:26" ht="14.4">
      <c r="A643" s="191"/>
      <c r="B643" s="191"/>
      <c r="C643" s="191"/>
      <c r="D643" s="191"/>
      <c r="E643" s="191"/>
      <c r="F643" s="191"/>
      <c r="G643" s="386"/>
      <c r="H643" s="386"/>
      <c r="I643" s="46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 spans="1:26" ht="14.4">
      <c r="A644" s="191"/>
      <c r="B644" s="191"/>
      <c r="C644" s="191"/>
      <c r="D644" s="191"/>
      <c r="E644" s="191"/>
      <c r="F644" s="191"/>
      <c r="G644" s="386"/>
      <c r="H644" s="386"/>
      <c r="I644" s="46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 spans="1:26" ht="14.4">
      <c r="A645" s="191"/>
      <c r="B645" s="191"/>
      <c r="C645" s="191"/>
      <c r="D645" s="191"/>
      <c r="E645" s="191"/>
      <c r="F645" s="191"/>
      <c r="G645" s="386"/>
      <c r="H645" s="386"/>
      <c r="I645" s="46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 spans="1:26" ht="14.4">
      <c r="A646" s="191"/>
      <c r="B646" s="191"/>
      <c r="C646" s="191"/>
      <c r="D646" s="191"/>
      <c r="E646" s="191"/>
      <c r="F646" s="191"/>
      <c r="G646" s="386"/>
      <c r="H646" s="386"/>
      <c r="I646" s="46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 spans="1:26" ht="14.4">
      <c r="A647" s="191"/>
      <c r="B647" s="191"/>
      <c r="C647" s="191"/>
      <c r="D647" s="191"/>
      <c r="E647" s="191"/>
      <c r="F647" s="191"/>
      <c r="G647" s="386"/>
      <c r="H647" s="386"/>
      <c r="I647" s="46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 spans="1:26" ht="14.4">
      <c r="A648" s="191"/>
      <c r="B648" s="191"/>
      <c r="C648" s="191"/>
      <c r="D648" s="191"/>
      <c r="E648" s="191"/>
      <c r="F648" s="191"/>
      <c r="G648" s="386"/>
      <c r="H648" s="386"/>
      <c r="I648" s="46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 spans="1:26" ht="14.4">
      <c r="A649" s="191"/>
      <c r="B649" s="191"/>
      <c r="C649" s="191"/>
      <c r="D649" s="191"/>
      <c r="E649" s="191"/>
      <c r="F649" s="191"/>
      <c r="G649" s="386"/>
      <c r="H649" s="386"/>
      <c r="I649" s="46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 spans="1:26" ht="14.4">
      <c r="A650" s="191"/>
      <c r="B650" s="191"/>
      <c r="C650" s="191"/>
      <c r="D650" s="191"/>
      <c r="E650" s="191"/>
      <c r="F650" s="191"/>
      <c r="G650" s="386"/>
      <c r="H650" s="386"/>
      <c r="I650" s="46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 spans="1:26" ht="14.4">
      <c r="A651" s="191"/>
      <c r="B651" s="191"/>
      <c r="C651" s="191"/>
      <c r="D651" s="191"/>
      <c r="E651" s="191"/>
      <c r="F651" s="191"/>
      <c r="G651" s="386"/>
      <c r="H651" s="386"/>
      <c r="I651" s="46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 spans="1:26" ht="14.4">
      <c r="A652" s="191"/>
      <c r="B652" s="191"/>
      <c r="C652" s="191"/>
      <c r="D652" s="191"/>
      <c r="E652" s="191"/>
      <c r="F652" s="191"/>
      <c r="G652" s="386"/>
      <c r="H652" s="386"/>
      <c r="I652" s="46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 spans="1:26" ht="14.4">
      <c r="A653" s="191"/>
      <c r="B653" s="191"/>
      <c r="C653" s="191"/>
      <c r="D653" s="191"/>
      <c r="E653" s="191"/>
      <c r="F653" s="191"/>
      <c r="G653" s="386"/>
      <c r="H653" s="386"/>
      <c r="I653" s="46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 spans="1:26" ht="14.4">
      <c r="A654" s="191"/>
      <c r="B654" s="191"/>
      <c r="C654" s="191"/>
      <c r="D654" s="191"/>
      <c r="E654" s="191"/>
      <c r="F654" s="191"/>
      <c r="G654" s="386"/>
      <c r="H654" s="386"/>
      <c r="I654" s="46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 spans="1:26" ht="14.4">
      <c r="A655" s="191"/>
      <c r="B655" s="191"/>
      <c r="C655" s="191"/>
      <c r="D655" s="191"/>
      <c r="E655" s="191"/>
      <c r="F655" s="191"/>
      <c r="G655" s="386"/>
      <c r="H655" s="386"/>
      <c r="I655" s="46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 spans="1:26" ht="14.4">
      <c r="A656" s="191"/>
      <c r="B656" s="191"/>
      <c r="C656" s="191"/>
      <c r="D656" s="191"/>
      <c r="E656" s="191"/>
      <c r="F656" s="191"/>
      <c r="G656" s="386"/>
      <c r="H656" s="386"/>
      <c r="I656" s="46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 spans="1:26" ht="14.4">
      <c r="A657" s="191"/>
      <c r="B657" s="191"/>
      <c r="C657" s="191"/>
      <c r="D657" s="191"/>
      <c r="E657" s="191"/>
      <c r="F657" s="191"/>
      <c r="G657" s="386"/>
      <c r="H657" s="386"/>
      <c r="I657" s="46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 spans="1:26" ht="14.4">
      <c r="A658" s="191"/>
      <c r="B658" s="191"/>
      <c r="C658" s="191"/>
      <c r="D658" s="191"/>
      <c r="E658" s="191"/>
      <c r="F658" s="191"/>
      <c r="G658" s="386"/>
      <c r="H658" s="386"/>
      <c r="I658" s="46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 spans="1:26" ht="14.4">
      <c r="A659" s="191"/>
      <c r="B659" s="191"/>
      <c r="C659" s="191"/>
      <c r="D659" s="191"/>
      <c r="E659" s="191"/>
      <c r="F659" s="191"/>
      <c r="G659" s="386"/>
      <c r="H659" s="386"/>
      <c r="I659" s="46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 spans="1:26" ht="14.4">
      <c r="A660" s="191"/>
      <c r="B660" s="191"/>
      <c r="C660" s="191"/>
      <c r="D660" s="191"/>
      <c r="E660" s="191"/>
      <c r="F660" s="191"/>
      <c r="G660" s="386"/>
      <c r="H660" s="386"/>
      <c r="I660" s="46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 spans="1:26" ht="14.4">
      <c r="A661" s="191"/>
      <c r="B661" s="191"/>
      <c r="C661" s="191"/>
      <c r="D661" s="191"/>
      <c r="E661" s="191"/>
      <c r="F661" s="191"/>
      <c r="G661" s="386"/>
      <c r="H661" s="386"/>
      <c r="I661" s="46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 spans="1:26" ht="14.4">
      <c r="A662" s="191"/>
      <c r="B662" s="191"/>
      <c r="C662" s="191"/>
      <c r="D662" s="191"/>
      <c r="E662" s="191"/>
      <c r="F662" s="191"/>
      <c r="G662" s="386"/>
      <c r="H662" s="386"/>
      <c r="I662" s="46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 spans="1:26" ht="14.4">
      <c r="A663" s="191"/>
      <c r="B663" s="191"/>
      <c r="C663" s="191"/>
      <c r="D663" s="191"/>
      <c r="E663" s="191"/>
      <c r="F663" s="191"/>
      <c r="G663" s="386"/>
      <c r="H663" s="386"/>
      <c r="I663" s="46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 spans="1:26" ht="14.4">
      <c r="A664" s="191"/>
      <c r="B664" s="191"/>
      <c r="C664" s="191"/>
      <c r="D664" s="191"/>
      <c r="E664" s="191"/>
      <c r="F664" s="191"/>
      <c r="G664" s="386"/>
      <c r="H664" s="386"/>
      <c r="I664" s="46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 spans="1:26" ht="14.4">
      <c r="A665" s="191"/>
      <c r="B665" s="191"/>
      <c r="C665" s="191"/>
      <c r="D665" s="191"/>
      <c r="E665" s="191"/>
      <c r="F665" s="191"/>
      <c r="G665" s="386"/>
      <c r="H665" s="386"/>
      <c r="I665" s="46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 spans="1:26" ht="14.4">
      <c r="A666" s="191"/>
      <c r="B666" s="191"/>
      <c r="C666" s="191"/>
      <c r="D666" s="191"/>
      <c r="E666" s="191"/>
      <c r="F666" s="191"/>
      <c r="G666" s="386"/>
      <c r="H666" s="386"/>
      <c r="I666" s="46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 spans="1:26" ht="14.4">
      <c r="A667" s="191"/>
      <c r="B667" s="191"/>
      <c r="C667" s="191"/>
      <c r="D667" s="191"/>
      <c r="E667" s="191"/>
      <c r="F667" s="191"/>
      <c r="G667" s="386"/>
      <c r="H667" s="386"/>
      <c r="I667" s="46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 spans="1:26" ht="14.4">
      <c r="A668" s="191"/>
      <c r="B668" s="191"/>
      <c r="C668" s="191"/>
      <c r="D668" s="191"/>
      <c r="E668" s="191"/>
      <c r="F668" s="191"/>
      <c r="G668" s="386"/>
      <c r="H668" s="386"/>
      <c r="I668" s="46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 spans="1:26" ht="14.4">
      <c r="A669" s="191"/>
      <c r="B669" s="191"/>
      <c r="C669" s="191"/>
      <c r="D669" s="191"/>
      <c r="E669" s="191"/>
      <c r="F669" s="191"/>
      <c r="G669" s="386"/>
      <c r="H669" s="386"/>
      <c r="I669" s="46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 spans="1:26" ht="14.4">
      <c r="A670" s="191"/>
      <c r="B670" s="191"/>
      <c r="C670" s="191"/>
      <c r="D670" s="191"/>
      <c r="E670" s="191"/>
      <c r="F670" s="191"/>
      <c r="G670" s="386"/>
      <c r="H670" s="386"/>
      <c r="I670" s="46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 spans="1:26" ht="14.4">
      <c r="A671" s="191"/>
      <c r="B671" s="191"/>
      <c r="C671" s="191"/>
      <c r="D671" s="191"/>
      <c r="E671" s="191"/>
      <c r="F671" s="191"/>
      <c r="G671" s="386"/>
      <c r="H671" s="386"/>
      <c r="I671" s="46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 spans="1:26" ht="14.4">
      <c r="A672" s="191"/>
      <c r="B672" s="191"/>
      <c r="C672" s="191"/>
      <c r="D672" s="191"/>
      <c r="E672" s="191"/>
      <c r="F672" s="191"/>
      <c r="G672" s="386"/>
      <c r="H672" s="386"/>
      <c r="I672" s="46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 spans="1:26" ht="14.4">
      <c r="A673" s="191"/>
      <c r="B673" s="191"/>
      <c r="C673" s="191"/>
      <c r="D673" s="191"/>
      <c r="E673" s="191"/>
      <c r="F673" s="191"/>
      <c r="G673" s="386"/>
      <c r="H673" s="386"/>
      <c r="I673" s="46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 spans="1:26" ht="14.4">
      <c r="A674" s="191"/>
      <c r="B674" s="191"/>
      <c r="C674" s="191"/>
      <c r="D674" s="191"/>
      <c r="E674" s="191"/>
      <c r="F674" s="191"/>
      <c r="G674" s="386"/>
      <c r="H674" s="386"/>
      <c r="I674" s="46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 spans="1:26" ht="14.4">
      <c r="A675" s="191"/>
      <c r="B675" s="191"/>
      <c r="C675" s="191"/>
      <c r="D675" s="191"/>
      <c r="E675" s="191"/>
      <c r="F675" s="191"/>
      <c r="G675" s="386"/>
      <c r="H675" s="386"/>
      <c r="I675" s="46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 spans="1:26" ht="14.4">
      <c r="A676" s="191"/>
      <c r="B676" s="191"/>
      <c r="C676" s="191"/>
      <c r="D676" s="191"/>
      <c r="E676" s="191"/>
      <c r="F676" s="191"/>
      <c r="G676" s="386"/>
      <c r="H676" s="386"/>
      <c r="I676" s="46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 spans="1:26" ht="14.4">
      <c r="A677" s="191"/>
      <c r="B677" s="191"/>
      <c r="C677" s="191"/>
      <c r="D677" s="191"/>
      <c r="E677" s="191"/>
      <c r="F677" s="191"/>
      <c r="G677" s="386"/>
      <c r="H677" s="386"/>
      <c r="I677" s="46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 spans="1:26" ht="14.4">
      <c r="A678" s="191"/>
      <c r="B678" s="191"/>
      <c r="C678" s="191"/>
      <c r="D678" s="191"/>
      <c r="E678" s="191"/>
      <c r="F678" s="191"/>
      <c r="G678" s="386"/>
      <c r="H678" s="386"/>
      <c r="I678" s="46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 spans="1:26" ht="14.4">
      <c r="A679" s="191"/>
      <c r="B679" s="191"/>
      <c r="C679" s="191"/>
      <c r="D679" s="191"/>
      <c r="E679" s="191"/>
      <c r="F679" s="191"/>
      <c r="G679" s="386"/>
      <c r="H679" s="386"/>
      <c r="I679" s="46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 spans="1:26" ht="14.4">
      <c r="A680" s="191"/>
      <c r="B680" s="191"/>
      <c r="C680" s="191"/>
      <c r="D680" s="191"/>
      <c r="E680" s="191"/>
      <c r="F680" s="191"/>
      <c r="G680" s="386"/>
      <c r="H680" s="386"/>
      <c r="I680" s="46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 spans="1:26" ht="14.4">
      <c r="A681" s="191"/>
      <c r="B681" s="191"/>
      <c r="C681" s="191"/>
      <c r="D681" s="191"/>
      <c r="E681" s="191"/>
      <c r="F681" s="191"/>
      <c r="G681" s="386"/>
      <c r="H681" s="386"/>
      <c r="I681" s="46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 spans="1:26" ht="14.4">
      <c r="A682" s="191"/>
      <c r="B682" s="191"/>
      <c r="C682" s="191"/>
      <c r="D682" s="191"/>
      <c r="E682" s="191"/>
      <c r="F682" s="191"/>
      <c r="G682" s="386"/>
      <c r="H682" s="386"/>
      <c r="I682" s="46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 spans="1:26" ht="14.4">
      <c r="A683" s="191"/>
      <c r="B683" s="191"/>
      <c r="C683" s="191"/>
      <c r="D683" s="191"/>
      <c r="E683" s="191"/>
      <c r="F683" s="191"/>
      <c r="G683" s="386"/>
      <c r="H683" s="386"/>
      <c r="I683" s="46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 spans="1:26" ht="14.4">
      <c r="A684" s="191"/>
      <c r="B684" s="191"/>
      <c r="C684" s="191"/>
      <c r="D684" s="191"/>
      <c r="E684" s="191"/>
      <c r="F684" s="191"/>
      <c r="G684" s="386"/>
      <c r="H684" s="386"/>
      <c r="I684" s="46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spans="1:26" ht="14.4">
      <c r="A685" s="191"/>
      <c r="B685" s="191"/>
      <c r="C685" s="191"/>
      <c r="D685" s="191"/>
      <c r="E685" s="191"/>
      <c r="F685" s="191"/>
      <c r="G685" s="386"/>
      <c r="H685" s="386"/>
      <c r="I685" s="46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spans="1:26" ht="14.4">
      <c r="A686" s="191"/>
      <c r="B686" s="191"/>
      <c r="C686" s="191"/>
      <c r="D686" s="191"/>
      <c r="E686" s="191"/>
      <c r="F686" s="191"/>
      <c r="G686" s="386"/>
      <c r="H686" s="386"/>
      <c r="I686" s="46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spans="1:26" ht="14.4">
      <c r="A687" s="191"/>
      <c r="B687" s="191"/>
      <c r="C687" s="191"/>
      <c r="D687" s="191"/>
      <c r="E687" s="191"/>
      <c r="F687" s="191"/>
      <c r="G687" s="386"/>
      <c r="H687" s="386"/>
      <c r="I687" s="46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spans="1:26" ht="14.4">
      <c r="A688" s="191"/>
      <c r="B688" s="191"/>
      <c r="C688" s="191"/>
      <c r="D688" s="191"/>
      <c r="E688" s="191"/>
      <c r="F688" s="191"/>
      <c r="G688" s="386"/>
      <c r="H688" s="386"/>
      <c r="I688" s="46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spans="1:26" ht="14.4">
      <c r="A689" s="191"/>
      <c r="B689" s="191"/>
      <c r="C689" s="191"/>
      <c r="D689" s="191"/>
      <c r="E689" s="191"/>
      <c r="F689" s="191"/>
      <c r="G689" s="386"/>
      <c r="H689" s="386"/>
      <c r="I689" s="46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 spans="1:26" ht="14.4">
      <c r="A690" s="191"/>
      <c r="B690" s="191"/>
      <c r="C690" s="191"/>
      <c r="D690" s="191"/>
      <c r="E690" s="191"/>
      <c r="F690" s="191"/>
      <c r="G690" s="386"/>
      <c r="H690" s="386"/>
      <c r="I690" s="46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 spans="1:26" ht="14.4">
      <c r="A691" s="191"/>
      <c r="B691" s="191"/>
      <c r="C691" s="191"/>
      <c r="D691" s="191"/>
      <c r="E691" s="191"/>
      <c r="F691" s="191"/>
      <c r="G691" s="386"/>
      <c r="H691" s="386"/>
      <c r="I691" s="46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 spans="1:26" ht="14.4">
      <c r="A692" s="191"/>
      <c r="B692" s="191"/>
      <c r="C692" s="191"/>
      <c r="D692" s="191"/>
      <c r="E692" s="191"/>
      <c r="F692" s="191"/>
      <c r="G692" s="386"/>
      <c r="H692" s="386"/>
      <c r="I692" s="46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 spans="1:26" ht="14.4">
      <c r="A693" s="191"/>
      <c r="B693" s="191"/>
      <c r="C693" s="191"/>
      <c r="D693" s="191"/>
      <c r="E693" s="191"/>
      <c r="F693" s="191"/>
      <c r="G693" s="386"/>
      <c r="H693" s="386"/>
      <c r="I693" s="46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 spans="1:26" ht="14.4">
      <c r="A694" s="191"/>
      <c r="B694" s="191"/>
      <c r="C694" s="191"/>
      <c r="D694" s="191"/>
      <c r="E694" s="191"/>
      <c r="F694" s="191"/>
      <c r="G694" s="386"/>
      <c r="H694" s="386"/>
      <c r="I694" s="46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 spans="1:26" ht="14.4">
      <c r="A695" s="191"/>
      <c r="B695" s="191"/>
      <c r="C695" s="191"/>
      <c r="D695" s="191"/>
      <c r="E695" s="191"/>
      <c r="F695" s="191"/>
      <c r="G695" s="386"/>
      <c r="H695" s="386"/>
      <c r="I695" s="46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 spans="1:26" ht="14.4">
      <c r="A696" s="191"/>
      <c r="B696" s="191"/>
      <c r="C696" s="191"/>
      <c r="D696" s="191"/>
      <c r="E696" s="191"/>
      <c r="F696" s="191"/>
      <c r="G696" s="386"/>
      <c r="H696" s="386"/>
      <c r="I696" s="46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 spans="1:26" ht="14.4">
      <c r="A697" s="191"/>
      <c r="B697" s="191"/>
      <c r="C697" s="191"/>
      <c r="D697" s="191"/>
      <c r="E697" s="191"/>
      <c r="F697" s="191"/>
      <c r="G697" s="386"/>
      <c r="H697" s="386"/>
      <c r="I697" s="46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 spans="1:26" ht="14.4">
      <c r="A698" s="191"/>
      <c r="B698" s="191"/>
      <c r="C698" s="191"/>
      <c r="D698" s="191"/>
      <c r="E698" s="191"/>
      <c r="F698" s="191"/>
      <c r="G698" s="386"/>
      <c r="H698" s="386"/>
      <c r="I698" s="46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 spans="1:26" ht="14.4">
      <c r="A699" s="191"/>
      <c r="B699" s="191"/>
      <c r="C699" s="191"/>
      <c r="D699" s="191"/>
      <c r="E699" s="191"/>
      <c r="F699" s="191"/>
      <c r="G699" s="386"/>
      <c r="H699" s="386"/>
      <c r="I699" s="46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 spans="1:26" ht="14.4">
      <c r="A700" s="191"/>
      <c r="B700" s="191"/>
      <c r="C700" s="191"/>
      <c r="D700" s="191"/>
      <c r="E700" s="191"/>
      <c r="F700" s="191"/>
      <c r="G700" s="386"/>
      <c r="H700" s="386"/>
      <c r="I700" s="46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 spans="1:26" ht="14.4">
      <c r="A701" s="191"/>
      <c r="B701" s="191"/>
      <c r="C701" s="191"/>
      <c r="D701" s="191"/>
      <c r="E701" s="191"/>
      <c r="F701" s="191"/>
      <c r="G701" s="386"/>
      <c r="H701" s="386"/>
      <c r="I701" s="46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 spans="1:26" ht="14.4">
      <c r="A702" s="191"/>
      <c r="B702" s="191"/>
      <c r="C702" s="191"/>
      <c r="D702" s="191"/>
      <c r="E702" s="191"/>
      <c r="F702" s="191"/>
      <c r="G702" s="386"/>
      <c r="H702" s="386"/>
      <c r="I702" s="46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 spans="1:26" ht="14.4">
      <c r="A703" s="191"/>
      <c r="B703" s="191"/>
      <c r="C703" s="191"/>
      <c r="D703" s="191"/>
      <c r="E703" s="191"/>
      <c r="F703" s="191"/>
      <c r="G703" s="386"/>
      <c r="H703" s="386"/>
      <c r="I703" s="46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 spans="1:26" ht="14.4">
      <c r="A704" s="191"/>
      <c r="B704" s="191"/>
      <c r="C704" s="191"/>
      <c r="D704" s="191"/>
      <c r="E704" s="191"/>
      <c r="F704" s="191"/>
      <c r="G704" s="386"/>
      <c r="H704" s="386"/>
      <c r="I704" s="46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 spans="1:26" ht="14.4">
      <c r="A705" s="191"/>
      <c r="B705" s="191"/>
      <c r="C705" s="191"/>
      <c r="D705" s="191"/>
      <c r="E705" s="191"/>
      <c r="F705" s="191"/>
      <c r="G705" s="386"/>
      <c r="H705" s="386"/>
      <c r="I705" s="46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 spans="1:26" ht="14.4">
      <c r="A706" s="191"/>
      <c r="B706" s="191"/>
      <c r="C706" s="191"/>
      <c r="D706" s="191"/>
      <c r="E706" s="191"/>
      <c r="F706" s="191"/>
      <c r="G706" s="386"/>
      <c r="H706" s="386"/>
      <c r="I706" s="46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 spans="1:26" ht="14.4">
      <c r="A707" s="191"/>
      <c r="B707" s="191"/>
      <c r="C707" s="191"/>
      <c r="D707" s="191"/>
      <c r="E707" s="191"/>
      <c r="F707" s="191"/>
      <c r="G707" s="386"/>
      <c r="H707" s="386"/>
      <c r="I707" s="46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 spans="1:26" ht="14.4">
      <c r="A708" s="191"/>
      <c r="B708" s="191"/>
      <c r="C708" s="191"/>
      <c r="D708" s="191"/>
      <c r="E708" s="191"/>
      <c r="F708" s="191"/>
      <c r="G708" s="386"/>
      <c r="H708" s="386"/>
      <c r="I708" s="46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 spans="1:26" ht="14.4">
      <c r="A709" s="191"/>
      <c r="B709" s="191"/>
      <c r="C709" s="191"/>
      <c r="D709" s="191"/>
      <c r="E709" s="191"/>
      <c r="F709" s="191"/>
      <c r="G709" s="386"/>
      <c r="H709" s="386"/>
      <c r="I709" s="46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 spans="1:26" ht="14.4">
      <c r="A710" s="191"/>
      <c r="B710" s="191"/>
      <c r="C710" s="191"/>
      <c r="D710" s="191"/>
      <c r="E710" s="191"/>
      <c r="F710" s="191"/>
      <c r="G710" s="386"/>
      <c r="H710" s="386"/>
      <c r="I710" s="46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 spans="1:26" ht="14.4">
      <c r="A711" s="191"/>
      <c r="B711" s="191"/>
      <c r="C711" s="191"/>
      <c r="D711" s="191"/>
      <c r="E711" s="191"/>
      <c r="F711" s="191"/>
      <c r="G711" s="386"/>
      <c r="H711" s="386"/>
      <c r="I711" s="46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 spans="1:26" ht="14.4">
      <c r="A712" s="191"/>
      <c r="B712" s="191"/>
      <c r="C712" s="191"/>
      <c r="D712" s="191"/>
      <c r="E712" s="191"/>
      <c r="F712" s="191"/>
      <c r="G712" s="386"/>
      <c r="H712" s="386"/>
      <c r="I712" s="46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 spans="1:26" ht="14.4">
      <c r="A713" s="191"/>
      <c r="B713" s="191"/>
      <c r="C713" s="191"/>
      <c r="D713" s="191"/>
      <c r="E713" s="191"/>
      <c r="F713" s="191"/>
      <c r="G713" s="386"/>
      <c r="H713" s="386"/>
      <c r="I713" s="46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 spans="1:26" ht="14.4">
      <c r="A714" s="191"/>
      <c r="B714" s="191"/>
      <c r="C714" s="191"/>
      <c r="D714" s="191"/>
      <c r="E714" s="191"/>
      <c r="F714" s="191"/>
      <c r="G714" s="386"/>
      <c r="H714" s="386"/>
      <c r="I714" s="46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 spans="1:26" ht="14.4">
      <c r="A715" s="191"/>
      <c r="B715" s="191"/>
      <c r="C715" s="191"/>
      <c r="D715" s="191"/>
      <c r="E715" s="191"/>
      <c r="F715" s="191"/>
      <c r="G715" s="386"/>
      <c r="H715" s="386"/>
      <c r="I715" s="46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 spans="1:26" ht="14.4">
      <c r="A716" s="191"/>
      <c r="B716" s="191"/>
      <c r="C716" s="191"/>
      <c r="D716" s="191"/>
      <c r="E716" s="191"/>
      <c r="F716" s="191"/>
      <c r="G716" s="386"/>
      <c r="H716" s="386"/>
      <c r="I716" s="46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 spans="1:26" ht="14.4">
      <c r="A717" s="191"/>
      <c r="B717" s="191"/>
      <c r="C717" s="191"/>
      <c r="D717" s="191"/>
      <c r="E717" s="191"/>
      <c r="F717" s="191"/>
      <c r="G717" s="386"/>
      <c r="H717" s="386"/>
      <c r="I717" s="46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 spans="1:26" ht="14.4">
      <c r="A718" s="191"/>
      <c r="B718" s="191"/>
      <c r="C718" s="191"/>
      <c r="D718" s="191"/>
      <c r="E718" s="191"/>
      <c r="F718" s="191"/>
      <c r="G718" s="386"/>
      <c r="H718" s="386"/>
      <c r="I718" s="46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 spans="1:26" ht="14.4">
      <c r="A719" s="191"/>
      <c r="B719" s="191"/>
      <c r="C719" s="191"/>
      <c r="D719" s="191"/>
      <c r="E719" s="191"/>
      <c r="F719" s="191"/>
      <c r="G719" s="386"/>
      <c r="H719" s="386"/>
      <c r="I719" s="46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 spans="1:26" ht="14.4">
      <c r="A720" s="191"/>
      <c r="B720" s="191"/>
      <c r="C720" s="191"/>
      <c r="D720" s="191"/>
      <c r="E720" s="191"/>
      <c r="F720" s="191"/>
      <c r="G720" s="386"/>
      <c r="H720" s="386"/>
      <c r="I720" s="46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 spans="1:26" ht="14.4">
      <c r="A721" s="191"/>
      <c r="B721" s="191"/>
      <c r="C721" s="191"/>
      <c r="D721" s="191"/>
      <c r="E721" s="191"/>
      <c r="F721" s="191"/>
      <c r="G721" s="386"/>
      <c r="H721" s="386"/>
      <c r="I721" s="46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 spans="1:26" ht="14.4">
      <c r="A722" s="191"/>
      <c r="B722" s="191"/>
      <c r="C722" s="191"/>
      <c r="D722" s="191"/>
      <c r="E722" s="191"/>
      <c r="F722" s="191"/>
      <c r="G722" s="386"/>
      <c r="H722" s="386"/>
      <c r="I722" s="46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 spans="1:26" ht="14.4">
      <c r="A723" s="191"/>
      <c r="B723" s="191"/>
      <c r="C723" s="191"/>
      <c r="D723" s="191"/>
      <c r="E723" s="191"/>
      <c r="F723" s="191"/>
      <c r="G723" s="386"/>
      <c r="H723" s="386"/>
      <c r="I723" s="46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 spans="1:26" ht="14.4">
      <c r="A724" s="191"/>
      <c r="B724" s="191"/>
      <c r="C724" s="191"/>
      <c r="D724" s="191"/>
      <c r="E724" s="191"/>
      <c r="F724" s="191"/>
      <c r="G724" s="386"/>
      <c r="H724" s="386"/>
      <c r="I724" s="46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 spans="1:26" ht="14.4">
      <c r="A725" s="191"/>
      <c r="B725" s="191"/>
      <c r="C725" s="191"/>
      <c r="D725" s="191"/>
      <c r="E725" s="191"/>
      <c r="F725" s="191"/>
      <c r="G725" s="386"/>
      <c r="H725" s="386"/>
      <c r="I725" s="46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 spans="1:26" ht="14.4">
      <c r="A726" s="191"/>
      <c r="B726" s="191"/>
      <c r="C726" s="191"/>
      <c r="D726" s="191"/>
      <c r="E726" s="191"/>
      <c r="F726" s="191"/>
      <c r="G726" s="386"/>
      <c r="H726" s="386"/>
      <c r="I726" s="46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 spans="1:26" ht="14.4">
      <c r="A727" s="191"/>
      <c r="B727" s="191"/>
      <c r="C727" s="191"/>
      <c r="D727" s="191"/>
      <c r="E727" s="191"/>
      <c r="F727" s="191"/>
      <c r="G727" s="386"/>
      <c r="H727" s="386"/>
      <c r="I727" s="46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 spans="1:26" ht="14.4">
      <c r="A728" s="191"/>
      <c r="B728" s="191"/>
      <c r="C728" s="191"/>
      <c r="D728" s="191"/>
      <c r="E728" s="191"/>
      <c r="F728" s="191"/>
      <c r="G728" s="386"/>
      <c r="H728" s="386"/>
      <c r="I728" s="46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 spans="1:26" ht="14.4">
      <c r="A729" s="191"/>
      <c r="B729" s="191"/>
      <c r="C729" s="191"/>
      <c r="D729" s="191"/>
      <c r="E729" s="191"/>
      <c r="F729" s="191"/>
      <c r="G729" s="386"/>
      <c r="H729" s="386"/>
      <c r="I729" s="46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 spans="1:26" ht="14.4">
      <c r="A730" s="191"/>
      <c r="B730" s="191"/>
      <c r="C730" s="191"/>
      <c r="D730" s="191"/>
      <c r="E730" s="191"/>
      <c r="F730" s="191"/>
      <c r="G730" s="386"/>
      <c r="H730" s="386"/>
      <c r="I730" s="46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 spans="1:26" ht="14.4">
      <c r="A731" s="191"/>
      <c r="B731" s="191"/>
      <c r="C731" s="191"/>
      <c r="D731" s="191"/>
      <c r="E731" s="191"/>
      <c r="F731" s="191"/>
      <c r="G731" s="386"/>
      <c r="H731" s="386"/>
      <c r="I731" s="46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 spans="1:26" ht="14.4">
      <c r="A732" s="191"/>
      <c r="B732" s="191"/>
      <c r="C732" s="191"/>
      <c r="D732" s="191"/>
      <c r="E732" s="191"/>
      <c r="F732" s="191"/>
      <c r="G732" s="386"/>
      <c r="H732" s="386"/>
      <c r="I732" s="46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 spans="1:26" ht="14.4">
      <c r="A733" s="191"/>
      <c r="B733" s="191"/>
      <c r="C733" s="191"/>
      <c r="D733" s="191"/>
      <c r="E733" s="191"/>
      <c r="F733" s="191"/>
      <c r="G733" s="386"/>
      <c r="H733" s="386"/>
      <c r="I733" s="46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 spans="1:26" ht="14.4">
      <c r="A734" s="191"/>
      <c r="B734" s="191"/>
      <c r="C734" s="191"/>
      <c r="D734" s="191"/>
      <c r="E734" s="191"/>
      <c r="F734" s="191"/>
      <c r="G734" s="386"/>
      <c r="H734" s="386"/>
      <c r="I734" s="46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 spans="1:26" ht="14.4">
      <c r="A735" s="191"/>
      <c r="B735" s="191"/>
      <c r="C735" s="191"/>
      <c r="D735" s="191"/>
      <c r="E735" s="191"/>
      <c r="F735" s="191"/>
      <c r="G735" s="386"/>
      <c r="H735" s="386"/>
      <c r="I735" s="46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 spans="1:26" ht="14.4">
      <c r="A736" s="191"/>
      <c r="B736" s="191"/>
      <c r="C736" s="191"/>
      <c r="D736" s="191"/>
      <c r="E736" s="191"/>
      <c r="F736" s="191"/>
      <c r="G736" s="386"/>
      <c r="H736" s="386"/>
      <c r="I736" s="46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 spans="1:26" ht="14.4">
      <c r="A737" s="191"/>
      <c r="B737" s="191"/>
      <c r="C737" s="191"/>
      <c r="D737" s="191"/>
      <c r="E737" s="191"/>
      <c r="F737" s="191"/>
      <c r="G737" s="386"/>
      <c r="H737" s="386"/>
      <c r="I737" s="46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 spans="1:26" ht="14.4">
      <c r="A738" s="191"/>
      <c r="B738" s="191"/>
      <c r="C738" s="191"/>
      <c r="D738" s="191"/>
      <c r="E738" s="191"/>
      <c r="F738" s="191"/>
      <c r="G738" s="386"/>
      <c r="H738" s="386"/>
      <c r="I738" s="46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 spans="1:26" ht="14.4">
      <c r="A739" s="191"/>
      <c r="B739" s="191"/>
      <c r="C739" s="191"/>
      <c r="D739" s="191"/>
      <c r="E739" s="191"/>
      <c r="F739" s="191"/>
      <c r="G739" s="386"/>
      <c r="H739" s="386"/>
      <c r="I739" s="46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 spans="1:26" ht="14.4">
      <c r="A740" s="191"/>
      <c r="B740" s="191"/>
      <c r="C740" s="191"/>
      <c r="D740" s="191"/>
      <c r="E740" s="191"/>
      <c r="F740" s="191"/>
      <c r="G740" s="386"/>
      <c r="H740" s="386"/>
      <c r="I740" s="46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 spans="1:26" ht="14.4">
      <c r="A741" s="191"/>
      <c r="B741" s="191"/>
      <c r="C741" s="191"/>
      <c r="D741" s="191"/>
      <c r="E741" s="191"/>
      <c r="F741" s="191"/>
      <c r="G741" s="386"/>
      <c r="H741" s="386"/>
      <c r="I741" s="46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 spans="1:26" ht="14.4">
      <c r="A742" s="191"/>
      <c r="B742" s="191"/>
      <c r="C742" s="191"/>
      <c r="D742" s="191"/>
      <c r="E742" s="191"/>
      <c r="F742" s="191"/>
      <c r="G742" s="386"/>
      <c r="H742" s="386"/>
      <c r="I742" s="46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 spans="1:26" ht="14.4">
      <c r="A743" s="191"/>
      <c r="B743" s="191"/>
      <c r="C743" s="191"/>
      <c r="D743" s="191"/>
      <c r="E743" s="191"/>
      <c r="F743" s="191"/>
      <c r="G743" s="386"/>
      <c r="H743" s="386"/>
      <c r="I743" s="46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 spans="1:26" ht="14.4">
      <c r="A744" s="191"/>
      <c r="B744" s="191"/>
      <c r="C744" s="191"/>
      <c r="D744" s="191"/>
      <c r="E744" s="191"/>
      <c r="F744" s="191"/>
      <c r="G744" s="386"/>
      <c r="H744" s="386"/>
      <c r="I744" s="46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 spans="1:26" ht="14.4">
      <c r="A745" s="191"/>
      <c r="B745" s="191"/>
      <c r="C745" s="191"/>
      <c r="D745" s="191"/>
      <c r="E745" s="191"/>
      <c r="F745" s="191"/>
      <c r="G745" s="386"/>
      <c r="H745" s="386"/>
      <c r="I745" s="46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 spans="1:26" ht="14.4">
      <c r="A746" s="191"/>
      <c r="B746" s="191"/>
      <c r="C746" s="191"/>
      <c r="D746" s="191"/>
      <c r="E746" s="191"/>
      <c r="F746" s="191"/>
      <c r="G746" s="386"/>
      <c r="H746" s="386"/>
      <c r="I746" s="46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 spans="1:26" ht="14.4">
      <c r="A747" s="191"/>
      <c r="B747" s="191"/>
      <c r="C747" s="191"/>
      <c r="D747" s="191"/>
      <c r="E747" s="191"/>
      <c r="F747" s="191"/>
      <c r="G747" s="386"/>
      <c r="H747" s="386"/>
      <c r="I747" s="46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 spans="1:26" ht="14.4">
      <c r="A748" s="191"/>
      <c r="B748" s="191"/>
      <c r="C748" s="191"/>
      <c r="D748" s="191"/>
      <c r="E748" s="191"/>
      <c r="F748" s="191"/>
      <c r="G748" s="386"/>
      <c r="H748" s="386"/>
      <c r="I748" s="46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 spans="1:26" ht="14.4">
      <c r="A749" s="191"/>
      <c r="B749" s="191"/>
      <c r="C749" s="191"/>
      <c r="D749" s="191"/>
      <c r="E749" s="191"/>
      <c r="F749" s="191"/>
      <c r="G749" s="386"/>
      <c r="H749" s="386"/>
      <c r="I749" s="46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 spans="1:26" ht="14.4">
      <c r="A750" s="191"/>
      <c r="B750" s="191"/>
      <c r="C750" s="191"/>
      <c r="D750" s="191"/>
      <c r="E750" s="191"/>
      <c r="F750" s="191"/>
      <c r="G750" s="386"/>
      <c r="H750" s="386"/>
      <c r="I750" s="46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 spans="1:26" ht="14.4">
      <c r="A751" s="191"/>
      <c r="B751" s="191"/>
      <c r="C751" s="191"/>
      <c r="D751" s="191"/>
      <c r="E751" s="191"/>
      <c r="F751" s="191"/>
      <c r="G751" s="386"/>
      <c r="H751" s="386"/>
      <c r="I751" s="46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 spans="1:26" ht="14.4">
      <c r="A752" s="191"/>
      <c r="B752" s="191"/>
      <c r="C752" s="191"/>
      <c r="D752" s="191"/>
      <c r="E752" s="191"/>
      <c r="F752" s="191"/>
      <c r="G752" s="386"/>
      <c r="H752" s="386"/>
      <c r="I752" s="46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 spans="1:26" ht="14.4">
      <c r="A753" s="191"/>
      <c r="B753" s="191"/>
      <c r="C753" s="191"/>
      <c r="D753" s="191"/>
      <c r="E753" s="191"/>
      <c r="F753" s="191"/>
      <c r="G753" s="386"/>
      <c r="H753" s="386"/>
      <c r="I753" s="46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 spans="1:26" ht="14.4">
      <c r="A754" s="191"/>
      <c r="B754" s="191"/>
      <c r="C754" s="191"/>
      <c r="D754" s="191"/>
      <c r="E754" s="191"/>
      <c r="F754" s="191"/>
      <c r="G754" s="386"/>
      <c r="H754" s="386"/>
      <c r="I754" s="46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 spans="1:26" ht="14.4">
      <c r="A755" s="191"/>
      <c r="B755" s="191"/>
      <c r="C755" s="191"/>
      <c r="D755" s="191"/>
      <c r="E755" s="191"/>
      <c r="F755" s="191"/>
      <c r="G755" s="386"/>
      <c r="H755" s="386"/>
      <c r="I755" s="46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 spans="1:26" ht="14.4">
      <c r="A756" s="191"/>
      <c r="B756" s="191"/>
      <c r="C756" s="191"/>
      <c r="D756" s="191"/>
      <c r="E756" s="191"/>
      <c r="F756" s="191"/>
      <c r="G756" s="386"/>
      <c r="H756" s="386"/>
      <c r="I756" s="46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 spans="1:26" ht="14.4">
      <c r="A757" s="191"/>
      <c r="B757" s="191"/>
      <c r="C757" s="191"/>
      <c r="D757" s="191"/>
      <c r="E757" s="191"/>
      <c r="F757" s="191"/>
      <c r="G757" s="386"/>
      <c r="H757" s="386"/>
      <c r="I757" s="46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 spans="1:26" ht="14.4">
      <c r="A758" s="191"/>
      <c r="B758" s="191"/>
      <c r="C758" s="191"/>
      <c r="D758" s="191"/>
      <c r="E758" s="191"/>
      <c r="F758" s="191"/>
      <c r="G758" s="386"/>
      <c r="H758" s="386"/>
      <c r="I758" s="46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 spans="1:26" ht="14.4">
      <c r="A759" s="191"/>
      <c r="B759" s="191"/>
      <c r="C759" s="191"/>
      <c r="D759" s="191"/>
      <c r="E759" s="191"/>
      <c r="F759" s="191"/>
      <c r="G759" s="386"/>
      <c r="H759" s="386"/>
      <c r="I759" s="46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 spans="1:26" ht="14.4">
      <c r="A760" s="191"/>
      <c r="B760" s="191"/>
      <c r="C760" s="191"/>
      <c r="D760" s="191"/>
      <c r="E760" s="191"/>
      <c r="F760" s="191"/>
      <c r="G760" s="386"/>
      <c r="H760" s="386"/>
      <c r="I760" s="46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 spans="1:26" ht="14.4">
      <c r="A761" s="191"/>
      <c r="B761" s="191"/>
      <c r="C761" s="191"/>
      <c r="D761" s="191"/>
      <c r="E761" s="191"/>
      <c r="F761" s="191"/>
      <c r="G761" s="386"/>
      <c r="H761" s="386"/>
      <c r="I761" s="46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 spans="1:26" ht="14.4">
      <c r="A762" s="191"/>
      <c r="B762" s="191"/>
      <c r="C762" s="191"/>
      <c r="D762" s="191"/>
      <c r="E762" s="191"/>
      <c r="F762" s="191"/>
      <c r="G762" s="386"/>
      <c r="H762" s="386"/>
      <c r="I762" s="46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 spans="1:26" ht="14.4">
      <c r="A763" s="191"/>
      <c r="B763" s="191"/>
      <c r="C763" s="191"/>
      <c r="D763" s="191"/>
      <c r="E763" s="191"/>
      <c r="F763" s="191"/>
      <c r="G763" s="386"/>
      <c r="H763" s="386"/>
      <c r="I763" s="46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 spans="1:26" ht="14.4">
      <c r="A764" s="191"/>
      <c r="B764" s="191"/>
      <c r="C764" s="191"/>
      <c r="D764" s="191"/>
      <c r="E764" s="191"/>
      <c r="F764" s="191"/>
      <c r="G764" s="386"/>
      <c r="H764" s="386"/>
      <c r="I764" s="46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 spans="1:26" ht="14.4">
      <c r="A765" s="191"/>
      <c r="B765" s="191"/>
      <c r="C765" s="191"/>
      <c r="D765" s="191"/>
      <c r="E765" s="191"/>
      <c r="F765" s="191"/>
      <c r="G765" s="386"/>
      <c r="H765" s="386"/>
      <c r="I765" s="46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 spans="1:26" ht="14.4">
      <c r="A766" s="191"/>
      <c r="B766" s="191"/>
      <c r="C766" s="191"/>
      <c r="D766" s="191"/>
      <c r="E766" s="191"/>
      <c r="F766" s="191"/>
      <c r="G766" s="386"/>
      <c r="H766" s="386"/>
      <c r="I766" s="46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 spans="1:26" ht="14.4">
      <c r="A767" s="191"/>
      <c r="B767" s="191"/>
      <c r="C767" s="191"/>
      <c r="D767" s="191"/>
      <c r="E767" s="191"/>
      <c r="F767" s="191"/>
      <c r="G767" s="386"/>
      <c r="H767" s="386"/>
      <c r="I767" s="46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 spans="1:26" ht="14.4">
      <c r="A768" s="191"/>
      <c r="B768" s="191"/>
      <c r="C768" s="191"/>
      <c r="D768" s="191"/>
      <c r="E768" s="191"/>
      <c r="F768" s="191"/>
      <c r="G768" s="386"/>
      <c r="H768" s="386"/>
      <c r="I768" s="46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 spans="1:26" ht="14.4">
      <c r="A769" s="191"/>
      <c r="B769" s="191"/>
      <c r="C769" s="191"/>
      <c r="D769" s="191"/>
      <c r="E769" s="191"/>
      <c r="F769" s="191"/>
      <c r="G769" s="386"/>
      <c r="H769" s="386"/>
      <c r="I769" s="46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 spans="1:26" ht="14.4">
      <c r="A770" s="191"/>
      <c r="B770" s="191"/>
      <c r="C770" s="191"/>
      <c r="D770" s="191"/>
      <c r="E770" s="191"/>
      <c r="F770" s="191"/>
      <c r="G770" s="386"/>
      <c r="H770" s="386"/>
      <c r="I770" s="46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 spans="1:26" ht="14.4">
      <c r="A771" s="191"/>
      <c r="B771" s="191"/>
      <c r="C771" s="191"/>
      <c r="D771" s="191"/>
      <c r="E771" s="191"/>
      <c r="F771" s="191"/>
      <c r="G771" s="386"/>
      <c r="H771" s="386"/>
      <c r="I771" s="46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 spans="1:26" ht="14.4">
      <c r="A772" s="191"/>
      <c r="B772" s="191"/>
      <c r="C772" s="191"/>
      <c r="D772" s="191"/>
      <c r="E772" s="191"/>
      <c r="F772" s="191"/>
      <c r="G772" s="386"/>
      <c r="H772" s="386"/>
      <c r="I772" s="46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 spans="1:26" ht="14.4">
      <c r="A773" s="191"/>
      <c r="B773" s="191"/>
      <c r="C773" s="191"/>
      <c r="D773" s="191"/>
      <c r="E773" s="191"/>
      <c r="F773" s="191"/>
      <c r="G773" s="386"/>
      <c r="H773" s="386"/>
      <c r="I773" s="46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 spans="1:26" ht="14.4">
      <c r="A774" s="191"/>
      <c r="B774" s="191"/>
      <c r="C774" s="191"/>
      <c r="D774" s="191"/>
      <c r="E774" s="191"/>
      <c r="F774" s="191"/>
      <c r="G774" s="386"/>
      <c r="H774" s="386"/>
      <c r="I774" s="46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 spans="1:26" ht="14.4">
      <c r="A775" s="191"/>
      <c r="B775" s="191"/>
      <c r="C775" s="191"/>
      <c r="D775" s="191"/>
      <c r="E775" s="191"/>
      <c r="F775" s="191"/>
      <c r="G775" s="386"/>
      <c r="H775" s="386"/>
      <c r="I775" s="46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 spans="1:26" ht="14.4">
      <c r="A776" s="191"/>
      <c r="B776" s="191"/>
      <c r="C776" s="191"/>
      <c r="D776" s="191"/>
      <c r="E776" s="191"/>
      <c r="F776" s="191"/>
      <c r="G776" s="386"/>
      <c r="H776" s="386"/>
      <c r="I776" s="46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 spans="1:26" ht="14.4">
      <c r="A777" s="191"/>
      <c r="B777" s="191"/>
      <c r="C777" s="191"/>
      <c r="D777" s="191"/>
      <c r="E777" s="191"/>
      <c r="F777" s="191"/>
      <c r="G777" s="386"/>
      <c r="H777" s="386"/>
      <c r="I777" s="46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 spans="1:26" ht="14.4">
      <c r="A778" s="191"/>
      <c r="B778" s="191"/>
      <c r="C778" s="191"/>
      <c r="D778" s="191"/>
      <c r="E778" s="191"/>
      <c r="F778" s="191"/>
      <c r="G778" s="386"/>
      <c r="H778" s="386"/>
      <c r="I778" s="46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 spans="1:26" ht="14.4">
      <c r="A779" s="191"/>
      <c r="B779" s="191"/>
      <c r="C779" s="191"/>
      <c r="D779" s="191"/>
      <c r="E779" s="191"/>
      <c r="F779" s="191"/>
      <c r="G779" s="386"/>
      <c r="H779" s="386"/>
      <c r="I779" s="46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 spans="1:26" ht="14.4">
      <c r="A780" s="191"/>
      <c r="B780" s="191"/>
      <c r="C780" s="191"/>
      <c r="D780" s="191"/>
      <c r="E780" s="191"/>
      <c r="F780" s="191"/>
      <c r="G780" s="386"/>
      <c r="H780" s="386"/>
      <c r="I780" s="46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 spans="1:26" ht="14.4">
      <c r="A781" s="191"/>
      <c r="B781" s="191"/>
      <c r="C781" s="191"/>
      <c r="D781" s="191"/>
      <c r="E781" s="191"/>
      <c r="F781" s="191"/>
      <c r="G781" s="386"/>
      <c r="H781" s="386"/>
      <c r="I781" s="46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 spans="1:26" ht="14.4">
      <c r="A782" s="191"/>
      <c r="B782" s="191"/>
      <c r="C782" s="191"/>
      <c r="D782" s="191"/>
      <c r="E782" s="191"/>
      <c r="F782" s="191"/>
      <c r="G782" s="386"/>
      <c r="H782" s="386"/>
      <c r="I782" s="46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 spans="1:26" ht="14.4">
      <c r="A783" s="191"/>
      <c r="B783" s="191"/>
      <c r="C783" s="191"/>
      <c r="D783" s="191"/>
      <c r="E783" s="191"/>
      <c r="F783" s="191"/>
      <c r="G783" s="386"/>
      <c r="H783" s="386"/>
      <c r="I783" s="46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 spans="1:26" ht="14.4">
      <c r="A784" s="191"/>
      <c r="B784" s="191"/>
      <c r="C784" s="191"/>
      <c r="D784" s="191"/>
      <c r="E784" s="191"/>
      <c r="F784" s="191"/>
      <c r="G784" s="386"/>
      <c r="H784" s="386"/>
      <c r="I784" s="46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 spans="1:26" ht="14.4">
      <c r="A785" s="191"/>
      <c r="B785" s="191"/>
      <c r="C785" s="191"/>
      <c r="D785" s="191"/>
      <c r="E785" s="191"/>
      <c r="F785" s="191"/>
      <c r="G785" s="386"/>
      <c r="H785" s="386"/>
      <c r="I785" s="46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 spans="1:26" ht="14.4">
      <c r="A786" s="191"/>
      <c r="B786" s="191"/>
      <c r="C786" s="191"/>
      <c r="D786" s="191"/>
      <c r="E786" s="191"/>
      <c r="F786" s="191"/>
      <c r="G786" s="386"/>
      <c r="H786" s="386"/>
      <c r="I786" s="46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 spans="1:26" ht="14.4">
      <c r="A787" s="191"/>
      <c r="B787" s="191"/>
      <c r="C787" s="191"/>
      <c r="D787" s="191"/>
      <c r="E787" s="191"/>
      <c r="F787" s="191"/>
      <c r="G787" s="386"/>
      <c r="H787" s="386"/>
      <c r="I787" s="46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 spans="1:26" ht="14.4">
      <c r="A788" s="191"/>
      <c r="B788" s="191"/>
      <c r="C788" s="191"/>
      <c r="D788" s="191"/>
      <c r="E788" s="191"/>
      <c r="F788" s="191"/>
      <c r="G788" s="386"/>
      <c r="H788" s="386"/>
      <c r="I788" s="46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 spans="1:26" ht="14.4">
      <c r="A789" s="191"/>
      <c r="B789" s="191"/>
      <c r="C789" s="191"/>
      <c r="D789" s="191"/>
      <c r="E789" s="191"/>
      <c r="F789" s="191"/>
      <c r="G789" s="386"/>
      <c r="H789" s="386"/>
      <c r="I789" s="46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 spans="1:26" ht="14.4">
      <c r="A790" s="191"/>
      <c r="B790" s="191"/>
      <c r="C790" s="191"/>
      <c r="D790" s="191"/>
      <c r="E790" s="191"/>
      <c r="F790" s="191"/>
      <c r="G790" s="386"/>
      <c r="H790" s="386"/>
      <c r="I790" s="46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 spans="1:26" ht="14.4">
      <c r="A791" s="191"/>
      <c r="B791" s="191"/>
      <c r="C791" s="191"/>
      <c r="D791" s="191"/>
      <c r="E791" s="191"/>
      <c r="F791" s="191"/>
      <c r="G791" s="386"/>
      <c r="H791" s="386"/>
      <c r="I791" s="46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 spans="1:26" ht="14.4">
      <c r="A792" s="191"/>
      <c r="B792" s="191"/>
      <c r="C792" s="191"/>
      <c r="D792" s="191"/>
      <c r="E792" s="191"/>
      <c r="F792" s="191"/>
      <c r="G792" s="386"/>
      <c r="H792" s="386"/>
      <c r="I792" s="46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 spans="1:26" ht="14.4">
      <c r="A793" s="191"/>
      <c r="B793" s="191"/>
      <c r="C793" s="191"/>
      <c r="D793" s="191"/>
      <c r="E793" s="191"/>
      <c r="F793" s="191"/>
      <c r="G793" s="386"/>
      <c r="H793" s="386"/>
      <c r="I793" s="46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 spans="1:26" ht="14.4">
      <c r="A794" s="191"/>
      <c r="B794" s="191"/>
      <c r="C794" s="191"/>
      <c r="D794" s="191"/>
      <c r="E794" s="191"/>
      <c r="F794" s="191"/>
      <c r="G794" s="386"/>
      <c r="H794" s="386"/>
      <c r="I794" s="46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 spans="1:26" ht="14.4">
      <c r="A795" s="191"/>
      <c r="B795" s="191"/>
      <c r="C795" s="191"/>
      <c r="D795" s="191"/>
      <c r="E795" s="191"/>
      <c r="F795" s="191"/>
      <c r="G795" s="386"/>
      <c r="H795" s="386"/>
      <c r="I795" s="46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 spans="1:26" ht="14.4">
      <c r="A796" s="191"/>
      <c r="B796" s="191"/>
      <c r="C796" s="191"/>
      <c r="D796" s="191"/>
      <c r="E796" s="191"/>
      <c r="F796" s="191"/>
      <c r="G796" s="386"/>
      <c r="H796" s="386"/>
      <c r="I796" s="46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 spans="1:26" ht="14.4">
      <c r="A797" s="191"/>
      <c r="B797" s="191"/>
      <c r="C797" s="191"/>
      <c r="D797" s="191"/>
      <c r="E797" s="191"/>
      <c r="F797" s="191"/>
      <c r="G797" s="386"/>
      <c r="H797" s="386"/>
      <c r="I797" s="46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 spans="1:26" ht="14.4">
      <c r="A798" s="191"/>
      <c r="B798" s="191"/>
      <c r="C798" s="191"/>
      <c r="D798" s="191"/>
      <c r="E798" s="191"/>
      <c r="F798" s="191"/>
      <c r="G798" s="386"/>
      <c r="H798" s="386"/>
      <c r="I798" s="46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 spans="1:26" ht="14.4">
      <c r="A799" s="191"/>
      <c r="B799" s="191"/>
      <c r="C799" s="191"/>
      <c r="D799" s="191"/>
      <c r="E799" s="191"/>
      <c r="F799" s="191"/>
      <c r="G799" s="386"/>
      <c r="H799" s="386"/>
      <c r="I799" s="46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 spans="1:26" ht="14.4">
      <c r="A800" s="191"/>
      <c r="B800" s="191"/>
      <c r="C800" s="191"/>
      <c r="D800" s="191"/>
      <c r="E800" s="191"/>
      <c r="F800" s="191"/>
      <c r="G800" s="386"/>
      <c r="H800" s="386"/>
      <c r="I800" s="46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 spans="1:26" ht="14.4">
      <c r="A801" s="191"/>
      <c r="B801" s="191"/>
      <c r="C801" s="191"/>
      <c r="D801" s="191"/>
      <c r="E801" s="191"/>
      <c r="F801" s="191"/>
      <c r="G801" s="386"/>
      <c r="H801" s="386"/>
      <c r="I801" s="46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 spans="1:26" ht="14.4">
      <c r="A802" s="191"/>
      <c r="B802" s="191"/>
      <c r="C802" s="191"/>
      <c r="D802" s="191"/>
      <c r="E802" s="191"/>
      <c r="F802" s="191"/>
      <c r="G802" s="386"/>
      <c r="H802" s="386"/>
      <c r="I802" s="46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 spans="1:26" ht="14.4">
      <c r="A803" s="191"/>
      <c r="B803" s="191"/>
      <c r="C803" s="191"/>
      <c r="D803" s="191"/>
      <c r="E803" s="191"/>
      <c r="F803" s="191"/>
      <c r="G803" s="386"/>
      <c r="H803" s="386"/>
      <c r="I803" s="46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 spans="1:26" ht="14.4">
      <c r="A804" s="191"/>
      <c r="B804" s="191"/>
      <c r="C804" s="191"/>
      <c r="D804" s="191"/>
      <c r="E804" s="191"/>
      <c r="F804" s="191"/>
      <c r="G804" s="386"/>
      <c r="H804" s="386"/>
      <c r="I804" s="46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 spans="1:26" ht="14.4">
      <c r="A805" s="191"/>
      <c r="B805" s="191"/>
      <c r="C805" s="191"/>
      <c r="D805" s="191"/>
      <c r="E805" s="191"/>
      <c r="F805" s="191"/>
      <c r="G805" s="386"/>
      <c r="H805" s="386"/>
      <c r="I805" s="46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 spans="1:26" ht="14.4">
      <c r="A806" s="191"/>
      <c r="B806" s="191"/>
      <c r="C806" s="191"/>
      <c r="D806" s="191"/>
      <c r="E806" s="191"/>
      <c r="F806" s="191"/>
      <c r="G806" s="386"/>
      <c r="H806" s="386"/>
      <c r="I806" s="46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 spans="1:26" ht="14.4">
      <c r="A807" s="191"/>
      <c r="B807" s="191"/>
      <c r="C807" s="191"/>
      <c r="D807" s="191"/>
      <c r="E807" s="191"/>
      <c r="F807" s="191"/>
      <c r="G807" s="386"/>
      <c r="H807" s="386"/>
      <c r="I807" s="46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 spans="1:26" ht="14.4">
      <c r="A808" s="191"/>
      <c r="B808" s="191"/>
      <c r="C808" s="191"/>
      <c r="D808" s="191"/>
      <c r="E808" s="191"/>
      <c r="F808" s="191"/>
      <c r="G808" s="386"/>
      <c r="H808" s="386"/>
      <c r="I808" s="46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 spans="1:26" ht="14.4">
      <c r="A809" s="191"/>
      <c r="B809" s="191"/>
      <c r="C809" s="191"/>
      <c r="D809" s="191"/>
      <c r="E809" s="191"/>
      <c r="F809" s="191"/>
      <c r="G809" s="386"/>
      <c r="H809" s="386"/>
      <c r="I809" s="46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 spans="1:26" ht="14.4">
      <c r="A810" s="191"/>
      <c r="B810" s="191"/>
      <c r="C810" s="191"/>
      <c r="D810" s="191"/>
      <c r="E810" s="191"/>
      <c r="F810" s="191"/>
      <c r="G810" s="386"/>
      <c r="H810" s="386"/>
      <c r="I810" s="46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 spans="1:26" ht="14.4">
      <c r="A811" s="191"/>
      <c r="B811" s="191"/>
      <c r="C811" s="191"/>
      <c r="D811" s="191"/>
      <c r="E811" s="191"/>
      <c r="F811" s="191"/>
      <c r="G811" s="386"/>
      <c r="H811" s="386"/>
      <c r="I811" s="46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 spans="1:26" ht="14.4">
      <c r="A812" s="191"/>
      <c r="B812" s="191"/>
      <c r="C812" s="191"/>
      <c r="D812" s="191"/>
      <c r="E812" s="191"/>
      <c r="F812" s="191"/>
      <c r="G812" s="386"/>
      <c r="H812" s="386"/>
      <c r="I812" s="46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 spans="1:26" ht="14.4">
      <c r="A813" s="191"/>
      <c r="B813" s="191"/>
      <c r="C813" s="191"/>
      <c r="D813" s="191"/>
      <c r="E813" s="191"/>
      <c r="F813" s="191"/>
      <c r="G813" s="386"/>
      <c r="H813" s="386"/>
      <c r="I813" s="46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 spans="1:26" ht="14.4">
      <c r="A814" s="191"/>
      <c r="B814" s="191"/>
      <c r="C814" s="191"/>
      <c r="D814" s="191"/>
      <c r="E814" s="191"/>
      <c r="F814" s="191"/>
      <c r="G814" s="386"/>
      <c r="H814" s="386"/>
      <c r="I814" s="46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 spans="1:26" ht="14.4">
      <c r="A815" s="191"/>
      <c r="B815" s="191"/>
      <c r="C815" s="191"/>
      <c r="D815" s="191"/>
      <c r="E815" s="191"/>
      <c r="F815" s="191"/>
      <c r="G815" s="386"/>
      <c r="H815" s="386"/>
      <c r="I815" s="46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 spans="1:26" ht="14.4">
      <c r="A816" s="191"/>
      <c r="B816" s="191"/>
      <c r="C816" s="191"/>
      <c r="D816" s="191"/>
      <c r="E816" s="191"/>
      <c r="F816" s="191"/>
      <c r="G816" s="386"/>
      <c r="H816" s="386"/>
      <c r="I816" s="46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 spans="1:26" ht="14.4">
      <c r="A817" s="191"/>
      <c r="B817" s="191"/>
      <c r="C817" s="191"/>
      <c r="D817" s="191"/>
      <c r="E817" s="191"/>
      <c r="F817" s="191"/>
      <c r="G817" s="386"/>
      <c r="H817" s="386"/>
      <c r="I817" s="46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 spans="1:26" ht="14.4">
      <c r="A818" s="191"/>
      <c r="B818" s="191"/>
      <c r="C818" s="191"/>
      <c r="D818" s="191"/>
      <c r="E818" s="191"/>
      <c r="F818" s="191"/>
      <c r="G818" s="386"/>
      <c r="H818" s="386"/>
      <c r="I818" s="46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 spans="1:26" ht="14.4">
      <c r="A819" s="191"/>
      <c r="B819" s="191"/>
      <c r="C819" s="191"/>
      <c r="D819" s="191"/>
      <c r="E819" s="191"/>
      <c r="F819" s="191"/>
      <c r="G819" s="386"/>
      <c r="H819" s="386"/>
      <c r="I819" s="46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 spans="1:26" ht="14.4">
      <c r="A820" s="191"/>
      <c r="B820" s="191"/>
      <c r="C820" s="191"/>
      <c r="D820" s="191"/>
      <c r="E820" s="191"/>
      <c r="F820" s="191"/>
      <c r="G820" s="386"/>
      <c r="H820" s="386"/>
      <c r="I820" s="46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 spans="1:26" ht="14.4">
      <c r="A821" s="191"/>
      <c r="B821" s="191"/>
      <c r="C821" s="191"/>
      <c r="D821" s="191"/>
      <c r="E821" s="191"/>
      <c r="F821" s="191"/>
      <c r="G821" s="386"/>
      <c r="H821" s="386"/>
      <c r="I821" s="46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 spans="1:26" ht="14.4">
      <c r="A822" s="191"/>
      <c r="B822" s="191"/>
      <c r="C822" s="191"/>
      <c r="D822" s="191"/>
      <c r="E822" s="191"/>
      <c r="F822" s="191"/>
      <c r="G822" s="386"/>
      <c r="H822" s="386"/>
      <c r="I822" s="46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 spans="1:26" ht="14.4">
      <c r="A823" s="191"/>
      <c r="B823" s="191"/>
      <c r="C823" s="191"/>
      <c r="D823" s="191"/>
      <c r="E823" s="191"/>
      <c r="F823" s="191"/>
      <c r="G823" s="386"/>
      <c r="H823" s="386"/>
      <c r="I823" s="46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 spans="1:26" ht="14.4">
      <c r="A824" s="191"/>
      <c r="B824" s="191"/>
      <c r="C824" s="191"/>
      <c r="D824" s="191"/>
      <c r="E824" s="191"/>
      <c r="F824" s="191"/>
      <c r="G824" s="386"/>
      <c r="H824" s="386"/>
      <c r="I824" s="46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 spans="1:26" ht="14.4">
      <c r="A825" s="191"/>
      <c r="B825" s="191"/>
      <c r="C825" s="191"/>
      <c r="D825" s="191"/>
      <c r="E825" s="191"/>
      <c r="F825" s="191"/>
      <c r="G825" s="386"/>
      <c r="H825" s="386"/>
      <c r="I825" s="46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 spans="1:26" ht="14.4">
      <c r="A826" s="191"/>
      <c r="B826" s="191"/>
      <c r="C826" s="191"/>
      <c r="D826" s="191"/>
      <c r="E826" s="191"/>
      <c r="F826" s="191"/>
      <c r="G826" s="386"/>
      <c r="H826" s="386"/>
      <c r="I826" s="46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 spans="1:26" ht="14.4">
      <c r="A827" s="191"/>
      <c r="B827" s="191"/>
      <c r="C827" s="191"/>
      <c r="D827" s="191"/>
      <c r="E827" s="191"/>
      <c r="F827" s="191"/>
      <c r="G827" s="386"/>
      <c r="H827" s="386"/>
      <c r="I827" s="46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 spans="1:26" ht="14.4">
      <c r="A828" s="191"/>
      <c r="B828" s="191"/>
      <c r="C828" s="191"/>
      <c r="D828" s="191"/>
      <c r="E828" s="191"/>
      <c r="F828" s="191"/>
      <c r="G828" s="386"/>
      <c r="H828" s="386"/>
      <c r="I828" s="46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 spans="1:26" ht="14.4">
      <c r="A829" s="191"/>
      <c r="B829" s="191"/>
      <c r="C829" s="191"/>
      <c r="D829" s="191"/>
      <c r="E829" s="191"/>
      <c r="F829" s="191"/>
      <c r="G829" s="386"/>
      <c r="H829" s="386"/>
      <c r="I829" s="46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 spans="1:26" ht="14.4">
      <c r="A830" s="191"/>
      <c r="B830" s="191"/>
      <c r="C830" s="191"/>
      <c r="D830" s="191"/>
      <c r="E830" s="191"/>
      <c r="F830" s="191"/>
      <c r="G830" s="386"/>
      <c r="H830" s="386"/>
      <c r="I830" s="46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 spans="1:26" ht="14.4">
      <c r="A831" s="191"/>
      <c r="B831" s="191"/>
      <c r="C831" s="191"/>
      <c r="D831" s="191"/>
      <c r="E831" s="191"/>
      <c r="F831" s="191"/>
      <c r="G831" s="386"/>
      <c r="H831" s="386"/>
      <c r="I831" s="46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 spans="1:26" ht="14.4">
      <c r="A832" s="191"/>
      <c r="B832" s="191"/>
      <c r="C832" s="191"/>
      <c r="D832" s="191"/>
      <c r="E832" s="191"/>
      <c r="F832" s="191"/>
      <c r="G832" s="386"/>
      <c r="H832" s="386"/>
      <c r="I832" s="46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 spans="1:26" ht="14.4">
      <c r="A833" s="191"/>
      <c r="B833" s="191"/>
      <c r="C833" s="191"/>
      <c r="D833" s="191"/>
      <c r="E833" s="191"/>
      <c r="F833" s="191"/>
      <c r="G833" s="386"/>
      <c r="H833" s="386"/>
      <c r="I833" s="46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 spans="1:26" ht="14.4">
      <c r="A834" s="191"/>
      <c r="B834" s="191"/>
      <c r="C834" s="191"/>
      <c r="D834" s="191"/>
      <c r="E834" s="191"/>
      <c r="F834" s="191"/>
      <c r="G834" s="386"/>
      <c r="H834" s="386"/>
      <c r="I834" s="46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 spans="1:26" ht="14.4">
      <c r="A835" s="191"/>
      <c r="B835" s="191"/>
      <c r="C835" s="191"/>
      <c r="D835" s="191"/>
      <c r="E835" s="191"/>
      <c r="F835" s="191"/>
      <c r="G835" s="386"/>
      <c r="H835" s="386"/>
      <c r="I835" s="46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 spans="1:26" ht="14.4">
      <c r="A836" s="191"/>
      <c r="B836" s="191"/>
      <c r="C836" s="191"/>
      <c r="D836" s="191"/>
      <c r="E836" s="191"/>
      <c r="F836" s="191"/>
      <c r="G836" s="386"/>
      <c r="H836" s="386"/>
      <c r="I836" s="46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 spans="1:26" ht="14.4">
      <c r="A837" s="191"/>
      <c r="B837" s="191"/>
      <c r="C837" s="191"/>
      <c r="D837" s="191"/>
      <c r="E837" s="191"/>
      <c r="F837" s="191"/>
      <c r="G837" s="386"/>
      <c r="H837" s="386"/>
      <c r="I837" s="46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 spans="1:26" ht="14.4">
      <c r="A838" s="191"/>
      <c r="B838" s="191"/>
      <c r="C838" s="191"/>
      <c r="D838" s="191"/>
      <c r="E838" s="191"/>
      <c r="F838" s="191"/>
      <c r="G838" s="386"/>
      <c r="H838" s="386"/>
      <c r="I838" s="46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 spans="1:26" ht="14.4">
      <c r="A839" s="191"/>
      <c r="B839" s="191"/>
      <c r="C839" s="191"/>
      <c r="D839" s="191"/>
      <c r="E839" s="191"/>
      <c r="F839" s="191"/>
      <c r="G839" s="386"/>
      <c r="H839" s="386"/>
      <c r="I839" s="46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 spans="1:26" ht="14.4">
      <c r="A840" s="191"/>
      <c r="B840" s="191"/>
      <c r="C840" s="191"/>
      <c r="D840" s="191"/>
      <c r="E840" s="191"/>
      <c r="F840" s="191"/>
      <c r="G840" s="386"/>
      <c r="H840" s="386"/>
      <c r="I840" s="46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 spans="1:26" ht="14.4">
      <c r="A841" s="191"/>
      <c r="B841" s="191"/>
      <c r="C841" s="191"/>
      <c r="D841" s="191"/>
      <c r="E841" s="191"/>
      <c r="F841" s="191"/>
      <c r="G841" s="386"/>
      <c r="H841" s="386"/>
      <c r="I841" s="46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 spans="1:26" ht="14.4">
      <c r="A842" s="191"/>
      <c r="B842" s="191"/>
      <c r="C842" s="191"/>
      <c r="D842" s="191"/>
      <c r="E842" s="191"/>
      <c r="F842" s="191"/>
      <c r="G842" s="386"/>
      <c r="H842" s="386"/>
      <c r="I842" s="46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 spans="1:26" ht="14.4">
      <c r="A843" s="191"/>
      <c r="B843" s="191"/>
      <c r="C843" s="191"/>
      <c r="D843" s="191"/>
      <c r="E843" s="191"/>
      <c r="F843" s="191"/>
      <c r="G843" s="386"/>
      <c r="H843" s="386"/>
      <c r="I843" s="46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 spans="1:26" ht="14.4">
      <c r="A844" s="191"/>
      <c r="B844" s="191"/>
      <c r="C844" s="191"/>
      <c r="D844" s="191"/>
      <c r="E844" s="191"/>
      <c r="F844" s="191"/>
      <c r="G844" s="386"/>
      <c r="H844" s="386"/>
      <c r="I844" s="46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 spans="1:26" ht="14.4">
      <c r="A845" s="191"/>
      <c r="B845" s="191"/>
      <c r="C845" s="191"/>
      <c r="D845" s="191"/>
      <c r="E845" s="191"/>
      <c r="F845" s="191"/>
      <c r="G845" s="386"/>
      <c r="H845" s="386"/>
      <c r="I845" s="46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 spans="1:26" ht="14.4">
      <c r="A846" s="191"/>
      <c r="B846" s="191"/>
      <c r="C846" s="191"/>
      <c r="D846" s="191"/>
      <c r="E846" s="191"/>
      <c r="F846" s="191"/>
      <c r="G846" s="386"/>
      <c r="H846" s="386"/>
      <c r="I846" s="46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 spans="1:26" ht="14.4">
      <c r="A847" s="191"/>
      <c r="B847" s="191"/>
      <c r="C847" s="191"/>
      <c r="D847" s="191"/>
      <c r="E847" s="191"/>
      <c r="F847" s="191"/>
      <c r="G847" s="386"/>
      <c r="H847" s="386"/>
      <c r="I847" s="46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 spans="1:26" ht="14.4">
      <c r="A848" s="191"/>
      <c r="B848" s="191"/>
      <c r="C848" s="191"/>
      <c r="D848" s="191"/>
      <c r="E848" s="191"/>
      <c r="F848" s="191"/>
      <c r="G848" s="386"/>
      <c r="H848" s="386"/>
      <c r="I848" s="46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 spans="1:26" ht="14.4">
      <c r="A849" s="191"/>
      <c r="B849" s="191"/>
      <c r="C849" s="191"/>
      <c r="D849" s="191"/>
      <c r="E849" s="191"/>
      <c r="F849" s="191"/>
      <c r="G849" s="386"/>
      <c r="H849" s="386"/>
      <c r="I849" s="46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 spans="1:26" ht="14.4">
      <c r="A850" s="191"/>
      <c r="B850" s="191"/>
      <c r="C850" s="191"/>
      <c r="D850" s="191"/>
      <c r="E850" s="191"/>
      <c r="F850" s="191"/>
      <c r="G850" s="386"/>
      <c r="H850" s="386"/>
      <c r="I850" s="46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 spans="1:26" ht="14.4">
      <c r="A851" s="191"/>
      <c r="B851" s="191"/>
      <c r="C851" s="191"/>
      <c r="D851" s="191"/>
      <c r="E851" s="191"/>
      <c r="F851" s="191"/>
      <c r="G851" s="386"/>
      <c r="H851" s="386"/>
      <c r="I851" s="46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 spans="1:26" ht="14.4">
      <c r="A852" s="191"/>
      <c r="B852" s="191"/>
      <c r="C852" s="191"/>
      <c r="D852" s="191"/>
      <c r="E852" s="191"/>
      <c r="F852" s="191"/>
      <c r="G852" s="386"/>
      <c r="H852" s="386"/>
      <c r="I852" s="46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 spans="1:26" ht="14.4">
      <c r="A853" s="191"/>
      <c r="B853" s="191"/>
      <c r="C853" s="191"/>
      <c r="D853" s="191"/>
      <c r="E853" s="191"/>
      <c r="F853" s="191"/>
      <c r="G853" s="386"/>
      <c r="H853" s="386"/>
      <c r="I853" s="46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 spans="1:26" ht="14.4">
      <c r="A854" s="191"/>
      <c r="B854" s="191"/>
      <c r="C854" s="191"/>
      <c r="D854" s="191"/>
      <c r="E854" s="191"/>
      <c r="F854" s="191"/>
      <c r="G854" s="386"/>
      <c r="H854" s="386"/>
      <c r="I854" s="46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 spans="1:26" ht="14.4">
      <c r="A855" s="191"/>
      <c r="B855" s="191"/>
      <c r="C855" s="191"/>
      <c r="D855" s="191"/>
      <c r="E855" s="191"/>
      <c r="F855" s="191"/>
      <c r="G855" s="386"/>
      <c r="H855" s="386"/>
      <c r="I855" s="46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 spans="1:26" ht="14.4">
      <c r="A856" s="191"/>
      <c r="B856" s="191"/>
      <c r="C856" s="191"/>
      <c r="D856" s="191"/>
      <c r="E856" s="191"/>
      <c r="F856" s="191"/>
      <c r="G856" s="386"/>
      <c r="H856" s="386"/>
      <c r="I856" s="46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 spans="1:26" ht="14.4">
      <c r="A857" s="191"/>
      <c r="B857" s="191"/>
      <c r="C857" s="191"/>
      <c r="D857" s="191"/>
      <c r="E857" s="191"/>
      <c r="F857" s="191"/>
      <c r="G857" s="386"/>
      <c r="H857" s="386"/>
      <c r="I857" s="46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 spans="1:26" ht="14.4">
      <c r="A858" s="191"/>
      <c r="B858" s="191"/>
      <c r="C858" s="191"/>
      <c r="D858" s="191"/>
      <c r="E858" s="191"/>
      <c r="F858" s="191"/>
      <c r="G858" s="386"/>
      <c r="H858" s="386"/>
      <c r="I858" s="46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 spans="1:26" ht="14.4">
      <c r="A859" s="191"/>
      <c r="B859" s="191"/>
      <c r="C859" s="191"/>
      <c r="D859" s="191"/>
      <c r="E859" s="191"/>
      <c r="F859" s="191"/>
      <c r="G859" s="386"/>
      <c r="H859" s="386"/>
      <c r="I859" s="46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 spans="1:26" ht="14.4">
      <c r="A860" s="191"/>
      <c r="B860" s="191"/>
      <c r="C860" s="191"/>
      <c r="D860" s="191"/>
      <c r="E860" s="191"/>
      <c r="F860" s="191"/>
      <c r="G860" s="386"/>
      <c r="H860" s="386"/>
      <c r="I860" s="46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 spans="1:26" ht="14.4">
      <c r="A861" s="191"/>
      <c r="B861" s="191"/>
      <c r="C861" s="191"/>
      <c r="D861" s="191"/>
      <c r="E861" s="191"/>
      <c r="F861" s="191"/>
      <c r="G861" s="386"/>
      <c r="H861" s="386"/>
      <c r="I861" s="46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 spans="1:26" ht="14.4">
      <c r="A862" s="191"/>
      <c r="B862" s="191"/>
      <c r="C862" s="191"/>
      <c r="D862" s="191"/>
      <c r="E862" s="191"/>
      <c r="F862" s="191"/>
      <c r="G862" s="386"/>
      <c r="H862" s="386"/>
      <c r="I862" s="46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 spans="1:26" ht="14.4">
      <c r="A863" s="191"/>
      <c r="B863" s="191"/>
      <c r="C863" s="191"/>
      <c r="D863" s="191"/>
      <c r="E863" s="191"/>
      <c r="F863" s="191"/>
      <c r="G863" s="386"/>
      <c r="H863" s="386"/>
      <c r="I863" s="46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 spans="1:26" ht="14.4">
      <c r="A864" s="191"/>
      <c r="B864" s="191"/>
      <c r="C864" s="191"/>
      <c r="D864" s="191"/>
      <c r="E864" s="191"/>
      <c r="F864" s="191"/>
      <c r="G864" s="386"/>
      <c r="H864" s="386"/>
      <c r="I864" s="46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 spans="1:26" ht="14.4">
      <c r="A865" s="191"/>
      <c r="B865" s="191"/>
      <c r="C865" s="191"/>
      <c r="D865" s="191"/>
      <c r="E865" s="191"/>
      <c r="F865" s="191"/>
      <c r="G865" s="386"/>
      <c r="H865" s="386"/>
      <c r="I865" s="46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 spans="1:26" ht="14.4">
      <c r="A866" s="191"/>
      <c r="B866" s="191"/>
      <c r="C866" s="191"/>
      <c r="D866" s="191"/>
      <c r="E866" s="191"/>
      <c r="F866" s="191"/>
      <c r="G866" s="386"/>
      <c r="H866" s="386"/>
      <c r="I866" s="46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 spans="1:26" ht="14.4">
      <c r="A867" s="191"/>
      <c r="B867" s="191"/>
      <c r="C867" s="191"/>
      <c r="D867" s="191"/>
      <c r="E867" s="191"/>
      <c r="F867" s="191"/>
      <c r="G867" s="386"/>
      <c r="H867" s="386"/>
      <c r="I867" s="46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 spans="1:26" ht="14.4">
      <c r="A868" s="191"/>
      <c r="B868" s="191"/>
      <c r="C868" s="191"/>
      <c r="D868" s="191"/>
      <c r="E868" s="191"/>
      <c r="F868" s="191"/>
      <c r="G868" s="386"/>
      <c r="H868" s="386"/>
      <c r="I868" s="46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 spans="1:26" ht="14.4">
      <c r="A869" s="191"/>
      <c r="B869" s="191"/>
      <c r="C869" s="191"/>
      <c r="D869" s="191"/>
      <c r="E869" s="191"/>
      <c r="F869" s="191"/>
      <c r="G869" s="386"/>
      <c r="H869" s="386"/>
      <c r="I869" s="46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 spans="1:26" ht="14.4">
      <c r="A870" s="191"/>
      <c r="B870" s="191"/>
      <c r="C870" s="191"/>
      <c r="D870" s="191"/>
      <c r="E870" s="191"/>
      <c r="F870" s="191"/>
      <c r="G870" s="386"/>
      <c r="H870" s="386"/>
      <c r="I870" s="46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 spans="1:26" ht="14.4">
      <c r="A871" s="191"/>
      <c r="B871" s="191"/>
      <c r="C871" s="191"/>
      <c r="D871" s="191"/>
      <c r="E871" s="191"/>
      <c r="F871" s="191"/>
      <c r="G871" s="386"/>
      <c r="H871" s="386"/>
      <c r="I871" s="46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 spans="1:26" ht="14.4">
      <c r="A872" s="191"/>
      <c r="B872" s="191"/>
      <c r="C872" s="191"/>
      <c r="D872" s="191"/>
      <c r="E872" s="191"/>
      <c r="F872" s="191"/>
      <c r="G872" s="386"/>
      <c r="H872" s="386"/>
      <c r="I872" s="46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 spans="1:26" ht="14.4">
      <c r="A873" s="191"/>
      <c r="B873" s="191"/>
      <c r="C873" s="191"/>
      <c r="D873" s="191"/>
      <c r="E873" s="191"/>
      <c r="F873" s="191"/>
      <c r="G873" s="386"/>
      <c r="H873" s="386"/>
      <c r="I873" s="46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 spans="1:26" ht="14.4">
      <c r="A874" s="191"/>
      <c r="B874" s="191"/>
      <c r="C874" s="191"/>
      <c r="D874" s="191"/>
      <c r="E874" s="191"/>
      <c r="F874" s="191"/>
      <c r="G874" s="386"/>
      <c r="H874" s="386"/>
      <c r="I874" s="46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 spans="1:26" ht="14.4">
      <c r="A875" s="191"/>
      <c r="B875" s="191"/>
      <c r="C875" s="191"/>
      <c r="D875" s="191"/>
      <c r="E875" s="191"/>
      <c r="F875" s="191"/>
      <c r="G875" s="386"/>
      <c r="H875" s="386"/>
      <c r="I875" s="46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 spans="1:26" ht="14.4">
      <c r="A876" s="191"/>
      <c r="B876" s="191"/>
      <c r="C876" s="191"/>
      <c r="D876" s="191"/>
      <c r="E876" s="191"/>
      <c r="F876" s="191"/>
      <c r="G876" s="386"/>
      <c r="H876" s="386"/>
      <c r="I876" s="46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 spans="1:26" ht="14.4">
      <c r="A877" s="191"/>
      <c r="B877" s="191"/>
      <c r="C877" s="191"/>
      <c r="D877" s="191"/>
      <c r="E877" s="191"/>
      <c r="F877" s="191"/>
      <c r="G877" s="386"/>
      <c r="H877" s="386"/>
      <c r="I877" s="46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 spans="1:26" ht="14.4">
      <c r="A878" s="191"/>
      <c r="B878" s="191"/>
      <c r="C878" s="191"/>
      <c r="D878" s="191"/>
      <c r="E878" s="191"/>
      <c r="F878" s="191"/>
      <c r="G878" s="386"/>
      <c r="H878" s="386"/>
      <c r="I878" s="46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 spans="1:26" ht="14.4">
      <c r="A879" s="191"/>
      <c r="B879" s="191"/>
      <c r="C879" s="191"/>
      <c r="D879" s="191"/>
      <c r="E879" s="191"/>
      <c r="F879" s="191"/>
      <c r="G879" s="386"/>
      <c r="H879" s="386"/>
      <c r="I879" s="46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 spans="1:26" ht="14.4">
      <c r="A880" s="191"/>
      <c r="B880" s="191"/>
      <c r="C880" s="191"/>
      <c r="D880" s="191"/>
      <c r="E880" s="191"/>
      <c r="F880" s="191"/>
      <c r="G880" s="386"/>
      <c r="H880" s="386"/>
      <c r="I880" s="46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 spans="1:26" ht="14.4">
      <c r="A881" s="191"/>
      <c r="B881" s="191"/>
      <c r="C881" s="191"/>
      <c r="D881" s="191"/>
      <c r="E881" s="191"/>
      <c r="F881" s="191"/>
      <c r="G881" s="386"/>
      <c r="H881" s="386"/>
      <c r="I881" s="46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 spans="1:26" ht="14.4">
      <c r="A882" s="191"/>
      <c r="B882" s="191"/>
      <c r="C882" s="191"/>
      <c r="D882" s="191"/>
      <c r="E882" s="191"/>
      <c r="F882" s="191"/>
      <c r="G882" s="386"/>
      <c r="H882" s="386"/>
      <c r="I882" s="46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 spans="1:26" ht="14.4">
      <c r="A883" s="191"/>
      <c r="B883" s="191"/>
      <c r="C883" s="191"/>
      <c r="D883" s="191"/>
      <c r="E883" s="191"/>
      <c r="F883" s="191"/>
      <c r="G883" s="386"/>
      <c r="H883" s="386"/>
      <c r="I883" s="46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 spans="1:26" ht="14.4">
      <c r="A884" s="191"/>
      <c r="B884" s="191"/>
      <c r="C884" s="191"/>
      <c r="D884" s="191"/>
      <c r="E884" s="191"/>
      <c r="F884" s="191"/>
      <c r="G884" s="386"/>
      <c r="H884" s="386"/>
      <c r="I884" s="46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 spans="1:26" ht="14.4">
      <c r="A885" s="191"/>
      <c r="B885" s="191"/>
      <c r="C885" s="191"/>
      <c r="D885" s="191"/>
      <c r="E885" s="191"/>
      <c r="F885" s="191"/>
      <c r="G885" s="386"/>
      <c r="H885" s="386"/>
      <c r="I885" s="46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 spans="1:26" ht="14.4">
      <c r="A886" s="191"/>
      <c r="B886" s="191"/>
      <c r="C886" s="191"/>
      <c r="D886" s="191"/>
      <c r="E886" s="191"/>
      <c r="F886" s="191"/>
      <c r="G886" s="386"/>
      <c r="H886" s="386"/>
      <c r="I886" s="46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 spans="1:26" ht="14.4">
      <c r="A887" s="191"/>
      <c r="B887" s="191"/>
      <c r="C887" s="191"/>
      <c r="D887" s="191"/>
      <c r="E887" s="191"/>
      <c r="F887" s="191"/>
      <c r="G887" s="386"/>
      <c r="H887" s="386"/>
      <c r="I887" s="46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 spans="1:26" ht="14.4">
      <c r="A888" s="191"/>
      <c r="B888" s="191"/>
      <c r="C888" s="191"/>
      <c r="D888" s="191"/>
      <c r="E888" s="191"/>
      <c r="F888" s="191"/>
      <c r="G888" s="386"/>
      <c r="H888" s="386"/>
      <c r="I888" s="46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 spans="1:26" ht="14.4">
      <c r="A889" s="191"/>
      <c r="B889" s="191"/>
      <c r="C889" s="191"/>
      <c r="D889" s="191"/>
      <c r="E889" s="191"/>
      <c r="F889" s="191"/>
      <c r="G889" s="386"/>
      <c r="H889" s="386"/>
      <c r="I889" s="46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 spans="1:26" ht="14.4">
      <c r="A890" s="191"/>
      <c r="B890" s="191"/>
      <c r="C890" s="191"/>
      <c r="D890" s="191"/>
      <c r="E890" s="191"/>
      <c r="F890" s="191"/>
      <c r="G890" s="386"/>
      <c r="H890" s="386"/>
      <c r="I890" s="46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 spans="1:26" ht="14.4">
      <c r="A891" s="191"/>
      <c r="B891" s="191"/>
      <c r="C891" s="191"/>
      <c r="D891" s="191"/>
      <c r="E891" s="191"/>
      <c r="F891" s="191"/>
      <c r="G891" s="386"/>
      <c r="H891" s="386"/>
      <c r="I891" s="46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 spans="1:26" ht="14.4">
      <c r="A892" s="191"/>
      <c r="B892" s="191"/>
      <c r="C892" s="191"/>
      <c r="D892" s="191"/>
      <c r="E892" s="191"/>
      <c r="F892" s="191"/>
      <c r="G892" s="386"/>
      <c r="H892" s="386"/>
      <c r="I892" s="46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 spans="1:26" ht="14.4">
      <c r="A893" s="191"/>
      <c r="B893" s="191"/>
      <c r="C893" s="191"/>
      <c r="D893" s="191"/>
      <c r="E893" s="191"/>
      <c r="F893" s="191"/>
      <c r="G893" s="386"/>
      <c r="H893" s="386"/>
      <c r="I893" s="46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 spans="1:26" ht="14.4">
      <c r="A894" s="191"/>
      <c r="B894" s="191"/>
      <c r="C894" s="191"/>
      <c r="D894" s="191"/>
      <c r="E894" s="191"/>
      <c r="F894" s="191"/>
      <c r="G894" s="386"/>
      <c r="H894" s="386"/>
      <c r="I894" s="46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 spans="1:26" ht="14.4">
      <c r="A895" s="191"/>
      <c r="B895" s="191"/>
      <c r="C895" s="191"/>
      <c r="D895" s="191"/>
      <c r="E895" s="191"/>
      <c r="F895" s="191"/>
      <c r="G895" s="386"/>
      <c r="H895" s="386"/>
      <c r="I895" s="46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 spans="1:26" ht="14.4">
      <c r="A896" s="191"/>
      <c r="B896" s="191"/>
      <c r="C896" s="191"/>
      <c r="D896" s="191"/>
      <c r="E896" s="191"/>
      <c r="F896" s="191"/>
      <c r="G896" s="386"/>
      <c r="H896" s="386"/>
      <c r="I896" s="46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 spans="1:26" ht="14.4">
      <c r="A897" s="191"/>
      <c r="B897" s="191"/>
      <c r="C897" s="191"/>
      <c r="D897" s="191"/>
      <c r="E897" s="191"/>
      <c r="F897" s="191"/>
      <c r="G897" s="386"/>
      <c r="H897" s="386"/>
      <c r="I897" s="46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 spans="1:26" ht="14.4">
      <c r="A898" s="191"/>
      <c r="B898" s="191"/>
      <c r="C898" s="191"/>
      <c r="D898" s="191"/>
      <c r="E898" s="191"/>
      <c r="F898" s="191"/>
      <c r="G898" s="386"/>
      <c r="H898" s="386"/>
      <c r="I898" s="46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 spans="1:26" ht="14.4">
      <c r="A899" s="191"/>
      <c r="B899" s="191"/>
      <c r="C899" s="191"/>
      <c r="D899" s="191"/>
      <c r="E899" s="191"/>
      <c r="F899" s="191"/>
      <c r="G899" s="386"/>
      <c r="H899" s="386"/>
      <c r="I899" s="46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 spans="1:26" ht="14.4">
      <c r="A900" s="191"/>
      <c r="B900" s="191"/>
      <c r="C900" s="191"/>
      <c r="D900" s="191"/>
      <c r="E900" s="191"/>
      <c r="F900" s="191"/>
      <c r="G900" s="386"/>
      <c r="H900" s="386"/>
      <c r="I900" s="46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 spans="1:26" ht="14.4">
      <c r="A901" s="191"/>
      <c r="B901" s="191"/>
      <c r="C901" s="191"/>
      <c r="D901" s="191"/>
      <c r="E901" s="191"/>
      <c r="F901" s="191"/>
      <c r="G901" s="386"/>
      <c r="H901" s="386"/>
      <c r="I901" s="46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 spans="1:26" ht="14.4">
      <c r="A902" s="191"/>
      <c r="B902" s="191"/>
      <c r="C902" s="191"/>
      <c r="D902" s="191"/>
      <c r="E902" s="191"/>
      <c r="F902" s="191"/>
      <c r="G902" s="386"/>
      <c r="H902" s="386"/>
      <c r="I902" s="46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 spans="1:26" ht="14.4">
      <c r="A903" s="191"/>
      <c r="B903" s="191"/>
      <c r="C903" s="191"/>
      <c r="D903" s="191"/>
      <c r="E903" s="191"/>
      <c r="F903" s="191"/>
      <c r="G903" s="386"/>
      <c r="H903" s="386"/>
      <c r="I903" s="46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 spans="1:26" ht="14.4">
      <c r="A904" s="191"/>
      <c r="B904" s="191"/>
      <c r="C904" s="191"/>
      <c r="D904" s="191"/>
      <c r="E904" s="191"/>
      <c r="F904" s="191"/>
      <c r="G904" s="386"/>
      <c r="H904" s="386"/>
      <c r="I904" s="46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 spans="1:26" ht="14.4">
      <c r="A905" s="191"/>
      <c r="B905" s="191"/>
      <c r="C905" s="191"/>
      <c r="D905" s="191"/>
      <c r="E905" s="191"/>
      <c r="F905" s="191"/>
      <c r="G905" s="386"/>
      <c r="H905" s="386"/>
      <c r="I905" s="46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 spans="1:26" ht="14.4">
      <c r="A906" s="191"/>
      <c r="B906" s="191"/>
      <c r="C906" s="191"/>
      <c r="D906" s="191"/>
      <c r="E906" s="191"/>
      <c r="F906" s="191"/>
      <c r="G906" s="386"/>
      <c r="H906" s="386"/>
      <c r="I906" s="46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 spans="1:26" ht="14.4">
      <c r="A907" s="191"/>
      <c r="B907" s="191"/>
      <c r="C907" s="191"/>
      <c r="D907" s="191"/>
      <c r="E907" s="191"/>
      <c r="F907" s="191"/>
      <c r="G907" s="386"/>
      <c r="H907" s="386"/>
      <c r="I907" s="46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 spans="1:26" ht="14.4">
      <c r="A908" s="191"/>
      <c r="B908" s="191"/>
      <c r="C908" s="191"/>
      <c r="D908" s="191"/>
      <c r="E908" s="191"/>
      <c r="F908" s="191"/>
      <c r="G908" s="386"/>
      <c r="H908" s="386"/>
      <c r="I908" s="46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 spans="1:26" ht="14.4">
      <c r="A909" s="191"/>
      <c r="B909" s="191"/>
      <c r="C909" s="191"/>
      <c r="D909" s="191"/>
      <c r="E909" s="191"/>
      <c r="F909" s="191"/>
      <c r="G909" s="386"/>
      <c r="H909" s="386"/>
      <c r="I909" s="46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 spans="1:26" ht="14.4">
      <c r="A910" s="191"/>
      <c r="B910" s="191"/>
      <c r="C910" s="191"/>
      <c r="D910" s="191"/>
      <c r="E910" s="191"/>
      <c r="F910" s="191"/>
      <c r="G910" s="386"/>
      <c r="H910" s="386"/>
      <c r="I910" s="46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 spans="1:26" ht="14.4">
      <c r="A911" s="191"/>
      <c r="B911" s="191"/>
      <c r="C911" s="191"/>
      <c r="D911" s="191"/>
      <c r="E911" s="191"/>
      <c r="F911" s="191"/>
      <c r="G911" s="386"/>
      <c r="H911" s="386"/>
      <c r="I911" s="46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 spans="1:26" ht="14.4">
      <c r="A912" s="191"/>
      <c r="B912" s="191"/>
      <c r="C912" s="191"/>
      <c r="D912" s="191"/>
      <c r="E912" s="191"/>
      <c r="F912" s="191"/>
      <c r="G912" s="386"/>
      <c r="H912" s="386"/>
      <c r="I912" s="46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 spans="1:26" ht="14.4">
      <c r="A913" s="191"/>
      <c r="B913" s="191"/>
      <c r="C913" s="191"/>
      <c r="D913" s="191"/>
      <c r="E913" s="191"/>
      <c r="F913" s="191"/>
      <c r="G913" s="386"/>
      <c r="H913" s="386"/>
      <c r="I913" s="46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 spans="1:26" ht="14.4">
      <c r="A914" s="191"/>
      <c r="B914" s="191"/>
      <c r="C914" s="191"/>
      <c r="D914" s="191"/>
      <c r="E914" s="191"/>
      <c r="F914" s="191"/>
      <c r="G914" s="386"/>
      <c r="H914" s="386"/>
      <c r="I914" s="46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 spans="1:26" ht="14.4">
      <c r="A915" s="191"/>
      <c r="B915" s="191"/>
      <c r="C915" s="191"/>
      <c r="D915" s="191"/>
      <c r="E915" s="191"/>
      <c r="F915" s="191"/>
      <c r="G915" s="386"/>
      <c r="H915" s="386"/>
      <c r="I915" s="46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 spans="1:26" ht="14.4">
      <c r="A916" s="191"/>
      <c r="B916" s="191"/>
      <c r="C916" s="191"/>
      <c r="D916" s="191"/>
      <c r="E916" s="191"/>
      <c r="F916" s="191"/>
      <c r="G916" s="386"/>
      <c r="H916" s="386"/>
      <c r="I916" s="46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 spans="1:26" ht="14.4">
      <c r="A917" s="191"/>
      <c r="B917" s="191"/>
      <c r="C917" s="191"/>
      <c r="D917" s="191"/>
      <c r="E917" s="191"/>
      <c r="F917" s="191"/>
      <c r="G917" s="386"/>
      <c r="H917" s="386"/>
      <c r="I917" s="46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 spans="1:26" ht="14.4">
      <c r="A918" s="191"/>
      <c r="B918" s="191"/>
      <c r="C918" s="191"/>
      <c r="D918" s="191"/>
      <c r="E918" s="191"/>
      <c r="F918" s="191"/>
      <c r="G918" s="386"/>
      <c r="H918" s="386"/>
      <c r="I918" s="46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 spans="1:26" ht="14.4">
      <c r="A919" s="191"/>
      <c r="B919" s="191"/>
      <c r="C919" s="191"/>
      <c r="D919" s="191"/>
      <c r="E919" s="191"/>
      <c r="F919" s="191"/>
      <c r="G919" s="386"/>
      <c r="H919" s="386"/>
      <c r="I919" s="46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 spans="1:26" ht="14.4">
      <c r="A920" s="191"/>
      <c r="B920" s="191"/>
      <c r="C920" s="191"/>
      <c r="D920" s="191"/>
      <c r="E920" s="191"/>
      <c r="F920" s="191"/>
      <c r="G920" s="386"/>
      <c r="H920" s="386"/>
      <c r="I920" s="46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 spans="1:26" ht="14.4">
      <c r="A921" s="191"/>
      <c r="B921" s="191"/>
      <c r="C921" s="191"/>
      <c r="D921" s="191"/>
      <c r="E921" s="191"/>
      <c r="F921" s="191"/>
      <c r="G921" s="386"/>
      <c r="H921" s="386"/>
      <c r="I921" s="46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 spans="1:26" ht="14.4">
      <c r="A922" s="191"/>
      <c r="B922" s="191"/>
      <c r="C922" s="191"/>
      <c r="D922" s="191"/>
      <c r="E922" s="191"/>
      <c r="F922" s="191"/>
      <c r="G922" s="386"/>
      <c r="H922" s="386"/>
      <c r="I922" s="46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 spans="1:26" ht="14.4">
      <c r="A923" s="191"/>
      <c r="B923" s="191"/>
      <c r="C923" s="191"/>
      <c r="D923" s="191"/>
      <c r="E923" s="191"/>
      <c r="F923" s="191"/>
      <c r="G923" s="386"/>
      <c r="H923" s="386"/>
      <c r="I923" s="46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 spans="1:26" ht="14.4">
      <c r="A924" s="191"/>
      <c r="B924" s="191"/>
      <c r="C924" s="191"/>
      <c r="D924" s="191"/>
      <c r="E924" s="191"/>
      <c r="F924" s="191"/>
      <c r="G924" s="386"/>
      <c r="H924" s="386"/>
      <c r="I924" s="46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 spans="1:26" ht="14.4">
      <c r="A925" s="191"/>
      <c r="B925" s="191"/>
      <c r="C925" s="191"/>
      <c r="D925" s="191"/>
      <c r="E925" s="191"/>
      <c r="F925" s="191"/>
      <c r="G925" s="386"/>
      <c r="H925" s="386"/>
      <c r="I925" s="46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 spans="1:26" ht="14.4">
      <c r="A926" s="191"/>
      <c r="B926" s="191"/>
      <c r="C926" s="191"/>
      <c r="D926" s="191"/>
      <c r="E926" s="191"/>
      <c r="F926" s="191"/>
      <c r="G926" s="386"/>
      <c r="H926" s="386"/>
      <c r="I926" s="46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 spans="1:26" ht="14.4">
      <c r="A927" s="191"/>
      <c r="B927" s="191"/>
      <c r="C927" s="191"/>
      <c r="D927" s="191"/>
      <c r="E927" s="191"/>
      <c r="F927" s="191"/>
      <c r="G927" s="386"/>
      <c r="H927" s="386"/>
      <c r="I927" s="46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 spans="1:26" ht="14.4">
      <c r="A928" s="191"/>
      <c r="B928" s="191"/>
      <c r="C928" s="191"/>
      <c r="D928" s="191"/>
      <c r="E928" s="191"/>
      <c r="F928" s="191"/>
      <c r="G928" s="386"/>
      <c r="H928" s="386"/>
      <c r="I928" s="46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 spans="1:26" ht="14.4">
      <c r="A929" s="191"/>
      <c r="B929" s="191"/>
      <c r="C929" s="191"/>
      <c r="D929" s="191"/>
      <c r="E929" s="191"/>
      <c r="F929" s="191"/>
      <c r="G929" s="386"/>
      <c r="H929" s="386"/>
      <c r="I929" s="46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 spans="1:26" ht="14.4">
      <c r="A930" s="191"/>
      <c r="B930" s="191"/>
      <c r="C930" s="191"/>
      <c r="D930" s="191"/>
      <c r="E930" s="191"/>
      <c r="F930" s="191"/>
      <c r="G930" s="386"/>
      <c r="H930" s="386"/>
      <c r="I930" s="46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 spans="1:26" ht="14.4">
      <c r="A931" s="191"/>
      <c r="B931" s="191"/>
      <c r="C931" s="191"/>
      <c r="D931" s="191"/>
      <c r="E931" s="191"/>
      <c r="F931" s="191"/>
      <c r="G931" s="386"/>
      <c r="H931" s="386"/>
      <c r="I931" s="46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 spans="1:26" ht="14.4">
      <c r="A932" s="191"/>
      <c r="B932" s="191"/>
      <c r="C932" s="191"/>
      <c r="D932" s="191"/>
      <c r="E932" s="191"/>
      <c r="F932" s="191"/>
      <c r="G932" s="386"/>
      <c r="H932" s="386"/>
      <c r="I932" s="46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 spans="1:26" ht="14.4">
      <c r="A933" s="191"/>
      <c r="B933" s="191"/>
      <c r="C933" s="191"/>
      <c r="D933" s="191"/>
      <c r="E933" s="191"/>
      <c r="F933" s="191"/>
      <c r="G933" s="386"/>
      <c r="H933" s="386"/>
      <c r="I933" s="46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 spans="1:26" ht="14.4">
      <c r="A934" s="191"/>
      <c r="B934" s="191"/>
      <c r="C934" s="191"/>
      <c r="D934" s="191"/>
      <c r="E934" s="191"/>
      <c r="F934" s="191"/>
      <c r="G934" s="386"/>
      <c r="H934" s="386"/>
      <c r="I934" s="46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 spans="1:26" ht="14.4">
      <c r="A935" s="191"/>
      <c r="B935" s="191"/>
      <c r="C935" s="191"/>
      <c r="D935" s="191"/>
      <c r="E935" s="191"/>
      <c r="F935" s="191"/>
      <c r="G935" s="386"/>
      <c r="H935" s="386"/>
      <c r="I935" s="46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 spans="1:26" ht="14.4">
      <c r="A936" s="191"/>
      <c r="B936" s="191"/>
      <c r="C936" s="191"/>
      <c r="D936" s="191"/>
      <c r="E936" s="191"/>
      <c r="F936" s="191"/>
      <c r="G936" s="386"/>
      <c r="H936" s="386"/>
      <c r="I936" s="46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 spans="1:26" ht="14.4">
      <c r="A937" s="191"/>
      <c r="B937" s="191"/>
      <c r="C937" s="191"/>
      <c r="D937" s="191"/>
      <c r="E937" s="191"/>
      <c r="F937" s="191"/>
      <c r="G937" s="386"/>
      <c r="H937" s="386"/>
      <c r="I937" s="46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 spans="1:26" ht="14.4">
      <c r="A938" s="191"/>
      <c r="B938" s="191"/>
      <c r="C938" s="191"/>
      <c r="D938" s="191"/>
      <c r="E938" s="191"/>
      <c r="F938" s="191"/>
      <c r="G938" s="386"/>
      <c r="H938" s="386"/>
      <c r="I938" s="46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 spans="1:26" ht="14.4">
      <c r="A939" s="191"/>
      <c r="B939" s="191"/>
      <c r="C939" s="191"/>
      <c r="D939" s="191"/>
      <c r="E939" s="191"/>
      <c r="F939" s="191"/>
      <c r="G939" s="386"/>
      <c r="H939" s="386"/>
      <c r="I939" s="46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 spans="1:26" ht="14.4">
      <c r="A940" s="191"/>
      <c r="B940" s="191"/>
      <c r="C940" s="191"/>
      <c r="D940" s="191"/>
      <c r="E940" s="191"/>
      <c r="F940" s="191"/>
      <c r="G940" s="386"/>
      <c r="H940" s="386"/>
      <c r="I940" s="46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 spans="1:26" ht="14.4">
      <c r="A941" s="191"/>
      <c r="B941" s="191"/>
      <c r="C941" s="191"/>
      <c r="D941" s="191"/>
      <c r="E941" s="191"/>
      <c r="F941" s="191"/>
      <c r="G941" s="386"/>
      <c r="H941" s="386"/>
      <c r="I941" s="46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 spans="1:26" ht="14.4">
      <c r="A942" s="191"/>
      <c r="B942" s="191"/>
      <c r="C942" s="191"/>
      <c r="D942" s="191"/>
      <c r="E942" s="191"/>
      <c r="F942" s="191"/>
      <c r="G942" s="386"/>
      <c r="H942" s="386"/>
      <c r="I942" s="46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 spans="1:26" ht="14.4">
      <c r="A943" s="191"/>
      <c r="B943" s="191"/>
      <c r="C943" s="191"/>
      <c r="D943" s="191"/>
      <c r="E943" s="191"/>
      <c r="F943" s="191"/>
      <c r="G943" s="386"/>
      <c r="H943" s="386"/>
      <c r="I943" s="46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 spans="1:26" ht="14.4">
      <c r="A944" s="191"/>
      <c r="B944" s="191"/>
      <c r="C944" s="191"/>
      <c r="D944" s="191"/>
      <c r="E944" s="191"/>
      <c r="F944" s="191"/>
      <c r="G944" s="386"/>
      <c r="H944" s="386"/>
      <c r="I944" s="46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 spans="1:26" ht="14.4">
      <c r="A945" s="191"/>
      <c r="B945" s="191"/>
      <c r="C945" s="191"/>
      <c r="D945" s="191"/>
      <c r="E945" s="191"/>
      <c r="F945" s="191"/>
      <c r="G945" s="386"/>
      <c r="H945" s="386"/>
      <c r="I945" s="46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 spans="1:26" ht="14.4">
      <c r="A946" s="191"/>
      <c r="B946" s="191"/>
      <c r="C946" s="191"/>
      <c r="D946" s="191"/>
      <c r="E946" s="191"/>
      <c r="F946" s="191"/>
      <c r="G946" s="386"/>
      <c r="H946" s="386"/>
      <c r="I946" s="46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 spans="1:26" ht="14.4">
      <c r="A947" s="191"/>
      <c r="B947" s="191"/>
      <c r="C947" s="191"/>
      <c r="D947" s="191"/>
      <c r="E947" s="191"/>
      <c r="F947" s="191"/>
      <c r="G947" s="386"/>
      <c r="H947" s="386"/>
      <c r="I947" s="46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 spans="1:26" ht="14.4">
      <c r="A948" s="191"/>
      <c r="B948" s="191"/>
      <c r="C948" s="191"/>
      <c r="D948" s="191"/>
      <c r="E948" s="191"/>
      <c r="F948" s="191"/>
      <c r="G948" s="386"/>
      <c r="H948" s="386"/>
      <c r="I948" s="46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 spans="1:26" ht="14.4">
      <c r="A949" s="191"/>
      <c r="B949" s="191"/>
      <c r="C949" s="191"/>
      <c r="D949" s="191"/>
      <c r="E949" s="191"/>
      <c r="F949" s="191"/>
      <c r="G949" s="386"/>
      <c r="H949" s="386"/>
      <c r="I949" s="46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 spans="1:26" ht="14.4">
      <c r="A950" s="191"/>
      <c r="B950" s="191"/>
      <c r="C950" s="191"/>
      <c r="D950" s="191"/>
      <c r="E950" s="191"/>
      <c r="F950" s="191"/>
      <c r="G950" s="386"/>
      <c r="H950" s="386"/>
      <c r="I950" s="46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 spans="1:26" ht="14.4">
      <c r="A951" s="191"/>
      <c r="B951" s="191"/>
      <c r="C951" s="191"/>
      <c r="D951" s="191"/>
      <c r="E951" s="191"/>
      <c r="F951" s="191"/>
      <c r="G951" s="386"/>
      <c r="H951" s="386"/>
      <c r="I951" s="46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 spans="1:26" ht="14.4">
      <c r="A952" s="191"/>
      <c r="B952" s="191"/>
      <c r="C952" s="191"/>
      <c r="D952" s="191"/>
      <c r="E952" s="191"/>
      <c r="F952" s="191"/>
      <c r="G952" s="386"/>
      <c r="H952" s="386"/>
      <c r="I952" s="46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 spans="1:26" ht="14.4">
      <c r="A953" s="191"/>
      <c r="B953" s="191"/>
      <c r="C953" s="191"/>
      <c r="D953" s="191"/>
      <c r="E953" s="191"/>
      <c r="F953" s="191"/>
      <c r="G953" s="386"/>
      <c r="H953" s="386"/>
      <c r="I953" s="46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 spans="1:26" ht="14.4">
      <c r="A954" s="191"/>
      <c r="B954" s="191"/>
      <c r="C954" s="191"/>
      <c r="D954" s="191"/>
      <c r="E954" s="191"/>
      <c r="F954" s="191"/>
      <c r="G954" s="386"/>
      <c r="H954" s="386"/>
      <c r="I954" s="46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 spans="1:26" ht="14.4">
      <c r="A955" s="191"/>
      <c r="B955" s="191"/>
      <c r="C955" s="191"/>
      <c r="D955" s="191"/>
      <c r="E955" s="191"/>
      <c r="F955" s="191"/>
      <c r="G955" s="386"/>
      <c r="H955" s="386"/>
      <c r="I955" s="46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 spans="1:26" ht="14.4">
      <c r="A956" s="191"/>
      <c r="B956" s="191"/>
      <c r="C956" s="191"/>
      <c r="D956" s="191"/>
      <c r="E956" s="191"/>
      <c r="F956" s="191"/>
      <c r="G956" s="386"/>
      <c r="H956" s="386"/>
      <c r="I956" s="46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 spans="1:26" ht="14.4">
      <c r="A957" s="191"/>
      <c r="B957" s="191"/>
      <c r="C957" s="191"/>
      <c r="D957" s="191"/>
      <c r="E957" s="191"/>
      <c r="F957" s="191"/>
      <c r="G957" s="386"/>
      <c r="H957" s="386"/>
      <c r="I957" s="46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 spans="1:26" ht="14.4">
      <c r="A958" s="191"/>
      <c r="B958" s="191"/>
      <c r="C958" s="191"/>
      <c r="D958" s="191"/>
      <c r="E958" s="191"/>
      <c r="F958" s="191"/>
      <c r="G958" s="386"/>
      <c r="H958" s="386"/>
      <c r="I958" s="46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 spans="1:26" ht="14.4">
      <c r="A959" s="191"/>
      <c r="B959" s="191"/>
      <c r="C959" s="191"/>
      <c r="D959" s="191"/>
      <c r="E959" s="191"/>
      <c r="F959" s="191"/>
      <c r="G959" s="386"/>
      <c r="H959" s="386"/>
      <c r="I959" s="46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 spans="1:26" ht="14.4">
      <c r="A960" s="191"/>
      <c r="B960" s="191"/>
      <c r="C960" s="191"/>
      <c r="D960" s="191"/>
      <c r="E960" s="191"/>
      <c r="F960" s="191"/>
      <c r="G960" s="386"/>
      <c r="H960" s="386"/>
      <c r="I960" s="46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 spans="1:26" ht="14.4">
      <c r="A961" s="191"/>
      <c r="B961" s="191"/>
      <c r="C961" s="191"/>
      <c r="D961" s="191"/>
      <c r="E961" s="191"/>
      <c r="F961" s="191"/>
      <c r="G961" s="386"/>
      <c r="H961" s="386"/>
      <c r="I961" s="46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 spans="1:26" ht="14.4">
      <c r="A962" s="191"/>
      <c r="B962" s="191"/>
      <c r="C962" s="191"/>
      <c r="D962" s="191"/>
      <c r="E962" s="191"/>
      <c r="F962" s="191"/>
      <c r="G962" s="386"/>
      <c r="H962" s="386"/>
      <c r="I962" s="46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 spans="1:26" ht="14.4">
      <c r="A963" s="191"/>
      <c r="B963" s="191"/>
      <c r="C963" s="191"/>
      <c r="D963" s="191"/>
      <c r="E963" s="191"/>
      <c r="F963" s="191"/>
      <c r="G963" s="386"/>
      <c r="H963" s="386"/>
      <c r="I963" s="46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  <row r="964" spans="1:26" ht="14.4">
      <c r="A964" s="191"/>
      <c r="B964" s="191"/>
      <c r="C964" s="191"/>
      <c r="D964" s="191"/>
      <c r="E964" s="191"/>
      <c r="F964" s="191"/>
      <c r="G964" s="386"/>
      <c r="H964" s="386"/>
      <c r="I964" s="463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</row>
    <row r="965" spans="1:26" ht="14.4">
      <c r="A965" s="191"/>
      <c r="B965" s="191"/>
      <c r="C965" s="191"/>
      <c r="D965" s="191"/>
      <c r="E965" s="191"/>
      <c r="F965" s="191"/>
      <c r="G965" s="386"/>
      <c r="H965" s="386"/>
      <c r="I965" s="463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</row>
    <row r="966" spans="1:26" ht="14.4">
      <c r="A966" s="191"/>
      <c r="B966" s="191"/>
      <c r="C966" s="191"/>
      <c r="D966" s="191"/>
      <c r="E966" s="191"/>
      <c r="F966" s="191"/>
      <c r="G966" s="386"/>
      <c r="H966" s="386"/>
      <c r="I966" s="463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</row>
    <row r="967" spans="1:26" ht="14.4">
      <c r="A967" s="191"/>
      <c r="B967" s="191"/>
      <c r="C967" s="191"/>
      <c r="D967" s="191"/>
      <c r="E967" s="191"/>
      <c r="F967" s="191"/>
      <c r="G967" s="386"/>
      <c r="H967" s="386"/>
      <c r="I967" s="463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</row>
    <row r="968" spans="1:26" ht="14.4">
      <c r="A968" s="191"/>
      <c r="B968" s="191"/>
      <c r="C968" s="191"/>
      <c r="D968" s="191"/>
      <c r="E968" s="191"/>
      <c r="F968" s="191"/>
      <c r="G968" s="386"/>
      <c r="H968" s="386"/>
      <c r="I968" s="463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</row>
    <row r="969" spans="1:26" ht="14.4">
      <c r="A969" s="191"/>
      <c r="B969" s="191"/>
      <c r="C969" s="191"/>
      <c r="D969" s="191"/>
      <c r="E969" s="191"/>
      <c r="F969" s="191"/>
      <c r="G969" s="386"/>
      <c r="H969" s="386"/>
      <c r="I969" s="463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</row>
    <row r="970" spans="1:26" ht="14.4">
      <c r="A970" s="191"/>
      <c r="B970" s="191"/>
      <c r="C970" s="191"/>
      <c r="D970" s="191"/>
      <c r="E970" s="191"/>
      <c r="F970" s="191"/>
      <c r="G970" s="386"/>
      <c r="H970" s="386"/>
      <c r="I970" s="463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</row>
    <row r="971" spans="1:26" ht="14.4">
      <c r="A971" s="191"/>
      <c r="B971" s="191"/>
      <c r="C971" s="191"/>
      <c r="D971" s="191"/>
      <c r="E971" s="191"/>
      <c r="F971" s="191"/>
      <c r="G971" s="386"/>
      <c r="H971" s="386"/>
      <c r="I971" s="463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</row>
    <row r="972" spans="1:26" ht="14.4">
      <c r="A972" s="191"/>
      <c r="B972" s="191"/>
      <c r="C972" s="191"/>
      <c r="D972" s="191"/>
      <c r="E972" s="191"/>
      <c r="F972" s="191"/>
      <c r="G972" s="386"/>
      <c r="H972" s="386"/>
      <c r="I972" s="463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</row>
    <row r="973" spans="1:26" ht="14.4">
      <c r="A973" s="191"/>
      <c r="B973" s="191"/>
      <c r="C973" s="191"/>
      <c r="D973" s="191"/>
      <c r="E973" s="191"/>
      <c r="F973" s="191"/>
      <c r="G973" s="386"/>
      <c r="H973" s="386"/>
      <c r="I973" s="463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</row>
    <row r="974" spans="1:26" ht="14.4">
      <c r="A974" s="191"/>
      <c r="B974" s="191"/>
      <c r="C974" s="191"/>
      <c r="D974" s="191"/>
      <c r="E974" s="191"/>
      <c r="F974" s="191"/>
      <c r="G974" s="386"/>
      <c r="H974" s="386"/>
      <c r="I974" s="463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</row>
  </sheetData>
  <mergeCells count="12">
    <mergeCell ref="A148:A159"/>
    <mergeCell ref="A160:A182"/>
    <mergeCell ref="A1:B1"/>
    <mergeCell ref="A3:A22"/>
    <mergeCell ref="A23:A60"/>
    <mergeCell ref="A61:A87"/>
    <mergeCell ref="A88:A147"/>
    <mergeCell ref="A245:A307"/>
    <mergeCell ref="A308:A325"/>
    <mergeCell ref="H327:I327"/>
    <mergeCell ref="K327:L327"/>
    <mergeCell ref="A344:B3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Z974"/>
  <sheetViews>
    <sheetView workbookViewId="0"/>
  </sheetViews>
  <sheetFormatPr baseColWidth="10" defaultColWidth="12.6640625" defaultRowHeight="15.75" customHeight="1"/>
  <cols>
    <col min="2" max="2" width="38.21875" customWidth="1"/>
    <col min="8" max="8" width="16" customWidth="1"/>
    <col min="11" max="11" width="15.44140625" customWidth="1"/>
  </cols>
  <sheetData>
    <row r="1" spans="1:26" ht="28.8">
      <c r="A1" s="681" t="s">
        <v>124</v>
      </c>
      <c r="B1" s="652"/>
      <c r="C1" s="1" t="s">
        <v>125</v>
      </c>
      <c r="D1" s="2" t="s">
        <v>126</v>
      </c>
      <c r="E1" s="2" t="s">
        <v>127</v>
      </c>
      <c r="F1" s="2" t="s">
        <v>0</v>
      </c>
      <c r="G1" s="186" t="s">
        <v>1</v>
      </c>
      <c r="H1" s="186" t="s">
        <v>128</v>
      </c>
      <c r="I1" s="187" t="s">
        <v>129</v>
      </c>
      <c r="J1" s="188" t="s">
        <v>130</v>
      </c>
      <c r="K1" s="189" t="s">
        <v>131</v>
      </c>
      <c r="L1" s="190" t="s">
        <v>2</v>
      </c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4.4">
      <c r="A2" s="192"/>
      <c r="B2" s="192"/>
      <c r="C2" s="193"/>
      <c r="D2" s="194"/>
      <c r="E2" s="194"/>
      <c r="F2" s="194"/>
      <c r="G2" s="195"/>
      <c r="H2" s="195"/>
      <c r="I2" s="196"/>
      <c r="J2" s="197"/>
      <c r="K2" s="198"/>
      <c r="L2" s="198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spans="1:26" ht="14.4">
      <c r="A3" s="682" t="s">
        <v>3</v>
      </c>
      <c r="B3" s="199" t="s">
        <v>4</v>
      </c>
      <c r="C3" s="200">
        <f>26+6</f>
        <v>32</v>
      </c>
      <c r="D3" s="201"/>
      <c r="E3" s="201"/>
      <c r="F3" s="202">
        <f t="shared" ref="F3:F21" si="0">+C3+D3-E3</f>
        <v>32</v>
      </c>
      <c r="G3" s="203">
        <v>63202</v>
      </c>
      <c r="H3" s="203">
        <v>65000</v>
      </c>
      <c r="I3" s="204"/>
      <c r="J3" s="205">
        <f t="shared" ref="J3:J21" si="1">+H3*I3</f>
        <v>0</v>
      </c>
      <c r="K3" s="205">
        <f t="shared" ref="K3:K21" si="2">+(H3-G3)*I3</f>
        <v>0</v>
      </c>
      <c r="L3" s="205">
        <f t="shared" ref="L3:L21" si="3">+G3*F3</f>
        <v>2022464</v>
      </c>
      <c r="M3" s="206">
        <f t="shared" ref="M3:M21" si="4">F3*H3</f>
        <v>2080000</v>
      </c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26" ht="14.4">
      <c r="A4" s="654"/>
      <c r="B4" s="199" t="s">
        <v>5</v>
      </c>
      <c r="C4" s="200">
        <v>7.75</v>
      </c>
      <c r="D4" s="201"/>
      <c r="E4" s="201"/>
      <c r="F4" s="202">
        <f t="shared" si="0"/>
        <v>7.75</v>
      </c>
      <c r="G4" s="203">
        <v>60456</v>
      </c>
      <c r="H4" s="203">
        <v>62000</v>
      </c>
      <c r="I4" s="204"/>
      <c r="J4" s="205">
        <f t="shared" si="1"/>
        <v>0</v>
      </c>
      <c r="K4" s="205">
        <f t="shared" si="2"/>
        <v>0</v>
      </c>
      <c r="L4" s="205">
        <f t="shared" si="3"/>
        <v>468534</v>
      </c>
      <c r="M4" s="207">
        <f t="shared" si="4"/>
        <v>480500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26" ht="14.4">
      <c r="A5" s="654"/>
      <c r="B5" s="199" t="s">
        <v>132</v>
      </c>
      <c r="C5" s="200">
        <v>50</v>
      </c>
      <c r="D5" s="201"/>
      <c r="E5" s="201"/>
      <c r="F5" s="202">
        <f t="shared" si="0"/>
        <v>50</v>
      </c>
      <c r="G5" s="203">
        <v>50000</v>
      </c>
      <c r="H5" s="203">
        <v>55000</v>
      </c>
      <c r="I5" s="204"/>
      <c r="J5" s="205">
        <f t="shared" si="1"/>
        <v>0</v>
      </c>
      <c r="K5" s="205">
        <f t="shared" si="2"/>
        <v>0</v>
      </c>
      <c r="L5" s="205">
        <f t="shared" si="3"/>
        <v>2500000</v>
      </c>
      <c r="M5" s="207">
        <f t="shared" si="4"/>
        <v>2750000</v>
      </c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26" ht="14.4">
      <c r="A6" s="654"/>
      <c r="B6" s="199" t="s">
        <v>20</v>
      </c>
      <c r="C6" s="200">
        <v>1</v>
      </c>
      <c r="D6" s="201"/>
      <c r="E6" s="201"/>
      <c r="F6" s="202">
        <f t="shared" si="0"/>
        <v>1</v>
      </c>
      <c r="G6" s="203">
        <v>59000</v>
      </c>
      <c r="H6" s="203">
        <v>62000</v>
      </c>
      <c r="I6" s="204"/>
      <c r="J6" s="205">
        <f t="shared" si="1"/>
        <v>0</v>
      </c>
      <c r="K6" s="205">
        <f t="shared" si="2"/>
        <v>0</v>
      </c>
      <c r="L6" s="205">
        <f t="shared" si="3"/>
        <v>59000</v>
      </c>
      <c r="M6" s="207">
        <f t="shared" si="4"/>
        <v>62000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14.4">
      <c r="A7" s="654"/>
      <c r="B7" s="199" t="s">
        <v>7</v>
      </c>
      <c r="C7" s="200">
        <f>0.5+1</f>
        <v>1.5</v>
      </c>
      <c r="D7" s="201"/>
      <c r="E7" s="201"/>
      <c r="F7" s="202">
        <f t="shared" si="0"/>
        <v>1.5</v>
      </c>
      <c r="G7" s="203">
        <v>50262</v>
      </c>
      <c r="H7" s="203">
        <v>52000</v>
      </c>
      <c r="I7" s="204"/>
      <c r="J7" s="205">
        <f t="shared" si="1"/>
        <v>0</v>
      </c>
      <c r="K7" s="205">
        <f t="shared" si="2"/>
        <v>0</v>
      </c>
      <c r="L7" s="205">
        <f t="shared" si="3"/>
        <v>75393</v>
      </c>
      <c r="M7" s="207">
        <f t="shared" si="4"/>
        <v>78000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14.4">
      <c r="A8" s="654"/>
      <c r="B8" s="199" t="s">
        <v>8</v>
      </c>
      <c r="C8" s="200"/>
      <c r="D8" s="201"/>
      <c r="E8" s="201"/>
      <c r="F8" s="202">
        <f t="shared" si="0"/>
        <v>0</v>
      </c>
      <c r="G8" s="203">
        <v>57359</v>
      </c>
      <c r="H8" s="203">
        <v>62000</v>
      </c>
      <c r="I8" s="204"/>
      <c r="J8" s="205">
        <f t="shared" si="1"/>
        <v>0</v>
      </c>
      <c r="K8" s="205">
        <f t="shared" si="2"/>
        <v>0</v>
      </c>
      <c r="L8" s="205">
        <f t="shared" si="3"/>
        <v>0</v>
      </c>
      <c r="M8" s="207">
        <f t="shared" si="4"/>
        <v>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spans="1:26" ht="14.4">
      <c r="A9" s="654"/>
      <c r="B9" s="199" t="s">
        <v>9</v>
      </c>
      <c r="C9" s="200">
        <f>119.5+2</f>
        <v>121.5</v>
      </c>
      <c r="D9" s="201"/>
      <c r="E9" s="201"/>
      <c r="F9" s="202">
        <f t="shared" si="0"/>
        <v>121.5</v>
      </c>
      <c r="G9" s="203">
        <v>80000</v>
      </c>
      <c r="H9" s="203">
        <v>85000</v>
      </c>
      <c r="I9" s="204"/>
      <c r="J9" s="205">
        <f t="shared" si="1"/>
        <v>0</v>
      </c>
      <c r="K9" s="205">
        <f t="shared" si="2"/>
        <v>0</v>
      </c>
      <c r="L9" s="205">
        <f t="shared" si="3"/>
        <v>9720000</v>
      </c>
      <c r="M9" s="207">
        <f t="shared" si="4"/>
        <v>10327500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spans="1:26" ht="14.4">
      <c r="A10" s="654"/>
      <c r="B10" s="199" t="s">
        <v>133</v>
      </c>
      <c r="C10" s="208">
        <v>3</v>
      </c>
      <c r="D10" s="201"/>
      <c r="E10" s="201"/>
      <c r="F10" s="202">
        <f t="shared" si="0"/>
        <v>3</v>
      </c>
      <c r="G10" s="203">
        <v>84091</v>
      </c>
      <c r="H10" s="203">
        <v>85000</v>
      </c>
      <c r="I10" s="204"/>
      <c r="J10" s="205">
        <f t="shared" si="1"/>
        <v>0</v>
      </c>
      <c r="K10" s="205">
        <f t="shared" si="2"/>
        <v>0</v>
      </c>
      <c r="L10" s="205">
        <f t="shared" si="3"/>
        <v>252273</v>
      </c>
      <c r="M10" s="207">
        <f t="shared" si="4"/>
        <v>255000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spans="1:26" ht="14.4">
      <c r="A11" s="654"/>
      <c r="B11" s="199" t="s">
        <v>10</v>
      </c>
      <c r="C11" s="200"/>
      <c r="D11" s="201"/>
      <c r="E11" s="201"/>
      <c r="F11" s="202">
        <f t="shared" si="0"/>
        <v>0</v>
      </c>
      <c r="G11" s="203">
        <v>84091</v>
      </c>
      <c r="H11" s="203">
        <v>85000</v>
      </c>
      <c r="I11" s="204"/>
      <c r="J11" s="205">
        <f t="shared" si="1"/>
        <v>0</v>
      </c>
      <c r="K11" s="205">
        <f t="shared" si="2"/>
        <v>0</v>
      </c>
      <c r="L11" s="205">
        <f t="shared" si="3"/>
        <v>0</v>
      </c>
      <c r="M11" s="207">
        <f t="shared" si="4"/>
        <v>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spans="1:26" ht="14.4">
      <c r="A12" s="654"/>
      <c r="B12" s="199" t="s">
        <v>11</v>
      </c>
      <c r="C12" s="200">
        <f>17</f>
        <v>17</v>
      </c>
      <c r="D12" s="201"/>
      <c r="E12" s="201"/>
      <c r="F12" s="202">
        <f t="shared" si="0"/>
        <v>17</v>
      </c>
      <c r="G12" s="203">
        <v>50682</v>
      </c>
      <c r="H12" s="203">
        <v>52000</v>
      </c>
      <c r="I12" s="204"/>
      <c r="J12" s="205">
        <f t="shared" si="1"/>
        <v>0</v>
      </c>
      <c r="K12" s="205">
        <f t="shared" si="2"/>
        <v>0</v>
      </c>
      <c r="L12" s="205">
        <f t="shared" si="3"/>
        <v>861594</v>
      </c>
      <c r="M12" s="207">
        <f t="shared" si="4"/>
        <v>884000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spans="1:26" ht="14.4">
      <c r="A13" s="654"/>
      <c r="B13" s="199" t="s">
        <v>12</v>
      </c>
      <c r="C13" s="200">
        <f>9+2</f>
        <v>11</v>
      </c>
      <c r="D13" s="201"/>
      <c r="E13" s="201"/>
      <c r="F13" s="202">
        <f t="shared" si="0"/>
        <v>11</v>
      </c>
      <c r="G13" s="203">
        <v>59857</v>
      </c>
      <c r="H13" s="203">
        <v>61000</v>
      </c>
      <c r="I13" s="204"/>
      <c r="J13" s="205">
        <f t="shared" si="1"/>
        <v>0</v>
      </c>
      <c r="K13" s="205">
        <f t="shared" si="2"/>
        <v>0</v>
      </c>
      <c r="L13" s="205">
        <f t="shared" si="3"/>
        <v>658427</v>
      </c>
      <c r="M13" s="207">
        <f t="shared" si="4"/>
        <v>671000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spans="1:26" ht="14.4">
      <c r="A14" s="654"/>
      <c r="B14" s="199" t="s">
        <v>13</v>
      </c>
      <c r="C14" s="200">
        <f>212</f>
        <v>212</v>
      </c>
      <c r="D14" s="201"/>
      <c r="E14" s="201"/>
      <c r="F14" s="202">
        <f t="shared" si="0"/>
        <v>212</v>
      </c>
      <c r="G14" s="203">
        <v>45494</v>
      </c>
      <c r="H14" s="203">
        <v>47000</v>
      </c>
      <c r="I14" s="204"/>
      <c r="J14" s="205">
        <f t="shared" si="1"/>
        <v>0</v>
      </c>
      <c r="K14" s="205">
        <f t="shared" si="2"/>
        <v>0</v>
      </c>
      <c r="L14" s="205">
        <f t="shared" si="3"/>
        <v>9644728</v>
      </c>
      <c r="M14" s="207">
        <f t="shared" si="4"/>
        <v>9964000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spans="1:26" ht="14.4">
      <c r="A15" s="654"/>
      <c r="B15" s="209" t="s">
        <v>14</v>
      </c>
      <c r="C15" s="200"/>
      <c r="D15" s="201"/>
      <c r="E15" s="201"/>
      <c r="F15" s="202">
        <f t="shared" si="0"/>
        <v>0</v>
      </c>
      <c r="G15" s="203">
        <v>84091</v>
      </c>
      <c r="H15" s="203">
        <v>85000</v>
      </c>
      <c r="I15" s="204"/>
      <c r="J15" s="205">
        <f t="shared" si="1"/>
        <v>0</v>
      </c>
      <c r="K15" s="205">
        <f t="shared" si="2"/>
        <v>0</v>
      </c>
      <c r="L15" s="205">
        <f t="shared" si="3"/>
        <v>0</v>
      </c>
      <c r="M15" s="207">
        <f t="shared" si="4"/>
        <v>0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ht="14.4">
      <c r="A16" s="654"/>
      <c r="B16" s="209" t="s">
        <v>15</v>
      </c>
      <c r="C16" s="200"/>
      <c r="D16" s="201"/>
      <c r="E16" s="201"/>
      <c r="F16" s="202">
        <f t="shared" si="0"/>
        <v>0</v>
      </c>
      <c r="G16" s="203">
        <v>42676</v>
      </c>
      <c r="H16" s="203">
        <v>44000</v>
      </c>
      <c r="I16" s="204"/>
      <c r="J16" s="205">
        <f t="shared" si="1"/>
        <v>0</v>
      </c>
      <c r="K16" s="205">
        <f t="shared" si="2"/>
        <v>0</v>
      </c>
      <c r="L16" s="205">
        <f t="shared" si="3"/>
        <v>0</v>
      </c>
      <c r="M16" s="207">
        <f t="shared" si="4"/>
        <v>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ht="14.4">
      <c r="A17" s="654"/>
      <c r="B17" s="209" t="s">
        <v>134</v>
      </c>
      <c r="C17" s="200">
        <v>22</v>
      </c>
      <c r="D17" s="201"/>
      <c r="E17" s="201"/>
      <c r="F17" s="202">
        <f t="shared" si="0"/>
        <v>22</v>
      </c>
      <c r="G17" s="203">
        <v>60500</v>
      </c>
      <c r="H17" s="203">
        <v>63000</v>
      </c>
      <c r="I17" s="204"/>
      <c r="J17" s="205">
        <f t="shared" si="1"/>
        <v>0</v>
      </c>
      <c r="K17" s="205">
        <f t="shared" si="2"/>
        <v>0</v>
      </c>
      <c r="L17" s="205">
        <f t="shared" si="3"/>
        <v>1331000</v>
      </c>
      <c r="M17" s="207">
        <f t="shared" si="4"/>
        <v>1386000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spans="1:26" ht="14.4">
      <c r="A18" s="654"/>
      <c r="B18" s="199" t="s">
        <v>17</v>
      </c>
      <c r="C18" s="200">
        <f>28+6+45+45</f>
        <v>124</v>
      </c>
      <c r="D18" s="201"/>
      <c r="E18" s="201"/>
      <c r="F18" s="202">
        <f t="shared" si="0"/>
        <v>124</v>
      </c>
      <c r="G18" s="210">
        <v>67780</v>
      </c>
      <c r="H18" s="210">
        <v>69000</v>
      </c>
      <c r="I18" s="204"/>
      <c r="J18" s="205">
        <f t="shared" si="1"/>
        <v>0</v>
      </c>
      <c r="K18" s="205">
        <f t="shared" si="2"/>
        <v>0</v>
      </c>
      <c r="L18" s="205">
        <f t="shared" si="3"/>
        <v>8404720</v>
      </c>
      <c r="M18" s="207">
        <f t="shared" si="4"/>
        <v>8556000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4.4">
      <c r="A19" s="654"/>
      <c r="B19" s="211" t="s">
        <v>18</v>
      </c>
      <c r="C19" s="200">
        <f>75.5+3</f>
        <v>78.5</v>
      </c>
      <c r="D19" s="201"/>
      <c r="E19" s="201"/>
      <c r="F19" s="202">
        <f t="shared" si="0"/>
        <v>78.5</v>
      </c>
      <c r="G19" s="210">
        <v>63202</v>
      </c>
      <c r="H19" s="210">
        <v>65000</v>
      </c>
      <c r="I19" s="204"/>
      <c r="J19" s="205">
        <f t="shared" si="1"/>
        <v>0</v>
      </c>
      <c r="K19" s="205">
        <f t="shared" si="2"/>
        <v>0</v>
      </c>
      <c r="L19" s="205">
        <f t="shared" si="3"/>
        <v>4961357</v>
      </c>
      <c r="M19" s="207">
        <f t="shared" si="4"/>
        <v>5102500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spans="1:26" ht="14.4">
      <c r="A20" s="654"/>
      <c r="B20" s="211" t="s">
        <v>135</v>
      </c>
      <c r="C20" s="200">
        <v>2</v>
      </c>
      <c r="D20" s="201"/>
      <c r="E20" s="201"/>
      <c r="F20" s="202">
        <f t="shared" si="0"/>
        <v>2</v>
      </c>
      <c r="G20" s="210">
        <v>63954</v>
      </c>
      <c r="H20" s="210">
        <v>63000</v>
      </c>
      <c r="I20" s="204"/>
      <c r="J20" s="205">
        <f t="shared" si="1"/>
        <v>0</v>
      </c>
      <c r="K20" s="205">
        <f t="shared" si="2"/>
        <v>0</v>
      </c>
      <c r="L20" s="205">
        <f t="shared" si="3"/>
        <v>127908</v>
      </c>
      <c r="M20" s="207">
        <f t="shared" si="4"/>
        <v>126000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spans="1:26" ht="14.4">
      <c r="A21" s="654"/>
      <c r="B21" s="211" t="s">
        <v>136</v>
      </c>
      <c r="C21" s="200"/>
      <c r="D21" s="201"/>
      <c r="E21" s="201"/>
      <c r="F21" s="202">
        <f t="shared" si="0"/>
        <v>0</v>
      </c>
      <c r="G21" s="212">
        <v>60453</v>
      </c>
      <c r="H21" s="212">
        <v>62000</v>
      </c>
      <c r="I21" s="213"/>
      <c r="J21" s="205">
        <f t="shared" si="1"/>
        <v>0</v>
      </c>
      <c r="K21" s="205">
        <f t="shared" si="2"/>
        <v>0</v>
      </c>
      <c r="L21" s="205">
        <f t="shared" si="3"/>
        <v>0</v>
      </c>
      <c r="M21" s="214">
        <f t="shared" si="4"/>
        <v>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spans="1:26" ht="14.4">
      <c r="A22" s="655"/>
      <c r="B22" s="215"/>
      <c r="C22" s="216">
        <f t="shared" ref="C22:F22" si="5">+SUM(C3:C18)</f>
        <v>602.75</v>
      </c>
      <c r="D22" s="216">
        <f t="shared" si="5"/>
        <v>0</v>
      </c>
      <c r="E22" s="216">
        <f t="shared" si="5"/>
        <v>0</v>
      </c>
      <c r="F22" s="216">
        <f t="shared" si="5"/>
        <v>602.75</v>
      </c>
      <c r="G22" s="217">
        <f t="shared" ref="G22:M22" si="6">SUM(G3:G21)</f>
        <v>1187150</v>
      </c>
      <c r="H22" s="217">
        <f t="shared" si="6"/>
        <v>1224000</v>
      </c>
      <c r="I22" s="218">
        <f t="shared" si="6"/>
        <v>0</v>
      </c>
      <c r="J22" s="219">
        <f t="shared" si="6"/>
        <v>0</v>
      </c>
      <c r="K22" s="220">
        <f t="shared" si="6"/>
        <v>0</v>
      </c>
      <c r="L22" s="220">
        <f t="shared" si="6"/>
        <v>41087398</v>
      </c>
      <c r="M22" s="221">
        <f t="shared" si="6"/>
        <v>42722500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spans="1:26" ht="14.4">
      <c r="A23" s="683" t="s">
        <v>137</v>
      </c>
      <c r="B23" s="222" t="s">
        <v>138</v>
      </c>
      <c r="C23" s="223">
        <v>0.75</v>
      </c>
      <c r="D23" s="201"/>
      <c r="E23" s="201"/>
      <c r="F23" s="202">
        <f t="shared" ref="F23:F35" si="7">+C23+D23-E23</f>
        <v>0.75</v>
      </c>
      <c r="G23" s="203">
        <v>43252</v>
      </c>
      <c r="H23" s="203">
        <v>44000</v>
      </c>
      <c r="I23" s="224"/>
      <c r="J23" s="205">
        <f t="shared" ref="J23:J59" si="8">+I23*H23</f>
        <v>0</v>
      </c>
      <c r="K23" s="205">
        <f t="shared" ref="K23:K59" si="9">+(H23-G23)*I23</f>
        <v>0</v>
      </c>
      <c r="L23" s="225">
        <f t="shared" ref="L23:L59" si="10">+G23*F23</f>
        <v>32439</v>
      </c>
      <c r="M23" s="226">
        <f t="shared" ref="M23:M59" si="11">F23*H23</f>
        <v>33000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spans="1:26" ht="14.4">
      <c r="A24" s="684"/>
      <c r="B24" s="222" t="s">
        <v>21</v>
      </c>
      <c r="C24" s="227">
        <f>852+2.75+1</f>
        <v>855.75</v>
      </c>
      <c r="D24" s="201"/>
      <c r="E24" s="201"/>
      <c r="F24" s="202">
        <f t="shared" si="7"/>
        <v>855.75</v>
      </c>
      <c r="G24" s="203">
        <v>62000</v>
      </c>
      <c r="H24" s="203">
        <v>67000</v>
      </c>
      <c r="I24" s="224"/>
      <c r="J24" s="205">
        <f t="shared" si="8"/>
        <v>0</v>
      </c>
      <c r="K24" s="205">
        <f t="shared" si="9"/>
        <v>0</v>
      </c>
      <c r="L24" s="225">
        <f t="shared" si="10"/>
        <v>53056500</v>
      </c>
      <c r="M24" s="226">
        <f t="shared" si="11"/>
        <v>57335250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spans="1:26" ht="14.4">
      <c r="A25" s="684"/>
      <c r="B25" s="222" t="s">
        <v>139</v>
      </c>
      <c r="C25" s="227">
        <v>4</v>
      </c>
      <c r="D25" s="201"/>
      <c r="E25" s="201"/>
      <c r="F25" s="202">
        <f t="shared" si="7"/>
        <v>4</v>
      </c>
      <c r="G25" s="203">
        <v>41000</v>
      </c>
      <c r="H25" s="203">
        <v>44000</v>
      </c>
      <c r="I25" s="224"/>
      <c r="J25" s="205">
        <f t="shared" si="8"/>
        <v>0</v>
      </c>
      <c r="K25" s="205">
        <f t="shared" si="9"/>
        <v>0</v>
      </c>
      <c r="L25" s="225">
        <f t="shared" si="10"/>
        <v>164000</v>
      </c>
      <c r="M25" s="226">
        <f t="shared" si="11"/>
        <v>176000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26" ht="14.4">
      <c r="A26" s="684"/>
      <c r="B26" s="222" t="s">
        <v>140</v>
      </c>
      <c r="C26" s="227"/>
      <c r="D26" s="201"/>
      <c r="E26" s="201"/>
      <c r="F26" s="202">
        <f t="shared" si="7"/>
        <v>0</v>
      </c>
      <c r="G26" s="203">
        <v>53523</v>
      </c>
      <c r="H26" s="203">
        <v>50000</v>
      </c>
      <c r="I26" s="224"/>
      <c r="J26" s="205">
        <f t="shared" si="8"/>
        <v>0</v>
      </c>
      <c r="K26" s="205">
        <f t="shared" si="9"/>
        <v>0</v>
      </c>
      <c r="L26" s="225">
        <f t="shared" si="10"/>
        <v>0</v>
      </c>
      <c r="M26" s="226">
        <f t="shared" si="11"/>
        <v>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t="14.4">
      <c r="A27" s="684"/>
      <c r="B27" s="222" t="s">
        <v>141</v>
      </c>
      <c r="C27" s="227">
        <v>9</v>
      </c>
      <c r="D27" s="201"/>
      <c r="E27" s="201"/>
      <c r="F27" s="202">
        <f t="shared" si="7"/>
        <v>9</v>
      </c>
      <c r="G27" s="203">
        <v>39714</v>
      </c>
      <c r="H27" s="203">
        <v>42000</v>
      </c>
      <c r="I27" s="224"/>
      <c r="J27" s="205">
        <f t="shared" si="8"/>
        <v>0</v>
      </c>
      <c r="K27" s="205">
        <f t="shared" si="9"/>
        <v>0</v>
      </c>
      <c r="L27" s="225">
        <f t="shared" si="10"/>
        <v>357426</v>
      </c>
      <c r="M27" s="226">
        <f t="shared" si="11"/>
        <v>378000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spans="1:26" ht="14.4">
      <c r="A28" s="684"/>
      <c r="B28" s="222" t="s">
        <v>142</v>
      </c>
      <c r="C28" s="227">
        <v>0.25</v>
      </c>
      <c r="D28" s="201"/>
      <c r="E28" s="201"/>
      <c r="F28" s="202">
        <f t="shared" si="7"/>
        <v>0.25</v>
      </c>
      <c r="G28" s="203">
        <v>80900</v>
      </c>
      <c r="H28" s="203">
        <v>84000</v>
      </c>
      <c r="I28" s="224"/>
      <c r="J28" s="205">
        <f t="shared" si="8"/>
        <v>0</v>
      </c>
      <c r="K28" s="205">
        <f t="shared" si="9"/>
        <v>0</v>
      </c>
      <c r="L28" s="225">
        <f t="shared" si="10"/>
        <v>20225</v>
      </c>
      <c r="M28" s="226">
        <f t="shared" si="11"/>
        <v>21000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spans="1:26" ht="14.4">
      <c r="A29" s="684"/>
      <c r="B29" s="222" t="s">
        <v>143</v>
      </c>
      <c r="C29" s="227">
        <v>3.5</v>
      </c>
      <c r="D29" s="201"/>
      <c r="E29" s="201"/>
      <c r="F29" s="202">
        <f t="shared" si="7"/>
        <v>3.5</v>
      </c>
      <c r="G29" s="203">
        <v>71369</v>
      </c>
      <c r="H29" s="203">
        <v>73000</v>
      </c>
      <c r="I29" s="224"/>
      <c r="J29" s="205">
        <f t="shared" si="8"/>
        <v>0</v>
      </c>
      <c r="K29" s="205">
        <f t="shared" si="9"/>
        <v>0</v>
      </c>
      <c r="L29" s="225">
        <f t="shared" si="10"/>
        <v>249791.5</v>
      </c>
      <c r="M29" s="226">
        <f t="shared" si="11"/>
        <v>255500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spans="1:26" ht="14.4">
      <c r="A30" s="684"/>
      <c r="B30" s="222" t="s">
        <v>144</v>
      </c>
      <c r="C30" s="227">
        <f>136.5+5+1</f>
        <v>142.5</v>
      </c>
      <c r="D30" s="201"/>
      <c r="E30" s="201"/>
      <c r="F30" s="202">
        <f t="shared" si="7"/>
        <v>142.5</v>
      </c>
      <c r="G30" s="203">
        <v>47000</v>
      </c>
      <c r="H30" s="203">
        <v>53000</v>
      </c>
      <c r="I30" s="224"/>
      <c r="J30" s="205">
        <f t="shared" si="8"/>
        <v>0</v>
      </c>
      <c r="K30" s="205">
        <f t="shared" si="9"/>
        <v>0</v>
      </c>
      <c r="L30" s="225">
        <f t="shared" si="10"/>
        <v>6697500</v>
      </c>
      <c r="M30" s="226">
        <f t="shared" si="11"/>
        <v>7552500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spans="1:26" ht="14.4">
      <c r="A31" s="684"/>
      <c r="B31" s="222" t="s">
        <v>145</v>
      </c>
      <c r="C31" s="227"/>
      <c r="D31" s="201"/>
      <c r="E31" s="201"/>
      <c r="F31" s="202">
        <f t="shared" si="7"/>
        <v>0</v>
      </c>
      <c r="G31" s="203">
        <v>51536</v>
      </c>
      <c r="H31" s="203">
        <v>53000</v>
      </c>
      <c r="I31" s="224"/>
      <c r="J31" s="205">
        <f t="shared" si="8"/>
        <v>0</v>
      </c>
      <c r="K31" s="205">
        <f t="shared" si="9"/>
        <v>0</v>
      </c>
      <c r="L31" s="225">
        <f t="shared" si="10"/>
        <v>0</v>
      </c>
      <c r="M31" s="226">
        <f t="shared" si="11"/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spans="1:26" ht="14.4">
      <c r="A32" s="684"/>
      <c r="B32" s="222" t="s">
        <v>146</v>
      </c>
      <c r="C32" s="227">
        <v>0.5</v>
      </c>
      <c r="D32" s="201"/>
      <c r="E32" s="201"/>
      <c r="F32" s="202">
        <f t="shared" si="7"/>
        <v>0.5</v>
      </c>
      <c r="G32" s="203">
        <v>71369</v>
      </c>
      <c r="H32" s="203">
        <v>73000</v>
      </c>
      <c r="I32" s="224"/>
      <c r="J32" s="205">
        <f t="shared" si="8"/>
        <v>0</v>
      </c>
      <c r="K32" s="205">
        <f t="shared" si="9"/>
        <v>0</v>
      </c>
      <c r="L32" s="225">
        <f t="shared" si="10"/>
        <v>35684.5</v>
      </c>
      <c r="M32" s="226">
        <f t="shared" si="11"/>
        <v>36500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spans="1:26" ht="14.4">
      <c r="A33" s="684"/>
      <c r="B33" s="228" t="s">
        <v>147</v>
      </c>
      <c r="C33" s="229"/>
      <c r="D33" s="201"/>
      <c r="E33" s="201"/>
      <c r="F33" s="202">
        <f t="shared" si="7"/>
        <v>0</v>
      </c>
      <c r="G33" s="203">
        <v>71369</v>
      </c>
      <c r="H33" s="203">
        <v>73000</v>
      </c>
      <c r="I33" s="224"/>
      <c r="J33" s="205">
        <f t="shared" si="8"/>
        <v>0</v>
      </c>
      <c r="K33" s="205">
        <f t="shared" si="9"/>
        <v>0</v>
      </c>
      <c r="L33" s="225">
        <f t="shared" si="10"/>
        <v>0</v>
      </c>
      <c r="M33" s="226">
        <f t="shared" si="11"/>
        <v>0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spans="1:26" ht="14.4">
      <c r="A34" s="684"/>
      <c r="B34" s="222" t="s">
        <v>148</v>
      </c>
      <c r="C34" s="229">
        <v>1</v>
      </c>
      <c r="D34" s="201"/>
      <c r="E34" s="201"/>
      <c r="F34" s="202">
        <f t="shared" si="7"/>
        <v>1</v>
      </c>
      <c r="G34" s="203">
        <v>71369</v>
      </c>
      <c r="H34" s="203">
        <v>73000</v>
      </c>
      <c r="I34" s="224"/>
      <c r="J34" s="205">
        <f t="shared" si="8"/>
        <v>0</v>
      </c>
      <c r="K34" s="205">
        <f t="shared" si="9"/>
        <v>0</v>
      </c>
      <c r="L34" s="225">
        <f t="shared" si="10"/>
        <v>71369</v>
      </c>
      <c r="M34" s="226">
        <f t="shared" si="11"/>
        <v>73000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spans="1:26" ht="14.4">
      <c r="A35" s="684"/>
      <c r="B35" s="222" t="s">
        <v>149</v>
      </c>
      <c r="C35" s="229">
        <v>0.25</v>
      </c>
      <c r="D35" s="201"/>
      <c r="E35" s="201"/>
      <c r="F35" s="202">
        <f t="shared" si="7"/>
        <v>0.25</v>
      </c>
      <c r="G35" s="203">
        <v>25500</v>
      </c>
      <c r="H35" s="203">
        <v>26000</v>
      </c>
      <c r="I35" s="224"/>
      <c r="J35" s="205">
        <f t="shared" si="8"/>
        <v>0</v>
      </c>
      <c r="K35" s="205">
        <f t="shared" si="9"/>
        <v>0</v>
      </c>
      <c r="L35" s="225">
        <f t="shared" si="10"/>
        <v>6375</v>
      </c>
      <c r="M35" s="226">
        <f t="shared" si="11"/>
        <v>6500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spans="1:26" ht="14.4">
      <c r="A36" s="684"/>
      <c r="B36" s="222" t="s">
        <v>150</v>
      </c>
      <c r="C36" s="227">
        <v>1.25</v>
      </c>
      <c r="D36" s="201"/>
      <c r="E36" s="201"/>
      <c r="F36" s="202">
        <f>+C36+D36-E38</f>
        <v>1.25</v>
      </c>
      <c r="G36" s="203">
        <v>44000</v>
      </c>
      <c r="H36" s="203">
        <v>50000</v>
      </c>
      <c r="I36" s="224"/>
      <c r="J36" s="205">
        <f t="shared" si="8"/>
        <v>0</v>
      </c>
      <c r="K36" s="205">
        <f t="shared" si="9"/>
        <v>0</v>
      </c>
      <c r="L36" s="225">
        <f t="shared" si="10"/>
        <v>55000</v>
      </c>
      <c r="M36" s="226">
        <f t="shared" si="11"/>
        <v>62500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spans="1:26" ht="14.4">
      <c r="A37" s="684"/>
      <c r="B37" s="222" t="s">
        <v>151</v>
      </c>
      <c r="C37" s="227">
        <v>4.75</v>
      </c>
      <c r="D37" s="201"/>
      <c r="E37" s="201"/>
      <c r="F37" s="202">
        <f t="shared" ref="F37:F59" si="12">+C37+D37-E37</f>
        <v>4.75</v>
      </c>
      <c r="G37" s="203">
        <v>34500</v>
      </c>
      <c r="H37" s="203">
        <v>36000</v>
      </c>
      <c r="I37" s="224"/>
      <c r="J37" s="205">
        <f t="shared" si="8"/>
        <v>0</v>
      </c>
      <c r="K37" s="205">
        <f t="shared" si="9"/>
        <v>0</v>
      </c>
      <c r="L37" s="225">
        <f t="shared" si="10"/>
        <v>163875</v>
      </c>
      <c r="M37" s="226">
        <f t="shared" si="11"/>
        <v>171000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spans="1:26" ht="14.4">
      <c r="A38" s="684"/>
      <c r="B38" s="222" t="s">
        <v>152</v>
      </c>
      <c r="C38" s="227">
        <f>1+1.5</f>
        <v>2.5</v>
      </c>
      <c r="D38" s="201"/>
      <c r="E38" s="201"/>
      <c r="F38" s="202">
        <f t="shared" si="12"/>
        <v>2.5</v>
      </c>
      <c r="G38" s="203">
        <v>79000</v>
      </c>
      <c r="H38" s="203">
        <v>88000</v>
      </c>
      <c r="I38" s="224"/>
      <c r="J38" s="205">
        <f t="shared" si="8"/>
        <v>0</v>
      </c>
      <c r="K38" s="205">
        <f t="shared" si="9"/>
        <v>0</v>
      </c>
      <c r="L38" s="225">
        <f t="shared" si="10"/>
        <v>197500</v>
      </c>
      <c r="M38" s="226">
        <f t="shared" si="11"/>
        <v>220000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spans="1:26" ht="14.4">
      <c r="A39" s="684"/>
      <c r="B39" s="222" t="s">
        <v>153</v>
      </c>
      <c r="C39" s="227">
        <v>8.75</v>
      </c>
      <c r="D39" s="201"/>
      <c r="E39" s="201"/>
      <c r="F39" s="202">
        <f t="shared" si="12"/>
        <v>8.75</v>
      </c>
      <c r="G39" s="203">
        <v>82280</v>
      </c>
      <c r="H39" s="203">
        <v>86000</v>
      </c>
      <c r="I39" s="224"/>
      <c r="J39" s="205">
        <f t="shared" si="8"/>
        <v>0</v>
      </c>
      <c r="K39" s="205">
        <f t="shared" si="9"/>
        <v>0</v>
      </c>
      <c r="L39" s="225">
        <f t="shared" si="10"/>
        <v>719950</v>
      </c>
      <c r="M39" s="226">
        <f t="shared" si="11"/>
        <v>752500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spans="1:26" ht="14.4">
      <c r="A40" s="684"/>
      <c r="B40" s="222" t="s">
        <v>154</v>
      </c>
      <c r="C40" s="227">
        <v>54</v>
      </c>
      <c r="D40" s="201"/>
      <c r="E40" s="201"/>
      <c r="F40" s="202">
        <f t="shared" si="12"/>
        <v>54</v>
      </c>
      <c r="G40" s="203">
        <v>59000</v>
      </c>
      <c r="H40" s="203">
        <v>64000</v>
      </c>
      <c r="I40" s="224"/>
      <c r="J40" s="205">
        <f t="shared" si="8"/>
        <v>0</v>
      </c>
      <c r="K40" s="205">
        <f t="shared" si="9"/>
        <v>0</v>
      </c>
      <c r="L40" s="225">
        <f t="shared" si="10"/>
        <v>3186000</v>
      </c>
      <c r="M40" s="226">
        <f t="shared" si="11"/>
        <v>3456000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spans="1:26" ht="14.4">
      <c r="A41" s="684"/>
      <c r="B41" s="222" t="s">
        <v>155</v>
      </c>
      <c r="C41" s="227"/>
      <c r="D41" s="201"/>
      <c r="E41" s="201"/>
      <c r="F41" s="202">
        <f t="shared" si="12"/>
        <v>0</v>
      </c>
      <c r="G41" s="203">
        <v>25555</v>
      </c>
      <c r="H41" s="203">
        <v>27000</v>
      </c>
      <c r="I41" s="224"/>
      <c r="J41" s="205">
        <f t="shared" si="8"/>
        <v>0</v>
      </c>
      <c r="K41" s="205">
        <f t="shared" si="9"/>
        <v>0</v>
      </c>
      <c r="L41" s="225">
        <f t="shared" si="10"/>
        <v>0</v>
      </c>
      <c r="M41" s="226">
        <f t="shared" si="11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spans="1:26" ht="14.4">
      <c r="A42" s="684"/>
      <c r="B42" s="222" t="s">
        <v>22</v>
      </c>
      <c r="C42" s="227">
        <f>219.25+3.75+1</f>
        <v>224</v>
      </c>
      <c r="D42" s="201"/>
      <c r="E42" s="201"/>
      <c r="F42" s="202">
        <f t="shared" si="12"/>
        <v>224</v>
      </c>
      <c r="G42" s="203">
        <v>62000</v>
      </c>
      <c r="H42" s="203">
        <v>66000</v>
      </c>
      <c r="I42" s="224"/>
      <c r="J42" s="205">
        <f t="shared" si="8"/>
        <v>0</v>
      </c>
      <c r="K42" s="205">
        <f t="shared" si="9"/>
        <v>0</v>
      </c>
      <c r="L42" s="225">
        <f t="shared" si="10"/>
        <v>13888000</v>
      </c>
      <c r="M42" s="226">
        <f t="shared" si="11"/>
        <v>14784000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spans="1:26" ht="14.4">
      <c r="A43" s="684"/>
      <c r="B43" s="222" t="s">
        <v>23</v>
      </c>
      <c r="C43" s="227">
        <v>0.75</v>
      </c>
      <c r="D43" s="201"/>
      <c r="E43" s="201"/>
      <c r="F43" s="202">
        <f t="shared" si="12"/>
        <v>0.75</v>
      </c>
      <c r="G43" s="203">
        <v>42000</v>
      </c>
      <c r="H43" s="203">
        <v>48000</v>
      </c>
      <c r="I43" s="224"/>
      <c r="J43" s="205">
        <f t="shared" si="8"/>
        <v>0</v>
      </c>
      <c r="K43" s="205">
        <f t="shared" si="9"/>
        <v>0</v>
      </c>
      <c r="L43" s="225">
        <f t="shared" si="10"/>
        <v>31500</v>
      </c>
      <c r="M43" s="226">
        <f t="shared" si="11"/>
        <v>36000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spans="1:26" ht="14.4">
      <c r="A44" s="684"/>
      <c r="B44" s="222" t="s">
        <v>156</v>
      </c>
      <c r="C44" s="227">
        <f>195+4</f>
        <v>199</v>
      </c>
      <c r="D44" s="201"/>
      <c r="E44" s="201"/>
      <c r="F44" s="202">
        <f t="shared" si="12"/>
        <v>199</v>
      </c>
      <c r="G44" s="203">
        <v>37084</v>
      </c>
      <c r="H44" s="203">
        <v>40000</v>
      </c>
      <c r="I44" s="224"/>
      <c r="J44" s="205">
        <f t="shared" si="8"/>
        <v>0</v>
      </c>
      <c r="K44" s="205">
        <f t="shared" si="9"/>
        <v>0</v>
      </c>
      <c r="L44" s="225">
        <f t="shared" si="10"/>
        <v>7379716</v>
      </c>
      <c r="M44" s="226">
        <f t="shared" si="11"/>
        <v>7960000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spans="1:26" ht="14.4">
      <c r="A45" s="684"/>
      <c r="B45" s="230" t="s">
        <v>157</v>
      </c>
      <c r="C45" s="229">
        <v>32</v>
      </c>
      <c r="D45" s="201"/>
      <c r="E45" s="201"/>
      <c r="F45" s="202">
        <f t="shared" si="12"/>
        <v>32</v>
      </c>
      <c r="G45" s="203">
        <v>29750</v>
      </c>
      <c r="H45" s="203">
        <v>31500</v>
      </c>
      <c r="I45" s="224"/>
      <c r="J45" s="205">
        <f t="shared" si="8"/>
        <v>0</v>
      </c>
      <c r="K45" s="205">
        <f t="shared" si="9"/>
        <v>0</v>
      </c>
      <c r="L45" s="225">
        <f t="shared" si="10"/>
        <v>952000</v>
      </c>
      <c r="M45" s="226">
        <f t="shared" si="11"/>
        <v>1008000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spans="1:26" ht="14.4">
      <c r="A46" s="684"/>
      <c r="B46" s="231" t="s">
        <v>158</v>
      </c>
      <c r="C46" s="232">
        <v>109</v>
      </c>
      <c r="D46" s="233"/>
      <c r="E46" s="233"/>
      <c r="F46" s="234">
        <f t="shared" si="12"/>
        <v>109</v>
      </c>
      <c r="G46" s="235">
        <v>6200</v>
      </c>
      <c r="H46" s="235">
        <v>7000</v>
      </c>
      <c r="I46" s="224"/>
      <c r="J46" s="205">
        <f t="shared" si="8"/>
        <v>0</v>
      </c>
      <c r="K46" s="205">
        <f t="shared" si="9"/>
        <v>0</v>
      </c>
      <c r="L46" s="225">
        <f t="shared" si="10"/>
        <v>675800</v>
      </c>
      <c r="M46" s="226">
        <f t="shared" si="11"/>
        <v>763000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spans="1:26" ht="14.4">
      <c r="A47" s="684"/>
      <c r="B47" s="231" t="s">
        <v>159</v>
      </c>
      <c r="C47" s="232">
        <v>41</v>
      </c>
      <c r="D47" s="233"/>
      <c r="E47" s="233"/>
      <c r="F47" s="234">
        <f t="shared" si="12"/>
        <v>41</v>
      </c>
      <c r="G47" s="235">
        <v>3333</v>
      </c>
      <c r="H47" s="235">
        <v>3600</v>
      </c>
      <c r="I47" s="224"/>
      <c r="J47" s="205">
        <f t="shared" si="8"/>
        <v>0</v>
      </c>
      <c r="K47" s="205">
        <f t="shared" si="9"/>
        <v>0</v>
      </c>
      <c r="L47" s="225">
        <f t="shared" si="10"/>
        <v>136653</v>
      </c>
      <c r="M47" s="226">
        <f t="shared" si="11"/>
        <v>147600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spans="1:26" ht="14.4">
      <c r="A48" s="684"/>
      <c r="B48" s="230" t="s">
        <v>160</v>
      </c>
      <c r="C48" s="236"/>
      <c r="D48" s="233"/>
      <c r="E48" s="233"/>
      <c r="F48" s="234">
        <f t="shared" si="12"/>
        <v>0</v>
      </c>
      <c r="G48" s="235">
        <v>39000</v>
      </c>
      <c r="H48" s="235">
        <v>44000</v>
      </c>
      <c r="I48" s="224"/>
      <c r="J48" s="205">
        <f t="shared" si="8"/>
        <v>0</v>
      </c>
      <c r="K48" s="205">
        <f t="shared" si="9"/>
        <v>0</v>
      </c>
      <c r="L48" s="225">
        <f t="shared" si="10"/>
        <v>0</v>
      </c>
      <c r="M48" s="226">
        <f t="shared" si="11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spans="1:26" ht="14.4">
      <c r="A49" s="684"/>
      <c r="B49" s="222" t="s">
        <v>161</v>
      </c>
      <c r="C49" s="232">
        <v>0.75</v>
      </c>
      <c r="D49" s="233"/>
      <c r="E49" s="233"/>
      <c r="F49" s="234">
        <f t="shared" si="12"/>
        <v>0.75</v>
      </c>
      <c r="G49" s="235">
        <v>65000</v>
      </c>
      <c r="H49" s="235">
        <v>70000</v>
      </c>
      <c r="I49" s="224"/>
      <c r="J49" s="205">
        <f t="shared" si="8"/>
        <v>0</v>
      </c>
      <c r="K49" s="205">
        <f t="shared" si="9"/>
        <v>0</v>
      </c>
      <c r="L49" s="225">
        <f t="shared" si="10"/>
        <v>48750</v>
      </c>
      <c r="M49" s="226">
        <f t="shared" si="11"/>
        <v>52500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spans="1:26" ht="14.4">
      <c r="A50" s="684"/>
      <c r="B50" s="228" t="s">
        <v>162</v>
      </c>
      <c r="C50" s="232">
        <v>71</v>
      </c>
      <c r="D50" s="233"/>
      <c r="E50" s="237"/>
      <c r="F50" s="234">
        <f t="shared" si="12"/>
        <v>71</v>
      </c>
      <c r="G50" s="235">
        <v>2500</v>
      </c>
      <c r="H50" s="235">
        <v>3000</v>
      </c>
      <c r="I50" s="224"/>
      <c r="J50" s="205">
        <f t="shared" si="8"/>
        <v>0</v>
      </c>
      <c r="K50" s="205">
        <f t="shared" si="9"/>
        <v>0</v>
      </c>
      <c r="L50" s="225">
        <f t="shared" si="10"/>
        <v>177500</v>
      </c>
      <c r="M50" s="226">
        <f t="shared" si="11"/>
        <v>213000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spans="1:26" ht="14.4">
      <c r="A51" s="684"/>
      <c r="B51" s="228" t="s">
        <v>163</v>
      </c>
      <c r="C51" s="232">
        <v>7.25</v>
      </c>
      <c r="D51" s="233"/>
      <c r="E51" s="237"/>
      <c r="F51" s="234">
        <f t="shared" si="12"/>
        <v>7.25</v>
      </c>
      <c r="G51" s="235">
        <v>50000</v>
      </c>
      <c r="H51" s="235">
        <v>12500</v>
      </c>
      <c r="I51" s="204"/>
      <c r="J51" s="205">
        <f t="shared" si="8"/>
        <v>0</v>
      </c>
      <c r="K51" s="205">
        <f t="shared" si="9"/>
        <v>0</v>
      </c>
      <c r="L51" s="225">
        <f t="shared" si="10"/>
        <v>362500</v>
      </c>
      <c r="M51" s="226">
        <f t="shared" si="11"/>
        <v>90625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spans="1:26" ht="14.4">
      <c r="A52" s="684"/>
      <c r="B52" s="222" t="s">
        <v>164</v>
      </c>
      <c r="C52" s="232">
        <v>0.25</v>
      </c>
      <c r="D52" s="233"/>
      <c r="E52" s="237"/>
      <c r="F52" s="234">
        <f t="shared" si="12"/>
        <v>0.25</v>
      </c>
      <c r="G52" s="235">
        <v>78640</v>
      </c>
      <c r="H52" s="235">
        <v>7000</v>
      </c>
      <c r="I52" s="224"/>
      <c r="J52" s="205">
        <f t="shared" si="8"/>
        <v>0</v>
      </c>
      <c r="K52" s="205">
        <f t="shared" si="9"/>
        <v>0</v>
      </c>
      <c r="L52" s="225">
        <f t="shared" si="10"/>
        <v>19660</v>
      </c>
      <c r="M52" s="226">
        <f t="shared" si="11"/>
        <v>1750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spans="1:26" ht="14.4">
      <c r="A53" s="684"/>
      <c r="B53" s="222" t="s">
        <v>165</v>
      </c>
      <c r="C53" s="232">
        <f>105.75+4.75+1</f>
        <v>111.5</v>
      </c>
      <c r="D53" s="233"/>
      <c r="E53" s="237"/>
      <c r="F53" s="234">
        <f t="shared" si="12"/>
        <v>111.5</v>
      </c>
      <c r="G53" s="235">
        <v>62000</v>
      </c>
      <c r="H53" s="235">
        <v>67000</v>
      </c>
      <c r="I53" s="224"/>
      <c r="J53" s="205">
        <f t="shared" si="8"/>
        <v>0</v>
      </c>
      <c r="K53" s="205">
        <f t="shared" si="9"/>
        <v>0</v>
      </c>
      <c r="L53" s="225">
        <f t="shared" si="10"/>
        <v>6913000</v>
      </c>
      <c r="M53" s="226">
        <f t="shared" si="11"/>
        <v>7470500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spans="1:26" ht="14.4">
      <c r="A54" s="684"/>
      <c r="B54" s="230" t="s">
        <v>166</v>
      </c>
      <c r="C54" s="232">
        <f>9.5+4</f>
        <v>13.5</v>
      </c>
      <c r="D54" s="233"/>
      <c r="E54" s="233"/>
      <c r="F54" s="234">
        <f t="shared" si="12"/>
        <v>13.5</v>
      </c>
      <c r="G54" s="235">
        <v>66987</v>
      </c>
      <c r="H54" s="235">
        <v>68000</v>
      </c>
      <c r="I54" s="224"/>
      <c r="J54" s="205">
        <f t="shared" si="8"/>
        <v>0</v>
      </c>
      <c r="K54" s="205">
        <f t="shared" si="9"/>
        <v>0</v>
      </c>
      <c r="L54" s="225">
        <f t="shared" si="10"/>
        <v>904324.5</v>
      </c>
      <c r="M54" s="226">
        <f t="shared" si="11"/>
        <v>918000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spans="1:26" ht="14.4">
      <c r="A55" s="684"/>
      <c r="B55" s="230" t="s">
        <v>167</v>
      </c>
      <c r="C55" s="238">
        <v>25.5</v>
      </c>
      <c r="D55" s="201"/>
      <c r="E55" s="201"/>
      <c r="F55" s="202">
        <f t="shared" si="12"/>
        <v>25.5</v>
      </c>
      <c r="G55" s="203">
        <v>80640</v>
      </c>
      <c r="H55" s="203">
        <v>86000</v>
      </c>
      <c r="I55" s="224"/>
      <c r="J55" s="205">
        <f t="shared" si="8"/>
        <v>0</v>
      </c>
      <c r="K55" s="205">
        <f t="shared" si="9"/>
        <v>0</v>
      </c>
      <c r="L55" s="225">
        <f t="shared" si="10"/>
        <v>2056320</v>
      </c>
      <c r="M55" s="226">
        <f t="shared" si="11"/>
        <v>2193000</v>
      </c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spans="1:26" ht="14.4">
      <c r="A56" s="684"/>
      <c r="B56" s="228" t="s">
        <v>168</v>
      </c>
      <c r="C56" s="227">
        <v>8</v>
      </c>
      <c r="D56" s="201"/>
      <c r="E56" s="201"/>
      <c r="F56" s="202">
        <f t="shared" si="12"/>
        <v>8</v>
      </c>
      <c r="G56" s="203">
        <v>68568</v>
      </c>
      <c r="H56" s="203">
        <v>72000</v>
      </c>
      <c r="I56" s="224"/>
      <c r="J56" s="205">
        <f t="shared" si="8"/>
        <v>0</v>
      </c>
      <c r="K56" s="205">
        <f t="shared" si="9"/>
        <v>0</v>
      </c>
      <c r="L56" s="225">
        <f t="shared" si="10"/>
        <v>548544</v>
      </c>
      <c r="M56" s="226">
        <f t="shared" si="11"/>
        <v>576000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spans="1:26" ht="14.4">
      <c r="A57" s="684"/>
      <c r="B57" s="231" t="s">
        <v>169</v>
      </c>
      <c r="C57" s="227"/>
      <c r="D57" s="201"/>
      <c r="E57" s="201"/>
      <c r="F57" s="202">
        <f t="shared" si="12"/>
        <v>0</v>
      </c>
      <c r="G57" s="203">
        <v>78640</v>
      </c>
      <c r="H57" s="203">
        <v>82000</v>
      </c>
      <c r="I57" s="224"/>
      <c r="J57" s="205">
        <f t="shared" si="8"/>
        <v>0</v>
      </c>
      <c r="K57" s="205">
        <f t="shared" si="9"/>
        <v>0</v>
      </c>
      <c r="L57" s="225">
        <f t="shared" si="10"/>
        <v>0</v>
      </c>
      <c r="M57" s="226">
        <f t="shared" si="11"/>
        <v>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spans="1:26" ht="14.4">
      <c r="A58" s="684"/>
      <c r="B58" s="231" t="s">
        <v>170</v>
      </c>
      <c r="C58" s="227">
        <v>0.5</v>
      </c>
      <c r="D58" s="201"/>
      <c r="E58" s="201"/>
      <c r="F58" s="202">
        <f t="shared" si="12"/>
        <v>0.5</v>
      </c>
      <c r="G58" s="203">
        <v>78640</v>
      </c>
      <c r="H58" s="203">
        <v>82000</v>
      </c>
      <c r="I58" s="224"/>
      <c r="J58" s="205">
        <f t="shared" si="8"/>
        <v>0</v>
      </c>
      <c r="K58" s="205">
        <f t="shared" si="9"/>
        <v>0</v>
      </c>
      <c r="L58" s="225">
        <f t="shared" si="10"/>
        <v>39320</v>
      </c>
      <c r="M58" s="226">
        <f t="shared" si="11"/>
        <v>41000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spans="1:26" ht="14.4">
      <c r="A59" s="684"/>
      <c r="B59" s="231" t="s">
        <v>171</v>
      </c>
      <c r="C59" s="227">
        <v>5</v>
      </c>
      <c r="D59" s="201"/>
      <c r="E59" s="201"/>
      <c r="F59" s="202">
        <f t="shared" si="12"/>
        <v>5</v>
      </c>
      <c r="G59" s="239">
        <v>44000</v>
      </c>
      <c r="H59" s="239">
        <v>48000</v>
      </c>
      <c r="I59" s="240"/>
      <c r="J59" s="205">
        <f t="shared" si="8"/>
        <v>0</v>
      </c>
      <c r="K59" s="205">
        <f t="shared" si="9"/>
        <v>0</v>
      </c>
      <c r="L59" s="225">
        <f t="shared" si="10"/>
        <v>220000</v>
      </c>
      <c r="M59" s="226">
        <f t="shared" si="11"/>
        <v>240000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spans="1:26" ht="14.4">
      <c r="A60" s="685"/>
      <c r="B60" s="241"/>
      <c r="C60" s="229"/>
      <c r="D60" s="242"/>
      <c r="E60" s="243"/>
      <c r="F60" s="244">
        <f>SUM(F23:F57)</f>
        <v>1932.25</v>
      </c>
      <c r="G60" s="245">
        <f t="shared" ref="G60:H60" si="13">SUM(G10:G57)</f>
        <v>3780599</v>
      </c>
      <c r="H60" s="245">
        <f t="shared" si="13"/>
        <v>3818600</v>
      </c>
      <c r="I60" s="246">
        <f>SUM(I23:I57)</f>
        <v>0</v>
      </c>
      <c r="J60" s="247">
        <f t="shared" ref="J60:M60" si="14">SUM(J23:J59)</f>
        <v>0</v>
      </c>
      <c r="K60" s="247">
        <f t="shared" si="14"/>
        <v>0</v>
      </c>
      <c r="L60" s="247">
        <f t="shared" si="14"/>
        <v>99367222.5</v>
      </c>
      <c r="M60" s="247">
        <f t="shared" si="14"/>
        <v>107024225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spans="1:26" ht="14.4">
      <c r="A61" s="686"/>
      <c r="B61" s="230" t="s">
        <v>172</v>
      </c>
      <c r="C61" s="229">
        <v>12</v>
      </c>
      <c r="D61" s="201"/>
      <c r="E61" s="201"/>
      <c r="F61" s="202">
        <f t="shared" ref="F61:F74" si="15">+C61+D61-E61</f>
        <v>12</v>
      </c>
      <c r="G61" s="203">
        <v>41500</v>
      </c>
      <c r="H61" s="203">
        <v>50000</v>
      </c>
      <c r="I61" s="204"/>
      <c r="J61" s="205">
        <f t="shared" ref="J61:J86" si="16">+I61*H61</f>
        <v>0</v>
      </c>
      <c r="K61" s="205">
        <f t="shared" ref="K61:K86" si="17">+(H61-G61)*I61</f>
        <v>0</v>
      </c>
      <c r="L61" s="248">
        <f t="shared" ref="L61:L86" si="18">+G61*F61</f>
        <v>498000</v>
      </c>
      <c r="M61" s="249">
        <f t="shared" ref="M61:M86" si="19">F61*H61</f>
        <v>600000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spans="1:26" ht="14.4">
      <c r="A62" s="687"/>
      <c r="B62" s="230" t="s">
        <v>173</v>
      </c>
      <c r="C62" s="227">
        <v>94</v>
      </c>
      <c r="D62" s="201"/>
      <c r="E62" s="201"/>
      <c r="F62" s="202">
        <f t="shared" si="15"/>
        <v>94</v>
      </c>
      <c r="G62" s="203">
        <v>43000</v>
      </c>
      <c r="H62" s="203">
        <v>50000</v>
      </c>
      <c r="I62" s="204"/>
      <c r="J62" s="205">
        <f t="shared" si="16"/>
        <v>0</v>
      </c>
      <c r="K62" s="205">
        <f t="shared" si="17"/>
        <v>0</v>
      </c>
      <c r="L62" s="248">
        <f t="shared" si="18"/>
        <v>4042000</v>
      </c>
      <c r="M62" s="249">
        <f t="shared" si="19"/>
        <v>4700000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spans="1:26" ht="14.4">
      <c r="A63" s="687"/>
      <c r="B63" s="230" t="s">
        <v>174</v>
      </c>
      <c r="C63" s="227">
        <v>0.5</v>
      </c>
      <c r="D63" s="201"/>
      <c r="E63" s="201"/>
      <c r="F63" s="202">
        <f t="shared" si="15"/>
        <v>0.5</v>
      </c>
      <c r="G63" s="203">
        <v>41600</v>
      </c>
      <c r="H63" s="203">
        <v>50000</v>
      </c>
      <c r="I63" s="204"/>
      <c r="J63" s="205">
        <f t="shared" si="16"/>
        <v>0</v>
      </c>
      <c r="K63" s="205">
        <f t="shared" si="17"/>
        <v>0</v>
      </c>
      <c r="L63" s="248">
        <f t="shared" si="18"/>
        <v>20800</v>
      </c>
      <c r="M63" s="249">
        <f t="shared" si="19"/>
        <v>25000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spans="1:26" ht="14.4">
      <c r="A64" s="687"/>
      <c r="B64" s="230" t="s">
        <v>175</v>
      </c>
      <c r="C64" s="227">
        <v>4.75</v>
      </c>
      <c r="D64" s="201"/>
      <c r="E64" s="201"/>
      <c r="F64" s="202">
        <f t="shared" si="15"/>
        <v>4.75</v>
      </c>
      <c r="G64" s="203">
        <v>51850</v>
      </c>
      <c r="H64" s="203">
        <v>51850</v>
      </c>
      <c r="I64" s="204"/>
      <c r="J64" s="205">
        <f t="shared" si="16"/>
        <v>0</v>
      </c>
      <c r="K64" s="205">
        <f t="shared" si="17"/>
        <v>0</v>
      </c>
      <c r="L64" s="248">
        <f t="shared" si="18"/>
        <v>246287.5</v>
      </c>
      <c r="M64" s="249">
        <f t="shared" si="19"/>
        <v>246287.5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spans="1:26" ht="14.4">
      <c r="A65" s="687"/>
      <c r="B65" s="230" t="s">
        <v>176</v>
      </c>
      <c r="C65" s="227">
        <v>2</v>
      </c>
      <c r="D65" s="201"/>
      <c r="E65" s="201"/>
      <c r="F65" s="202">
        <f t="shared" si="15"/>
        <v>2</v>
      </c>
      <c r="G65" s="203">
        <v>49890</v>
      </c>
      <c r="H65" s="203">
        <v>55000</v>
      </c>
      <c r="I65" s="204"/>
      <c r="J65" s="205">
        <f t="shared" si="16"/>
        <v>0</v>
      </c>
      <c r="K65" s="205">
        <f t="shared" si="17"/>
        <v>0</v>
      </c>
      <c r="L65" s="248">
        <f t="shared" si="18"/>
        <v>99780</v>
      </c>
      <c r="M65" s="249">
        <f t="shared" si="19"/>
        <v>110000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spans="1:26" ht="14.4">
      <c r="A66" s="687"/>
      <c r="B66" s="230" t="s">
        <v>177</v>
      </c>
      <c r="C66" s="238">
        <v>6.75</v>
      </c>
      <c r="D66" s="201"/>
      <c r="E66" s="201"/>
      <c r="F66" s="202">
        <f t="shared" si="15"/>
        <v>6.75</v>
      </c>
      <c r="G66" s="203">
        <v>60000</v>
      </c>
      <c r="H66" s="203">
        <v>63000</v>
      </c>
      <c r="I66" s="204"/>
      <c r="J66" s="205">
        <f t="shared" si="16"/>
        <v>0</v>
      </c>
      <c r="K66" s="205">
        <f t="shared" si="17"/>
        <v>0</v>
      </c>
      <c r="L66" s="248">
        <f t="shared" si="18"/>
        <v>405000</v>
      </c>
      <c r="M66" s="249">
        <f t="shared" si="19"/>
        <v>425250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spans="1:26" ht="14.4">
      <c r="A67" s="687"/>
      <c r="B67" s="230" t="s">
        <v>178</v>
      </c>
      <c r="C67" s="227">
        <v>7.25</v>
      </c>
      <c r="D67" s="201"/>
      <c r="E67" s="201"/>
      <c r="F67" s="202">
        <f t="shared" si="15"/>
        <v>7.25</v>
      </c>
      <c r="G67" s="203">
        <v>44116</v>
      </c>
      <c r="H67" s="203">
        <v>50000</v>
      </c>
      <c r="I67" s="204"/>
      <c r="J67" s="205">
        <f t="shared" si="16"/>
        <v>0</v>
      </c>
      <c r="K67" s="205">
        <f t="shared" si="17"/>
        <v>0</v>
      </c>
      <c r="L67" s="248">
        <f t="shared" si="18"/>
        <v>319841</v>
      </c>
      <c r="M67" s="249">
        <f t="shared" si="19"/>
        <v>362500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spans="1:26" ht="14.4">
      <c r="A68" s="687"/>
      <c r="B68" s="230" t="s">
        <v>179</v>
      </c>
      <c r="C68" s="238">
        <v>3</v>
      </c>
      <c r="D68" s="201"/>
      <c r="E68" s="201"/>
      <c r="F68" s="202">
        <f t="shared" si="15"/>
        <v>3</v>
      </c>
      <c r="G68" s="203">
        <v>25000</v>
      </c>
      <c r="H68" s="203">
        <v>26000</v>
      </c>
      <c r="I68" s="204"/>
      <c r="J68" s="205">
        <f t="shared" si="16"/>
        <v>0</v>
      </c>
      <c r="K68" s="205">
        <f t="shared" si="17"/>
        <v>0</v>
      </c>
      <c r="L68" s="248">
        <f t="shared" si="18"/>
        <v>75000</v>
      </c>
      <c r="M68" s="249">
        <f t="shared" si="19"/>
        <v>78000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spans="1:26" ht="14.4">
      <c r="A69" s="687"/>
      <c r="B69" s="230" t="s">
        <v>41</v>
      </c>
      <c r="C69" s="227">
        <f>36+2</f>
        <v>38</v>
      </c>
      <c r="D69" s="201"/>
      <c r="E69" s="201"/>
      <c r="F69" s="202">
        <f t="shared" si="15"/>
        <v>38</v>
      </c>
      <c r="G69" s="203">
        <v>43600</v>
      </c>
      <c r="H69" s="203">
        <v>49000</v>
      </c>
      <c r="I69" s="204"/>
      <c r="J69" s="205">
        <f t="shared" si="16"/>
        <v>0</v>
      </c>
      <c r="K69" s="205">
        <f t="shared" si="17"/>
        <v>0</v>
      </c>
      <c r="L69" s="248">
        <f t="shared" si="18"/>
        <v>1656800</v>
      </c>
      <c r="M69" s="249">
        <f t="shared" si="19"/>
        <v>1862000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spans="1:26" ht="14.4">
      <c r="A70" s="687"/>
      <c r="B70" s="230" t="s">
        <v>180</v>
      </c>
      <c r="C70" s="227">
        <v>9.5</v>
      </c>
      <c r="D70" s="201"/>
      <c r="E70" s="201"/>
      <c r="F70" s="202">
        <f t="shared" si="15"/>
        <v>9.5</v>
      </c>
      <c r="G70" s="203">
        <v>49000</v>
      </c>
      <c r="H70" s="203">
        <v>55000</v>
      </c>
      <c r="I70" s="204"/>
      <c r="J70" s="205">
        <f t="shared" si="16"/>
        <v>0</v>
      </c>
      <c r="K70" s="205">
        <f t="shared" si="17"/>
        <v>0</v>
      </c>
      <c r="L70" s="248">
        <f t="shared" si="18"/>
        <v>465500</v>
      </c>
      <c r="M70" s="249">
        <f t="shared" si="19"/>
        <v>522500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spans="1:26" ht="18" customHeight="1">
      <c r="A71" s="687"/>
      <c r="B71" s="230" t="s">
        <v>181</v>
      </c>
      <c r="C71" s="227">
        <v>8</v>
      </c>
      <c r="D71" s="201"/>
      <c r="E71" s="201"/>
      <c r="F71" s="202">
        <f t="shared" si="15"/>
        <v>8</v>
      </c>
      <c r="G71" s="203">
        <v>58050</v>
      </c>
      <c r="H71" s="203">
        <v>63700</v>
      </c>
      <c r="I71" s="204"/>
      <c r="J71" s="205">
        <f t="shared" si="16"/>
        <v>0</v>
      </c>
      <c r="K71" s="205">
        <f t="shared" si="17"/>
        <v>0</v>
      </c>
      <c r="L71" s="248">
        <f t="shared" si="18"/>
        <v>464400</v>
      </c>
      <c r="M71" s="249">
        <f t="shared" si="19"/>
        <v>509600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spans="1:26" ht="18" customHeight="1">
      <c r="A72" s="687"/>
      <c r="B72" s="230" t="s">
        <v>182</v>
      </c>
      <c r="C72" s="227">
        <v>0.5</v>
      </c>
      <c r="D72" s="201"/>
      <c r="E72" s="201"/>
      <c r="F72" s="202">
        <f t="shared" si="15"/>
        <v>0.5</v>
      </c>
      <c r="G72" s="203">
        <v>46000</v>
      </c>
      <c r="H72" s="203">
        <v>52000</v>
      </c>
      <c r="I72" s="204"/>
      <c r="J72" s="205">
        <f t="shared" si="16"/>
        <v>0</v>
      </c>
      <c r="K72" s="205">
        <f t="shared" si="17"/>
        <v>0</v>
      </c>
      <c r="L72" s="248">
        <f t="shared" si="18"/>
        <v>23000</v>
      </c>
      <c r="M72" s="249">
        <f t="shared" si="19"/>
        <v>26000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spans="1:26" ht="14.4">
      <c r="A73" s="687"/>
      <c r="B73" s="230" t="s">
        <v>183</v>
      </c>
      <c r="C73" s="227">
        <v>10</v>
      </c>
      <c r="D73" s="201"/>
      <c r="E73" s="201"/>
      <c r="F73" s="202">
        <f t="shared" si="15"/>
        <v>10</v>
      </c>
      <c r="G73" s="203">
        <v>53000</v>
      </c>
      <c r="H73" s="203">
        <v>63000</v>
      </c>
      <c r="I73" s="204"/>
      <c r="J73" s="205">
        <f t="shared" si="16"/>
        <v>0</v>
      </c>
      <c r="K73" s="205">
        <f t="shared" si="17"/>
        <v>0</v>
      </c>
      <c r="L73" s="248">
        <f t="shared" si="18"/>
        <v>530000</v>
      </c>
      <c r="M73" s="249">
        <f t="shared" si="19"/>
        <v>630000</v>
      </c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spans="1:26" ht="14.4">
      <c r="A74" s="687"/>
      <c r="B74" s="230" t="s">
        <v>184</v>
      </c>
      <c r="C74" s="227"/>
      <c r="D74" s="201"/>
      <c r="E74" s="201"/>
      <c r="F74" s="202">
        <f t="shared" si="15"/>
        <v>0</v>
      </c>
      <c r="G74" s="203">
        <v>62500</v>
      </c>
      <c r="H74" s="203">
        <v>68000</v>
      </c>
      <c r="I74" s="204"/>
      <c r="J74" s="205">
        <f t="shared" si="16"/>
        <v>0</v>
      </c>
      <c r="K74" s="205">
        <f t="shared" si="17"/>
        <v>0</v>
      </c>
      <c r="L74" s="248">
        <f t="shared" si="18"/>
        <v>0</v>
      </c>
      <c r="M74" s="249">
        <f t="shared" si="19"/>
        <v>0</v>
      </c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spans="1:26" ht="14.4">
      <c r="A75" s="687"/>
      <c r="B75" s="230" t="s">
        <v>44</v>
      </c>
      <c r="C75" s="227">
        <f>158+3</f>
        <v>161</v>
      </c>
      <c r="D75" s="201"/>
      <c r="E75" s="201"/>
      <c r="F75" s="202">
        <f t="shared" ref="F75:F76" si="20">+C75+D75-E66</f>
        <v>161</v>
      </c>
      <c r="G75" s="203">
        <v>31200</v>
      </c>
      <c r="H75" s="203">
        <v>34500</v>
      </c>
      <c r="I75" s="204"/>
      <c r="J75" s="205">
        <f t="shared" si="16"/>
        <v>0</v>
      </c>
      <c r="K75" s="205">
        <f t="shared" si="17"/>
        <v>0</v>
      </c>
      <c r="L75" s="248">
        <f t="shared" si="18"/>
        <v>5023200</v>
      </c>
      <c r="M75" s="249">
        <f t="shared" si="19"/>
        <v>5554500</v>
      </c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spans="1:26" ht="14.4">
      <c r="A76" s="687"/>
      <c r="B76" s="230" t="s">
        <v>185</v>
      </c>
      <c r="C76" s="227">
        <v>109</v>
      </c>
      <c r="D76" s="201"/>
      <c r="E76" s="201"/>
      <c r="F76" s="202">
        <f t="shared" si="20"/>
        <v>109</v>
      </c>
      <c r="G76" s="203">
        <v>34000</v>
      </c>
      <c r="H76" s="203">
        <v>37500</v>
      </c>
      <c r="I76" s="204"/>
      <c r="J76" s="205">
        <f t="shared" si="16"/>
        <v>0</v>
      </c>
      <c r="K76" s="205">
        <f t="shared" si="17"/>
        <v>0</v>
      </c>
      <c r="L76" s="248">
        <f t="shared" si="18"/>
        <v>3706000</v>
      </c>
      <c r="M76" s="249">
        <f t="shared" si="19"/>
        <v>4087500</v>
      </c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spans="1:26" ht="14.4">
      <c r="A77" s="687"/>
      <c r="B77" s="230" t="s">
        <v>186</v>
      </c>
      <c r="C77" s="227">
        <v>1.75</v>
      </c>
      <c r="D77" s="201"/>
      <c r="E77" s="201"/>
      <c r="F77" s="202">
        <f t="shared" ref="F77:F86" si="21">+C77+D77-E77</f>
        <v>1.75</v>
      </c>
      <c r="G77" s="203">
        <v>64000</v>
      </c>
      <c r="H77" s="203">
        <v>68000</v>
      </c>
      <c r="I77" s="204"/>
      <c r="J77" s="205">
        <f t="shared" si="16"/>
        <v>0</v>
      </c>
      <c r="K77" s="205">
        <f t="shared" si="17"/>
        <v>0</v>
      </c>
      <c r="L77" s="250">
        <f t="shared" si="18"/>
        <v>112000</v>
      </c>
      <c r="M77" s="251">
        <f t="shared" si="19"/>
        <v>119000</v>
      </c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spans="1:26" ht="14.4">
      <c r="A78" s="687"/>
      <c r="B78" s="230" t="s">
        <v>187</v>
      </c>
      <c r="C78" s="227">
        <v>2.5</v>
      </c>
      <c r="D78" s="201"/>
      <c r="E78" s="201"/>
      <c r="F78" s="202">
        <f t="shared" si="21"/>
        <v>2.5</v>
      </c>
      <c r="G78" s="203">
        <v>50000</v>
      </c>
      <c r="H78" s="203">
        <v>55500</v>
      </c>
      <c r="I78" s="204"/>
      <c r="J78" s="205">
        <f t="shared" si="16"/>
        <v>0</v>
      </c>
      <c r="K78" s="205">
        <f t="shared" si="17"/>
        <v>0</v>
      </c>
      <c r="L78" s="248">
        <f t="shared" si="18"/>
        <v>125000</v>
      </c>
      <c r="M78" s="249">
        <f t="shared" si="19"/>
        <v>138750</v>
      </c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spans="1:26" ht="14.4">
      <c r="A79" s="687"/>
      <c r="B79" s="230" t="s">
        <v>188</v>
      </c>
      <c r="C79" s="227">
        <v>0.25</v>
      </c>
      <c r="D79" s="201"/>
      <c r="E79" s="201"/>
      <c r="F79" s="202">
        <f t="shared" si="21"/>
        <v>0.25</v>
      </c>
      <c r="G79" s="203">
        <v>55111</v>
      </c>
      <c r="H79" s="203">
        <v>60000</v>
      </c>
      <c r="I79" s="204"/>
      <c r="J79" s="205">
        <f t="shared" si="16"/>
        <v>0</v>
      </c>
      <c r="K79" s="205">
        <f t="shared" si="17"/>
        <v>0</v>
      </c>
      <c r="L79" s="248">
        <f t="shared" si="18"/>
        <v>13777.75</v>
      </c>
      <c r="M79" s="249">
        <f t="shared" si="19"/>
        <v>15000</v>
      </c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spans="1:26" ht="14.4">
      <c r="A80" s="687"/>
      <c r="B80" s="230" t="s">
        <v>46</v>
      </c>
      <c r="C80" s="252">
        <f>105+1</f>
        <v>106</v>
      </c>
      <c r="D80" s="201"/>
      <c r="E80" s="201"/>
      <c r="F80" s="202">
        <f t="shared" si="21"/>
        <v>106</v>
      </c>
      <c r="G80" s="203">
        <v>37000</v>
      </c>
      <c r="H80" s="203">
        <v>39000</v>
      </c>
      <c r="I80" s="204"/>
      <c r="J80" s="205">
        <f t="shared" si="16"/>
        <v>0</v>
      </c>
      <c r="K80" s="205">
        <f t="shared" si="17"/>
        <v>0</v>
      </c>
      <c r="L80" s="248">
        <f t="shared" si="18"/>
        <v>3922000</v>
      </c>
      <c r="M80" s="249">
        <f t="shared" si="19"/>
        <v>4134000</v>
      </c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spans="1:26" ht="14.4">
      <c r="A81" s="687"/>
      <c r="B81" s="230" t="s">
        <v>189</v>
      </c>
      <c r="C81" s="227">
        <v>13</v>
      </c>
      <c r="D81" s="201"/>
      <c r="E81" s="201"/>
      <c r="F81" s="202">
        <f t="shared" si="21"/>
        <v>13</v>
      </c>
      <c r="G81" s="203">
        <v>37700</v>
      </c>
      <c r="H81" s="203">
        <v>40500</v>
      </c>
      <c r="I81" s="204"/>
      <c r="J81" s="205">
        <f t="shared" si="16"/>
        <v>0</v>
      </c>
      <c r="K81" s="205">
        <f t="shared" si="17"/>
        <v>0</v>
      </c>
      <c r="L81" s="248">
        <f t="shared" si="18"/>
        <v>490100</v>
      </c>
      <c r="M81" s="249">
        <f t="shared" si="19"/>
        <v>526500</v>
      </c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spans="1:26" ht="14.4">
      <c r="A82" s="687"/>
      <c r="B82" s="230" t="s">
        <v>49</v>
      </c>
      <c r="C82" s="238">
        <v>0.25</v>
      </c>
      <c r="D82" s="201"/>
      <c r="E82" s="201"/>
      <c r="F82" s="202">
        <f t="shared" si="21"/>
        <v>0.25</v>
      </c>
      <c r="G82" s="203">
        <v>44000</v>
      </c>
      <c r="H82" s="203">
        <v>50000</v>
      </c>
      <c r="I82" s="204"/>
      <c r="J82" s="205">
        <f t="shared" si="16"/>
        <v>0</v>
      </c>
      <c r="K82" s="205">
        <f t="shared" si="17"/>
        <v>0</v>
      </c>
      <c r="L82" s="248">
        <f t="shared" si="18"/>
        <v>11000</v>
      </c>
      <c r="M82" s="249">
        <f t="shared" si="19"/>
        <v>12500</v>
      </c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spans="1:26" ht="14.4">
      <c r="A83" s="687"/>
      <c r="B83" s="230" t="s">
        <v>190</v>
      </c>
      <c r="C83" s="238">
        <v>1.75</v>
      </c>
      <c r="D83" s="201"/>
      <c r="E83" s="201"/>
      <c r="F83" s="202">
        <f t="shared" si="21"/>
        <v>1.75</v>
      </c>
      <c r="G83" s="203">
        <v>40000</v>
      </c>
      <c r="H83" s="203">
        <v>43000</v>
      </c>
      <c r="I83" s="204"/>
      <c r="J83" s="205">
        <f t="shared" si="16"/>
        <v>0</v>
      </c>
      <c r="K83" s="205">
        <f t="shared" si="17"/>
        <v>0</v>
      </c>
      <c r="L83" s="248">
        <f t="shared" si="18"/>
        <v>70000</v>
      </c>
      <c r="M83" s="249">
        <f t="shared" si="19"/>
        <v>75250</v>
      </c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spans="1:26" ht="14.4">
      <c r="A84" s="687"/>
      <c r="B84" s="230" t="s">
        <v>191</v>
      </c>
      <c r="C84" s="253">
        <v>0.75</v>
      </c>
      <c r="D84" s="201"/>
      <c r="E84" s="201"/>
      <c r="F84" s="202">
        <f t="shared" si="21"/>
        <v>0.75</v>
      </c>
      <c r="G84" s="203">
        <v>58700</v>
      </c>
      <c r="H84" s="203">
        <v>68000</v>
      </c>
      <c r="I84" s="204"/>
      <c r="J84" s="205">
        <f t="shared" si="16"/>
        <v>0</v>
      </c>
      <c r="K84" s="205">
        <f t="shared" si="17"/>
        <v>0</v>
      </c>
      <c r="L84" s="248">
        <f t="shared" si="18"/>
        <v>44025</v>
      </c>
      <c r="M84" s="249">
        <f t="shared" si="19"/>
        <v>51000</v>
      </c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spans="1:26" ht="14.4">
      <c r="A85" s="687"/>
      <c r="B85" s="230" t="s">
        <v>192</v>
      </c>
      <c r="C85" s="227">
        <v>11.5</v>
      </c>
      <c r="D85" s="201"/>
      <c r="E85" s="201"/>
      <c r="F85" s="202">
        <f t="shared" si="21"/>
        <v>11.5</v>
      </c>
      <c r="G85" s="239">
        <v>68000</v>
      </c>
      <c r="H85" s="239">
        <v>73500</v>
      </c>
      <c r="I85" s="204"/>
      <c r="J85" s="205">
        <f t="shared" si="16"/>
        <v>0</v>
      </c>
      <c r="K85" s="205">
        <f t="shared" si="17"/>
        <v>0</v>
      </c>
      <c r="L85" s="248">
        <f t="shared" si="18"/>
        <v>782000</v>
      </c>
      <c r="M85" s="249">
        <f t="shared" si="19"/>
        <v>845250</v>
      </c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spans="1:26" ht="14.4">
      <c r="A86" s="687"/>
      <c r="B86" s="230" t="s">
        <v>193</v>
      </c>
      <c r="C86" s="227">
        <v>1</v>
      </c>
      <c r="D86" s="201"/>
      <c r="E86" s="201"/>
      <c r="F86" s="202">
        <f t="shared" si="21"/>
        <v>1</v>
      </c>
      <c r="G86" s="239">
        <v>86000</v>
      </c>
      <c r="H86" s="239">
        <v>90000</v>
      </c>
      <c r="I86" s="204"/>
      <c r="J86" s="205">
        <f t="shared" si="16"/>
        <v>0</v>
      </c>
      <c r="K86" s="205">
        <f t="shared" si="17"/>
        <v>0</v>
      </c>
      <c r="L86" s="248">
        <f t="shared" si="18"/>
        <v>86000</v>
      </c>
      <c r="M86" s="249">
        <f t="shared" si="19"/>
        <v>90000</v>
      </c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spans="1:26" ht="14.4">
      <c r="A87" s="688"/>
      <c r="B87" s="254"/>
      <c r="C87" s="255"/>
      <c r="D87" s="255"/>
      <c r="E87" s="256"/>
      <c r="F87" s="257">
        <f t="shared" ref="F87:I87" si="22">SUM(F61:F81)</f>
        <v>589.75</v>
      </c>
      <c r="G87" s="258">
        <f t="shared" si="22"/>
        <v>978117</v>
      </c>
      <c r="H87" s="258">
        <f t="shared" si="22"/>
        <v>1081550</v>
      </c>
      <c r="I87" s="259">
        <f t="shared" si="22"/>
        <v>0</v>
      </c>
      <c r="J87" s="260">
        <f t="shared" ref="J87:K87" si="23">SUM(J61:J85)</f>
        <v>0</v>
      </c>
      <c r="K87" s="260">
        <f t="shared" si="23"/>
        <v>0</v>
      </c>
      <c r="L87" s="260">
        <f>SUM(L61:L86)</f>
        <v>23231511.25</v>
      </c>
      <c r="M87" s="260">
        <f>SUM(M61:M85)</f>
        <v>25656387.5</v>
      </c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spans="1:26" ht="14.4">
      <c r="A88" s="689" t="s">
        <v>194</v>
      </c>
      <c r="B88" s="230" t="s">
        <v>195</v>
      </c>
      <c r="C88" s="261">
        <v>9</v>
      </c>
      <c r="D88" s="201"/>
      <c r="E88" s="201"/>
      <c r="F88" s="202">
        <f t="shared" ref="F88:F146" si="24">+C88+D88-E88</f>
        <v>9</v>
      </c>
      <c r="G88" s="203">
        <v>49000</v>
      </c>
      <c r="H88" s="203">
        <v>52000</v>
      </c>
      <c r="I88" s="224"/>
      <c r="J88" s="205">
        <f t="shared" ref="J88:J146" si="25">+I88*H88</f>
        <v>0</v>
      </c>
      <c r="K88" s="205">
        <f t="shared" ref="K88:K146" si="26">+(H88-G88)*I88</f>
        <v>0</v>
      </c>
      <c r="L88" s="262">
        <f t="shared" ref="L88:L146" si="27">+G88*F88</f>
        <v>441000</v>
      </c>
      <c r="M88" s="263">
        <f t="shared" ref="M88:M146" si="28">F88*H88</f>
        <v>468000</v>
      </c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spans="1:26" ht="14.4">
      <c r="A89" s="690"/>
      <c r="B89" s="230" t="s">
        <v>196</v>
      </c>
      <c r="C89" s="227">
        <v>4</v>
      </c>
      <c r="D89" s="201"/>
      <c r="E89" s="201"/>
      <c r="F89" s="202">
        <f t="shared" si="24"/>
        <v>4</v>
      </c>
      <c r="G89" s="203">
        <v>93664</v>
      </c>
      <c r="H89" s="203">
        <v>98000</v>
      </c>
      <c r="I89" s="204"/>
      <c r="J89" s="205">
        <f t="shared" si="25"/>
        <v>0</v>
      </c>
      <c r="K89" s="205">
        <f t="shared" si="26"/>
        <v>0</v>
      </c>
      <c r="L89" s="262">
        <f t="shared" si="27"/>
        <v>374656</v>
      </c>
      <c r="M89" s="263">
        <f t="shared" si="28"/>
        <v>392000</v>
      </c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spans="1:26" ht="14.4">
      <c r="A90" s="690"/>
      <c r="B90" s="230" t="s">
        <v>197</v>
      </c>
      <c r="C90" s="261">
        <v>20</v>
      </c>
      <c r="D90" s="201"/>
      <c r="E90" s="201"/>
      <c r="F90" s="202">
        <f t="shared" si="24"/>
        <v>20</v>
      </c>
      <c r="G90" s="203">
        <v>26900</v>
      </c>
      <c r="H90" s="203">
        <v>29000</v>
      </c>
      <c r="I90" s="204"/>
      <c r="J90" s="205">
        <f t="shared" si="25"/>
        <v>0</v>
      </c>
      <c r="K90" s="205">
        <f t="shared" si="26"/>
        <v>0</v>
      </c>
      <c r="L90" s="262">
        <f t="shared" si="27"/>
        <v>538000</v>
      </c>
      <c r="M90" s="263">
        <f t="shared" si="28"/>
        <v>580000</v>
      </c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spans="1:26" ht="14.4">
      <c r="A91" s="690"/>
      <c r="B91" s="230" t="s">
        <v>198</v>
      </c>
      <c r="C91" s="227">
        <v>10</v>
      </c>
      <c r="D91" s="201"/>
      <c r="E91" s="201"/>
      <c r="F91" s="202">
        <f t="shared" si="24"/>
        <v>10</v>
      </c>
      <c r="G91" s="203">
        <v>43449</v>
      </c>
      <c r="H91" s="203">
        <v>46000</v>
      </c>
      <c r="I91" s="204"/>
      <c r="J91" s="205">
        <f t="shared" si="25"/>
        <v>0</v>
      </c>
      <c r="K91" s="205">
        <f t="shared" si="26"/>
        <v>0</v>
      </c>
      <c r="L91" s="262">
        <f t="shared" si="27"/>
        <v>434490</v>
      </c>
      <c r="M91" s="263">
        <f t="shared" si="28"/>
        <v>460000</v>
      </c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spans="1:26" ht="14.4">
      <c r="A92" s="690"/>
      <c r="B92" s="264" t="s">
        <v>199</v>
      </c>
      <c r="C92" s="227">
        <v>1</v>
      </c>
      <c r="D92" s="201"/>
      <c r="E92" s="201"/>
      <c r="F92" s="202">
        <f t="shared" si="24"/>
        <v>1</v>
      </c>
      <c r="G92" s="210">
        <v>113000</v>
      </c>
      <c r="H92" s="210">
        <v>118000</v>
      </c>
      <c r="I92" s="204"/>
      <c r="J92" s="205">
        <f t="shared" si="25"/>
        <v>0</v>
      </c>
      <c r="K92" s="205">
        <f t="shared" si="26"/>
        <v>0</v>
      </c>
      <c r="L92" s="262">
        <f t="shared" si="27"/>
        <v>113000</v>
      </c>
      <c r="M92" s="263">
        <f t="shared" si="28"/>
        <v>118000</v>
      </c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spans="1:26" ht="14.4">
      <c r="A93" s="690"/>
      <c r="B93" s="230" t="s">
        <v>200</v>
      </c>
      <c r="C93" s="261">
        <v>22</v>
      </c>
      <c r="D93" s="201"/>
      <c r="E93" s="201"/>
      <c r="F93" s="202">
        <f t="shared" si="24"/>
        <v>22</v>
      </c>
      <c r="G93" s="203">
        <v>12678</v>
      </c>
      <c r="H93" s="203">
        <v>13000</v>
      </c>
      <c r="I93" s="204"/>
      <c r="J93" s="205">
        <f t="shared" si="25"/>
        <v>0</v>
      </c>
      <c r="K93" s="205">
        <f t="shared" si="26"/>
        <v>0</v>
      </c>
      <c r="L93" s="262">
        <f t="shared" si="27"/>
        <v>278916</v>
      </c>
      <c r="M93" s="263">
        <f t="shared" si="28"/>
        <v>286000</v>
      </c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spans="1:26" ht="14.4">
      <c r="A94" s="690"/>
      <c r="B94" s="230" t="s">
        <v>201</v>
      </c>
      <c r="C94" s="229">
        <v>3</v>
      </c>
      <c r="D94" s="201"/>
      <c r="E94" s="201"/>
      <c r="F94" s="202">
        <f t="shared" si="24"/>
        <v>3</v>
      </c>
      <c r="G94" s="203">
        <v>50231</v>
      </c>
      <c r="H94" s="203">
        <v>52000</v>
      </c>
      <c r="I94" s="204"/>
      <c r="J94" s="205">
        <f t="shared" si="25"/>
        <v>0</v>
      </c>
      <c r="K94" s="205">
        <f t="shared" si="26"/>
        <v>0</v>
      </c>
      <c r="L94" s="262">
        <f t="shared" si="27"/>
        <v>150693</v>
      </c>
      <c r="M94" s="263">
        <f t="shared" si="28"/>
        <v>156000</v>
      </c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spans="1:26" ht="14.4">
      <c r="A95" s="690"/>
      <c r="B95" s="230" t="s">
        <v>202</v>
      </c>
      <c r="C95" s="261">
        <v>4</v>
      </c>
      <c r="D95" s="201"/>
      <c r="E95" s="201"/>
      <c r="F95" s="202">
        <f t="shared" si="24"/>
        <v>4</v>
      </c>
      <c r="G95" s="203">
        <v>27677</v>
      </c>
      <c r="H95" s="203">
        <v>30000</v>
      </c>
      <c r="I95" s="204"/>
      <c r="J95" s="205">
        <f t="shared" si="25"/>
        <v>0</v>
      </c>
      <c r="K95" s="205">
        <f t="shared" si="26"/>
        <v>0</v>
      </c>
      <c r="L95" s="262">
        <f t="shared" si="27"/>
        <v>110708</v>
      </c>
      <c r="M95" s="263">
        <f t="shared" si="28"/>
        <v>120000</v>
      </c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spans="1:26" ht="14.4">
      <c r="A96" s="690"/>
      <c r="B96" s="230" t="s">
        <v>203</v>
      </c>
      <c r="C96" s="227"/>
      <c r="D96" s="201"/>
      <c r="E96" s="201"/>
      <c r="F96" s="202">
        <f t="shared" si="24"/>
        <v>0</v>
      </c>
      <c r="G96" s="203">
        <v>13257</v>
      </c>
      <c r="H96" s="203">
        <v>13500</v>
      </c>
      <c r="I96" s="204"/>
      <c r="J96" s="205">
        <f t="shared" si="25"/>
        <v>0</v>
      </c>
      <c r="K96" s="205">
        <f t="shared" si="26"/>
        <v>0</v>
      </c>
      <c r="L96" s="262">
        <f t="shared" si="27"/>
        <v>0</v>
      </c>
      <c r="M96" s="263">
        <f t="shared" si="28"/>
        <v>0</v>
      </c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spans="1:26" ht="14.4">
      <c r="A97" s="690"/>
      <c r="B97" s="230" t="s">
        <v>204</v>
      </c>
      <c r="C97" s="227">
        <v>1</v>
      </c>
      <c r="D97" s="201"/>
      <c r="E97" s="201"/>
      <c r="F97" s="202">
        <f t="shared" si="24"/>
        <v>1</v>
      </c>
      <c r="G97" s="203">
        <v>94624</v>
      </c>
      <c r="H97" s="203">
        <v>104000</v>
      </c>
      <c r="I97" s="204"/>
      <c r="J97" s="205">
        <f t="shared" si="25"/>
        <v>0</v>
      </c>
      <c r="K97" s="205">
        <f t="shared" si="26"/>
        <v>0</v>
      </c>
      <c r="L97" s="262">
        <f t="shared" si="27"/>
        <v>94624</v>
      </c>
      <c r="M97" s="263">
        <f t="shared" si="28"/>
        <v>104000</v>
      </c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spans="1:26" ht="14.4">
      <c r="A98" s="690"/>
      <c r="B98" s="230" t="s">
        <v>205</v>
      </c>
      <c r="C98" s="229">
        <v>5</v>
      </c>
      <c r="D98" s="201"/>
      <c r="E98" s="201"/>
      <c r="F98" s="202">
        <f t="shared" si="24"/>
        <v>5</v>
      </c>
      <c r="G98" s="203">
        <v>42926</v>
      </c>
      <c r="H98" s="203">
        <v>45000</v>
      </c>
      <c r="I98" s="204"/>
      <c r="J98" s="205">
        <f t="shared" si="25"/>
        <v>0</v>
      </c>
      <c r="K98" s="205">
        <f t="shared" si="26"/>
        <v>0</v>
      </c>
      <c r="L98" s="262">
        <f t="shared" si="27"/>
        <v>214630</v>
      </c>
      <c r="M98" s="263">
        <f t="shared" si="28"/>
        <v>225000</v>
      </c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spans="1:26" ht="14.4">
      <c r="A99" s="690"/>
      <c r="B99" s="230" t="s">
        <v>206</v>
      </c>
      <c r="C99" s="227"/>
      <c r="D99" s="201"/>
      <c r="E99" s="201"/>
      <c r="F99" s="202">
        <f t="shared" si="24"/>
        <v>0</v>
      </c>
      <c r="G99" s="203">
        <v>22505</v>
      </c>
      <c r="H99" s="203">
        <v>24000</v>
      </c>
      <c r="I99" s="204"/>
      <c r="J99" s="205">
        <f t="shared" si="25"/>
        <v>0</v>
      </c>
      <c r="K99" s="205">
        <f t="shared" si="26"/>
        <v>0</v>
      </c>
      <c r="L99" s="262">
        <f t="shared" si="27"/>
        <v>0</v>
      </c>
      <c r="M99" s="263">
        <f t="shared" si="28"/>
        <v>0</v>
      </c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spans="1:26" ht="14.4">
      <c r="A100" s="690"/>
      <c r="B100" s="230" t="s">
        <v>207</v>
      </c>
      <c r="C100" s="227"/>
      <c r="D100" s="201"/>
      <c r="E100" s="201"/>
      <c r="F100" s="202">
        <f t="shared" si="24"/>
        <v>0</v>
      </c>
      <c r="G100" s="203">
        <v>38230</v>
      </c>
      <c r="H100" s="203">
        <v>41000</v>
      </c>
      <c r="I100" s="204"/>
      <c r="J100" s="205">
        <f t="shared" si="25"/>
        <v>0</v>
      </c>
      <c r="K100" s="205">
        <f t="shared" si="26"/>
        <v>0</v>
      </c>
      <c r="L100" s="262">
        <f t="shared" si="27"/>
        <v>0</v>
      </c>
      <c r="M100" s="263">
        <f t="shared" si="28"/>
        <v>0</v>
      </c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spans="1:26" ht="14.4">
      <c r="A101" s="690"/>
      <c r="B101" s="230" t="s">
        <v>208</v>
      </c>
      <c r="C101" s="227">
        <v>6</v>
      </c>
      <c r="D101" s="201"/>
      <c r="E101" s="201"/>
      <c r="F101" s="202">
        <f t="shared" si="24"/>
        <v>6</v>
      </c>
      <c r="G101" s="203">
        <v>10985</v>
      </c>
      <c r="H101" s="203">
        <v>13000</v>
      </c>
      <c r="I101" s="204"/>
      <c r="J101" s="205">
        <f t="shared" si="25"/>
        <v>0</v>
      </c>
      <c r="K101" s="205">
        <f t="shared" si="26"/>
        <v>0</v>
      </c>
      <c r="L101" s="262">
        <f t="shared" si="27"/>
        <v>65910</v>
      </c>
      <c r="M101" s="263">
        <f t="shared" si="28"/>
        <v>78000</v>
      </c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spans="1:26" ht="14.4">
      <c r="A102" s="690"/>
      <c r="B102" s="230" t="s">
        <v>209</v>
      </c>
      <c r="C102" s="227">
        <v>2</v>
      </c>
      <c r="D102" s="201"/>
      <c r="E102" s="201"/>
      <c r="F102" s="202">
        <f t="shared" si="24"/>
        <v>2</v>
      </c>
      <c r="G102" s="210">
        <v>90151</v>
      </c>
      <c r="H102" s="210">
        <v>95000</v>
      </c>
      <c r="I102" s="204"/>
      <c r="J102" s="205">
        <f t="shared" si="25"/>
        <v>0</v>
      </c>
      <c r="K102" s="205">
        <f t="shared" si="26"/>
        <v>0</v>
      </c>
      <c r="L102" s="262">
        <f t="shared" si="27"/>
        <v>180302</v>
      </c>
      <c r="M102" s="263">
        <f t="shared" si="28"/>
        <v>190000</v>
      </c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spans="1:26" ht="14.4">
      <c r="A103" s="690"/>
      <c r="B103" s="265" t="s">
        <v>210</v>
      </c>
      <c r="C103" s="229">
        <v>3</v>
      </c>
      <c r="D103" s="201"/>
      <c r="E103" s="201"/>
      <c r="F103" s="202">
        <f t="shared" si="24"/>
        <v>3</v>
      </c>
      <c r="G103" s="210">
        <v>90151</v>
      </c>
      <c r="H103" s="210">
        <v>95000</v>
      </c>
      <c r="I103" s="204"/>
      <c r="J103" s="205">
        <f t="shared" si="25"/>
        <v>0</v>
      </c>
      <c r="K103" s="205">
        <f t="shared" si="26"/>
        <v>0</v>
      </c>
      <c r="L103" s="262">
        <f t="shared" si="27"/>
        <v>270453</v>
      </c>
      <c r="M103" s="263">
        <f t="shared" si="28"/>
        <v>285000</v>
      </c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spans="1:26" ht="14.4">
      <c r="A104" s="690"/>
      <c r="B104" s="230" t="s">
        <v>211</v>
      </c>
      <c r="C104" s="227">
        <v>6</v>
      </c>
      <c r="D104" s="201"/>
      <c r="E104" s="201"/>
      <c r="F104" s="202">
        <f t="shared" si="24"/>
        <v>6</v>
      </c>
      <c r="G104" s="266">
        <v>89506</v>
      </c>
      <c r="H104" s="203">
        <v>95000</v>
      </c>
      <c r="I104" s="204"/>
      <c r="J104" s="205">
        <f t="shared" si="25"/>
        <v>0</v>
      </c>
      <c r="K104" s="205">
        <f t="shared" si="26"/>
        <v>0</v>
      </c>
      <c r="L104" s="262">
        <f t="shared" si="27"/>
        <v>537036</v>
      </c>
      <c r="M104" s="263">
        <f t="shared" si="28"/>
        <v>570000</v>
      </c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spans="1:26" ht="14.4">
      <c r="A105" s="690"/>
      <c r="B105" s="230" t="s">
        <v>212</v>
      </c>
      <c r="C105" s="227">
        <v>13</v>
      </c>
      <c r="D105" s="201"/>
      <c r="E105" s="201"/>
      <c r="F105" s="202">
        <f t="shared" si="24"/>
        <v>13</v>
      </c>
      <c r="G105" s="267">
        <v>48729</v>
      </c>
      <c r="H105" s="203">
        <v>51000</v>
      </c>
      <c r="I105" s="204"/>
      <c r="J105" s="205">
        <f t="shared" si="25"/>
        <v>0</v>
      </c>
      <c r="K105" s="205">
        <f t="shared" si="26"/>
        <v>0</v>
      </c>
      <c r="L105" s="262">
        <f t="shared" si="27"/>
        <v>633477</v>
      </c>
      <c r="M105" s="263">
        <f t="shared" si="28"/>
        <v>663000</v>
      </c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spans="1:26" ht="14.4">
      <c r="A106" s="690"/>
      <c r="B106" s="230" t="s">
        <v>213</v>
      </c>
      <c r="C106" s="227"/>
      <c r="D106" s="201"/>
      <c r="E106" s="201"/>
      <c r="F106" s="202">
        <f t="shared" si="24"/>
        <v>0</v>
      </c>
      <c r="G106" s="267">
        <v>26542</v>
      </c>
      <c r="H106" s="203">
        <v>28000</v>
      </c>
      <c r="I106" s="204"/>
      <c r="J106" s="205">
        <f t="shared" si="25"/>
        <v>0</v>
      </c>
      <c r="K106" s="205">
        <f t="shared" si="26"/>
        <v>0</v>
      </c>
      <c r="L106" s="262">
        <f t="shared" si="27"/>
        <v>0</v>
      </c>
      <c r="M106" s="263">
        <f t="shared" si="28"/>
        <v>0</v>
      </c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spans="1:26" ht="14.4">
      <c r="A107" s="690"/>
      <c r="B107" s="230" t="s">
        <v>214</v>
      </c>
      <c r="C107" s="261">
        <v>7</v>
      </c>
      <c r="D107" s="201"/>
      <c r="E107" s="201"/>
      <c r="F107" s="202">
        <f t="shared" si="24"/>
        <v>7</v>
      </c>
      <c r="G107" s="267">
        <v>48729</v>
      </c>
      <c r="H107" s="203">
        <v>51000</v>
      </c>
      <c r="I107" s="204"/>
      <c r="J107" s="205">
        <f t="shared" si="25"/>
        <v>0</v>
      </c>
      <c r="K107" s="205">
        <f t="shared" si="26"/>
        <v>0</v>
      </c>
      <c r="L107" s="262">
        <f t="shared" si="27"/>
        <v>341103</v>
      </c>
      <c r="M107" s="263">
        <f t="shared" si="28"/>
        <v>357000</v>
      </c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spans="1:26" ht="14.4">
      <c r="A108" s="690"/>
      <c r="B108" s="230" t="s">
        <v>215</v>
      </c>
      <c r="C108" s="261">
        <v>11</v>
      </c>
      <c r="D108" s="201"/>
      <c r="E108" s="201"/>
      <c r="F108" s="202">
        <f t="shared" si="24"/>
        <v>11</v>
      </c>
      <c r="G108" s="203">
        <v>46856</v>
      </c>
      <c r="H108" s="203">
        <v>49000</v>
      </c>
      <c r="I108" s="204"/>
      <c r="J108" s="205">
        <f t="shared" si="25"/>
        <v>0</v>
      </c>
      <c r="K108" s="205">
        <f t="shared" si="26"/>
        <v>0</v>
      </c>
      <c r="L108" s="262">
        <f t="shared" si="27"/>
        <v>515416</v>
      </c>
      <c r="M108" s="263">
        <f t="shared" si="28"/>
        <v>539000</v>
      </c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spans="1:26" ht="14.4">
      <c r="A109" s="690"/>
      <c r="B109" s="230" t="s">
        <v>59</v>
      </c>
      <c r="C109" s="261">
        <v>10</v>
      </c>
      <c r="D109" s="201"/>
      <c r="E109" s="201"/>
      <c r="F109" s="202">
        <f t="shared" si="24"/>
        <v>10</v>
      </c>
      <c r="G109" s="203">
        <v>26234</v>
      </c>
      <c r="H109" s="203">
        <v>28000</v>
      </c>
      <c r="I109" s="204"/>
      <c r="J109" s="205">
        <f t="shared" si="25"/>
        <v>0</v>
      </c>
      <c r="K109" s="205">
        <f t="shared" si="26"/>
        <v>0</v>
      </c>
      <c r="L109" s="262">
        <f t="shared" si="27"/>
        <v>262340</v>
      </c>
      <c r="M109" s="263">
        <f t="shared" si="28"/>
        <v>280000</v>
      </c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spans="1:26" ht="14.4">
      <c r="A110" s="690"/>
      <c r="B110" s="230" t="s">
        <v>216</v>
      </c>
      <c r="C110" s="227">
        <v>7</v>
      </c>
      <c r="D110" s="201"/>
      <c r="E110" s="201"/>
      <c r="F110" s="202">
        <f t="shared" si="24"/>
        <v>7</v>
      </c>
      <c r="G110" s="203">
        <v>11700</v>
      </c>
      <c r="H110" s="203">
        <v>13000</v>
      </c>
      <c r="I110" s="204"/>
      <c r="J110" s="205">
        <f t="shared" si="25"/>
        <v>0</v>
      </c>
      <c r="K110" s="205">
        <f t="shared" si="26"/>
        <v>0</v>
      </c>
      <c r="L110" s="262">
        <f t="shared" si="27"/>
        <v>81900</v>
      </c>
      <c r="M110" s="263">
        <f t="shared" si="28"/>
        <v>91000</v>
      </c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spans="1:26" ht="14.4">
      <c r="A111" s="690"/>
      <c r="B111" s="230" t="s">
        <v>217</v>
      </c>
      <c r="C111" s="227">
        <v>2</v>
      </c>
      <c r="D111" s="201"/>
      <c r="E111" s="201"/>
      <c r="F111" s="202">
        <f t="shared" si="24"/>
        <v>2</v>
      </c>
      <c r="G111" s="203">
        <v>51378</v>
      </c>
      <c r="H111" s="203">
        <v>53000</v>
      </c>
      <c r="I111" s="204"/>
      <c r="J111" s="205">
        <f t="shared" si="25"/>
        <v>0</v>
      </c>
      <c r="K111" s="205">
        <f t="shared" si="26"/>
        <v>0</v>
      </c>
      <c r="L111" s="262">
        <f t="shared" si="27"/>
        <v>102756</v>
      </c>
      <c r="M111" s="263">
        <f t="shared" si="28"/>
        <v>106000</v>
      </c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spans="1:26" ht="14.4">
      <c r="A112" s="690"/>
      <c r="B112" s="230" t="s">
        <v>218</v>
      </c>
      <c r="C112" s="227">
        <v>1</v>
      </c>
      <c r="D112" s="201"/>
      <c r="E112" s="201"/>
      <c r="F112" s="202">
        <f t="shared" si="24"/>
        <v>1</v>
      </c>
      <c r="G112" s="203">
        <v>29440</v>
      </c>
      <c r="H112" s="203">
        <v>31000</v>
      </c>
      <c r="I112" s="204"/>
      <c r="J112" s="205">
        <f t="shared" si="25"/>
        <v>0</v>
      </c>
      <c r="K112" s="205">
        <f t="shared" si="26"/>
        <v>0</v>
      </c>
      <c r="L112" s="262">
        <f t="shared" si="27"/>
        <v>29440</v>
      </c>
      <c r="M112" s="263">
        <f t="shared" si="28"/>
        <v>31000</v>
      </c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spans="1:26" ht="14.4">
      <c r="A113" s="690"/>
      <c r="B113" s="230" t="s">
        <v>659</v>
      </c>
      <c r="C113" s="229">
        <v>5</v>
      </c>
      <c r="D113" s="201"/>
      <c r="E113" s="201"/>
      <c r="F113" s="202">
        <f t="shared" si="24"/>
        <v>5</v>
      </c>
      <c r="G113" s="203">
        <v>11700</v>
      </c>
      <c r="H113" s="203">
        <v>13000</v>
      </c>
      <c r="I113" s="204"/>
      <c r="J113" s="205">
        <f t="shared" si="25"/>
        <v>0</v>
      </c>
      <c r="K113" s="205">
        <f t="shared" si="26"/>
        <v>0</v>
      </c>
      <c r="L113" s="262">
        <f t="shared" si="27"/>
        <v>58500</v>
      </c>
      <c r="M113" s="263">
        <f t="shared" si="28"/>
        <v>65000</v>
      </c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spans="1:26" ht="14.4">
      <c r="A114" s="690"/>
      <c r="B114" s="230" t="s">
        <v>219</v>
      </c>
      <c r="C114" s="229">
        <v>2</v>
      </c>
      <c r="D114" s="201"/>
      <c r="E114" s="201"/>
      <c r="F114" s="202">
        <f t="shared" si="24"/>
        <v>2</v>
      </c>
      <c r="G114" s="203">
        <v>52351</v>
      </c>
      <c r="H114" s="203">
        <v>48000</v>
      </c>
      <c r="I114" s="204"/>
      <c r="J114" s="205">
        <f t="shared" si="25"/>
        <v>0</v>
      </c>
      <c r="K114" s="205">
        <f t="shared" si="26"/>
        <v>0</v>
      </c>
      <c r="L114" s="262">
        <f t="shared" si="27"/>
        <v>104702</v>
      </c>
      <c r="M114" s="263">
        <f t="shared" si="28"/>
        <v>96000</v>
      </c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spans="1:26" ht="14.4">
      <c r="A115" s="690"/>
      <c r="B115" s="230" t="s">
        <v>220</v>
      </c>
      <c r="C115" s="229"/>
      <c r="D115" s="201"/>
      <c r="E115" s="201"/>
      <c r="F115" s="202">
        <f t="shared" si="24"/>
        <v>0</v>
      </c>
      <c r="G115" s="203">
        <v>67573</v>
      </c>
      <c r="H115" s="203">
        <v>68000</v>
      </c>
      <c r="I115" s="204"/>
      <c r="J115" s="205">
        <f t="shared" si="25"/>
        <v>0</v>
      </c>
      <c r="K115" s="205">
        <f t="shared" si="26"/>
        <v>0</v>
      </c>
      <c r="L115" s="262">
        <f t="shared" si="27"/>
        <v>0</v>
      </c>
      <c r="M115" s="263">
        <f t="shared" si="28"/>
        <v>0</v>
      </c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spans="1:26" ht="14.4">
      <c r="A116" s="690"/>
      <c r="B116" s="230" t="s">
        <v>221</v>
      </c>
      <c r="C116" s="227">
        <v>1</v>
      </c>
      <c r="D116" s="201"/>
      <c r="E116" s="201"/>
      <c r="F116" s="202">
        <f t="shared" si="24"/>
        <v>1</v>
      </c>
      <c r="G116" s="203">
        <v>119000</v>
      </c>
      <c r="H116" s="203">
        <v>110000</v>
      </c>
      <c r="I116" s="204"/>
      <c r="J116" s="205">
        <f t="shared" si="25"/>
        <v>0</v>
      </c>
      <c r="K116" s="205">
        <f t="shared" si="26"/>
        <v>0</v>
      </c>
      <c r="L116" s="262">
        <f t="shared" si="27"/>
        <v>119000</v>
      </c>
      <c r="M116" s="263">
        <f t="shared" si="28"/>
        <v>110000</v>
      </c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spans="1:26" ht="14.4">
      <c r="A117" s="690"/>
      <c r="B117" s="230" t="s">
        <v>222</v>
      </c>
      <c r="C117" s="227">
        <v>3</v>
      </c>
      <c r="D117" s="201"/>
      <c r="E117" s="201"/>
      <c r="F117" s="202">
        <f t="shared" si="24"/>
        <v>3</v>
      </c>
      <c r="G117" s="203">
        <v>49403</v>
      </c>
      <c r="H117" s="203">
        <v>46000</v>
      </c>
      <c r="I117" s="204"/>
      <c r="J117" s="205">
        <f t="shared" si="25"/>
        <v>0</v>
      </c>
      <c r="K117" s="205">
        <f t="shared" si="26"/>
        <v>0</v>
      </c>
      <c r="L117" s="262">
        <f t="shared" si="27"/>
        <v>148209</v>
      </c>
      <c r="M117" s="263">
        <f t="shared" si="28"/>
        <v>138000</v>
      </c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spans="1:26" ht="14.4">
      <c r="A118" s="690"/>
      <c r="B118" s="230" t="s">
        <v>223</v>
      </c>
      <c r="C118" s="261">
        <v>4</v>
      </c>
      <c r="D118" s="201"/>
      <c r="E118" s="201"/>
      <c r="F118" s="202">
        <f t="shared" si="24"/>
        <v>4</v>
      </c>
      <c r="G118" s="203">
        <v>26477</v>
      </c>
      <c r="H118" s="203">
        <v>26000</v>
      </c>
      <c r="I118" s="204"/>
      <c r="J118" s="205">
        <f t="shared" si="25"/>
        <v>0</v>
      </c>
      <c r="K118" s="205">
        <f t="shared" si="26"/>
        <v>0</v>
      </c>
      <c r="L118" s="262">
        <f t="shared" si="27"/>
        <v>105908</v>
      </c>
      <c r="M118" s="263">
        <f t="shared" si="28"/>
        <v>104000</v>
      </c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spans="1:26" ht="14.4">
      <c r="A119" s="690"/>
      <c r="B119" s="230" t="s">
        <v>224</v>
      </c>
      <c r="C119" s="261">
        <v>6</v>
      </c>
      <c r="D119" s="201"/>
      <c r="E119" s="201"/>
      <c r="F119" s="202">
        <f t="shared" si="24"/>
        <v>6</v>
      </c>
      <c r="G119" s="203">
        <v>12985</v>
      </c>
      <c r="H119" s="203">
        <v>13000</v>
      </c>
      <c r="I119" s="204"/>
      <c r="J119" s="205">
        <f t="shared" si="25"/>
        <v>0</v>
      </c>
      <c r="K119" s="205">
        <f t="shared" si="26"/>
        <v>0</v>
      </c>
      <c r="L119" s="262">
        <f t="shared" si="27"/>
        <v>77910</v>
      </c>
      <c r="M119" s="263">
        <f t="shared" si="28"/>
        <v>78000</v>
      </c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spans="1:26" ht="14.4">
      <c r="A120" s="690"/>
      <c r="B120" s="230" t="s">
        <v>53</v>
      </c>
      <c r="C120" s="261"/>
      <c r="D120" s="201"/>
      <c r="E120" s="201"/>
      <c r="F120" s="202">
        <f t="shared" si="24"/>
        <v>0</v>
      </c>
      <c r="G120" s="203">
        <v>47400</v>
      </c>
      <c r="H120" s="203">
        <v>50000</v>
      </c>
      <c r="I120" s="204"/>
      <c r="J120" s="205">
        <f t="shared" si="25"/>
        <v>0</v>
      </c>
      <c r="K120" s="205">
        <f t="shared" si="26"/>
        <v>0</v>
      </c>
      <c r="L120" s="262">
        <f t="shared" si="27"/>
        <v>0</v>
      </c>
      <c r="M120" s="263">
        <f t="shared" si="28"/>
        <v>0</v>
      </c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spans="1:26" ht="14.4">
      <c r="A121" s="690"/>
      <c r="B121" s="230" t="s">
        <v>54</v>
      </c>
      <c r="C121" s="261"/>
      <c r="D121" s="201"/>
      <c r="E121" s="201"/>
      <c r="F121" s="202">
        <f t="shared" si="24"/>
        <v>0</v>
      </c>
      <c r="G121" s="203">
        <v>27500</v>
      </c>
      <c r="H121" s="203">
        <v>28000</v>
      </c>
      <c r="I121" s="204"/>
      <c r="J121" s="205">
        <f t="shared" si="25"/>
        <v>0</v>
      </c>
      <c r="K121" s="205">
        <f t="shared" si="26"/>
        <v>0</v>
      </c>
      <c r="L121" s="262">
        <f t="shared" si="27"/>
        <v>0</v>
      </c>
      <c r="M121" s="263">
        <f t="shared" si="28"/>
        <v>0</v>
      </c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spans="1:26" ht="14.4">
      <c r="A122" s="690"/>
      <c r="B122" s="230" t="s">
        <v>225</v>
      </c>
      <c r="C122" s="229"/>
      <c r="D122" s="201"/>
      <c r="E122" s="201"/>
      <c r="F122" s="202">
        <f t="shared" si="24"/>
        <v>0</v>
      </c>
      <c r="G122" s="203">
        <v>57800</v>
      </c>
      <c r="H122" s="203">
        <v>56000</v>
      </c>
      <c r="I122" s="204"/>
      <c r="J122" s="205">
        <f t="shared" si="25"/>
        <v>0</v>
      </c>
      <c r="K122" s="205">
        <f t="shared" si="26"/>
        <v>0</v>
      </c>
      <c r="L122" s="262">
        <f t="shared" si="27"/>
        <v>0</v>
      </c>
      <c r="M122" s="263">
        <f t="shared" si="28"/>
        <v>0</v>
      </c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spans="1:26" ht="14.4">
      <c r="A123" s="690"/>
      <c r="B123" s="230" t="s">
        <v>226</v>
      </c>
      <c r="C123" s="261"/>
      <c r="D123" s="201"/>
      <c r="E123" s="201"/>
      <c r="F123" s="202">
        <f t="shared" si="24"/>
        <v>0</v>
      </c>
      <c r="G123" s="203">
        <v>97400</v>
      </c>
      <c r="H123" s="203">
        <v>95000</v>
      </c>
      <c r="I123" s="204"/>
      <c r="J123" s="205">
        <f t="shared" si="25"/>
        <v>0</v>
      </c>
      <c r="K123" s="205">
        <f t="shared" si="26"/>
        <v>0</v>
      </c>
      <c r="L123" s="262">
        <f t="shared" si="27"/>
        <v>0</v>
      </c>
      <c r="M123" s="263">
        <f t="shared" si="28"/>
        <v>0</v>
      </c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spans="1:26" ht="14.4">
      <c r="A124" s="690"/>
      <c r="B124" s="230" t="s">
        <v>227</v>
      </c>
      <c r="C124" s="229"/>
      <c r="D124" s="201"/>
      <c r="E124" s="201"/>
      <c r="F124" s="202">
        <f t="shared" si="24"/>
        <v>0</v>
      </c>
      <c r="G124" s="203">
        <v>59900</v>
      </c>
      <c r="H124" s="203">
        <v>65000</v>
      </c>
      <c r="I124" s="204"/>
      <c r="J124" s="205">
        <f t="shared" si="25"/>
        <v>0</v>
      </c>
      <c r="K124" s="205">
        <f t="shared" si="26"/>
        <v>0</v>
      </c>
      <c r="L124" s="262">
        <f t="shared" si="27"/>
        <v>0</v>
      </c>
      <c r="M124" s="263">
        <f t="shared" si="28"/>
        <v>0</v>
      </c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spans="1:26" ht="14.4">
      <c r="A125" s="690"/>
      <c r="B125" s="230" t="s">
        <v>228</v>
      </c>
      <c r="C125" s="227">
        <v>1</v>
      </c>
      <c r="D125" s="201"/>
      <c r="E125" s="201"/>
      <c r="F125" s="202">
        <f t="shared" si="24"/>
        <v>1</v>
      </c>
      <c r="G125" s="203">
        <v>50000</v>
      </c>
      <c r="H125" s="203">
        <v>54000</v>
      </c>
      <c r="I125" s="224"/>
      <c r="J125" s="205">
        <f t="shared" si="25"/>
        <v>0</v>
      </c>
      <c r="K125" s="205">
        <f t="shared" si="26"/>
        <v>0</v>
      </c>
      <c r="L125" s="262">
        <f t="shared" si="27"/>
        <v>50000</v>
      </c>
      <c r="M125" s="263">
        <f t="shared" si="28"/>
        <v>54000</v>
      </c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spans="1:26" ht="14.4">
      <c r="A126" s="690"/>
      <c r="B126" s="230" t="s">
        <v>229</v>
      </c>
      <c r="C126" s="261">
        <v>1</v>
      </c>
      <c r="D126" s="201"/>
      <c r="E126" s="201"/>
      <c r="F126" s="202">
        <f t="shared" si="24"/>
        <v>1</v>
      </c>
      <c r="G126" s="203">
        <v>57000</v>
      </c>
      <c r="H126" s="203">
        <v>59000</v>
      </c>
      <c r="I126" s="224"/>
      <c r="J126" s="205">
        <f t="shared" si="25"/>
        <v>0</v>
      </c>
      <c r="K126" s="205">
        <f t="shared" si="26"/>
        <v>0</v>
      </c>
      <c r="L126" s="262">
        <f t="shared" si="27"/>
        <v>57000</v>
      </c>
      <c r="M126" s="263">
        <f t="shared" si="28"/>
        <v>59000</v>
      </c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spans="1:26" ht="14.4">
      <c r="A127" s="690"/>
      <c r="B127" s="230" t="s">
        <v>230</v>
      </c>
      <c r="C127" s="261"/>
      <c r="D127" s="201"/>
      <c r="E127" s="201"/>
      <c r="F127" s="202">
        <f t="shared" si="24"/>
        <v>0</v>
      </c>
      <c r="G127" s="203">
        <v>55500</v>
      </c>
      <c r="H127" s="203">
        <v>54000</v>
      </c>
      <c r="I127" s="204"/>
      <c r="J127" s="205">
        <f t="shared" si="25"/>
        <v>0</v>
      </c>
      <c r="K127" s="205">
        <f t="shared" si="26"/>
        <v>0</v>
      </c>
      <c r="L127" s="262">
        <f t="shared" si="27"/>
        <v>0</v>
      </c>
      <c r="M127" s="263">
        <f t="shared" si="28"/>
        <v>0</v>
      </c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spans="1:26" ht="14.4">
      <c r="A128" s="690"/>
      <c r="B128" s="230" t="s">
        <v>231</v>
      </c>
      <c r="C128" s="229">
        <v>2</v>
      </c>
      <c r="D128" s="201"/>
      <c r="E128" s="201"/>
      <c r="F128" s="202">
        <f t="shared" si="24"/>
        <v>2</v>
      </c>
      <c r="G128" s="203">
        <v>29000</v>
      </c>
      <c r="H128" s="203">
        <v>29200</v>
      </c>
      <c r="I128" s="204"/>
      <c r="J128" s="205">
        <f t="shared" si="25"/>
        <v>0</v>
      </c>
      <c r="K128" s="205">
        <f t="shared" si="26"/>
        <v>0</v>
      </c>
      <c r="L128" s="262">
        <f t="shared" si="27"/>
        <v>58000</v>
      </c>
      <c r="M128" s="263">
        <f t="shared" si="28"/>
        <v>58400</v>
      </c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spans="1:26" ht="14.4">
      <c r="A129" s="690"/>
      <c r="B129" s="230" t="s">
        <v>232</v>
      </c>
      <c r="C129" s="261"/>
      <c r="D129" s="201"/>
      <c r="E129" s="201"/>
      <c r="F129" s="202">
        <f t="shared" si="24"/>
        <v>0</v>
      </c>
      <c r="G129" s="203">
        <v>17000</v>
      </c>
      <c r="H129" s="203">
        <v>19000</v>
      </c>
      <c r="I129" s="204"/>
      <c r="J129" s="205">
        <f t="shared" si="25"/>
        <v>0</v>
      </c>
      <c r="K129" s="205">
        <f t="shared" si="26"/>
        <v>0</v>
      </c>
      <c r="L129" s="262">
        <f t="shared" si="27"/>
        <v>0</v>
      </c>
      <c r="M129" s="263">
        <f t="shared" si="28"/>
        <v>0</v>
      </c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spans="1:26" ht="14.4">
      <c r="A130" s="690"/>
      <c r="B130" s="230" t="s">
        <v>233</v>
      </c>
      <c r="C130" s="227">
        <v>1</v>
      </c>
      <c r="D130" s="201"/>
      <c r="E130" s="201"/>
      <c r="F130" s="202">
        <f t="shared" si="24"/>
        <v>1</v>
      </c>
      <c r="G130" s="203">
        <v>54500</v>
      </c>
      <c r="H130" s="203">
        <v>58000</v>
      </c>
      <c r="I130" s="204"/>
      <c r="J130" s="205">
        <f t="shared" si="25"/>
        <v>0</v>
      </c>
      <c r="K130" s="205">
        <f t="shared" si="26"/>
        <v>0</v>
      </c>
      <c r="L130" s="262">
        <f t="shared" si="27"/>
        <v>54500</v>
      </c>
      <c r="M130" s="263">
        <f t="shared" si="28"/>
        <v>58000</v>
      </c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spans="1:26" ht="14.4">
      <c r="A131" s="690"/>
      <c r="B131" s="230" t="s">
        <v>234</v>
      </c>
      <c r="C131" s="261">
        <v>3</v>
      </c>
      <c r="D131" s="201"/>
      <c r="E131" s="201"/>
      <c r="F131" s="202">
        <f t="shared" si="24"/>
        <v>3</v>
      </c>
      <c r="G131" s="203">
        <v>29000</v>
      </c>
      <c r="H131" s="203">
        <v>32000</v>
      </c>
      <c r="I131" s="204"/>
      <c r="J131" s="205">
        <f t="shared" si="25"/>
        <v>0</v>
      </c>
      <c r="K131" s="205">
        <f t="shared" si="26"/>
        <v>0</v>
      </c>
      <c r="L131" s="262">
        <f t="shared" si="27"/>
        <v>87000</v>
      </c>
      <c r="M131" s="263">
        <f t="shared" si="28"/>
        <v>96000</v>
      </c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spans="1:26" ht="14.4">
      <c r="A132" s="690"/>
      <c r="B132" s="230" t="s">
        <v>235</v>
      </c>
      <c r="C132" s="227">
        <v>1</v>
      </c>
      <c r="D132" s="201"/>
      <c r="E132" s="201"/>
      <c r="F132" s="202">
        <f t="shared" si="24"/>
        <v>1</v>
      </c>
      <c r="G132" s="203">
        <v>80000</v>
      </c>
      <c r="H132" s="203">
        <v>86000</v>
      </c>
      <c r="I132" s="204"/>
      <c r="J132" s="205">
        <f t="shared" si="25"/>
        <v>0</v>
      </c>
      <c r="K132" s="205">
        <f t="shared" si="26"/>
        <v>0</v>
      </c>
      <c r="L132" s="262">
        <f t="shared" si="27"/>
        <v>80000</v>
      </c>
      <c r="M132" s="263">
        <f t="shared" si="28"/>
        <v>86000</v>
      </c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spans="1:26" ht="14.4">
      <c r="A133" s="690"/>
      <c r="B133" s="230" t="s">
        <v>236</v>
      </c>
      <c r="C133" s="227">
        <v>2</v>
      </c>
      <c r="D133" s="201"/>
      <c r="E133" s="201"/>
      <c r="F133" s="202">
        <f t="shared" si="24"/>
        <v>2</v>
      </c>
      <c r="G133" s="203">
        <v>40500</v>
      </c>
      <c r="H133" s="203">
        <v>45000</v>
      </c>
      <c r="I133" s="204"/>
      <c r="J133" s="205">
        <f t="shared" si="25"/>
        <v>0</v>
      </c>
      <c r="K133" s="205">
        <f t="shared" si="26"/>
        <v>0</v>
      </c>
      <c r="L133" s="262">
        <f t="shared" si="27"/>
        <v>81000</v>
      </c>
      <c r="M133" s="263">
        <f t="shared" si="28"/>
        <v>90000</v>
      </c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spans="1:26" ht="14.4">
      <c r="A134" s="690"/>
      <c r="B134" s="230" t="s">
        <v>237</v>
      </c>
      <c r="C134" s="261"/>
      <c r="D134" s="201"/>
      <c r="E134" s="201"/>
      <c r="F134" s="202">
        <f t="shared" si="24"/>
        <v>0</v>
      </c>
      <c r="G134" s="203">
        <v>45100</v>
      </c>
      <c r="H134" s="203">
        <v>48000</v>
      </c>
      <c r="I134" s="204"/>
      <c r="J134" s="205">
        <f t="shared" si="25"/>
        <v>0</v>
      </c>
      <c r="K134" s="205">
        <f t="shared" si="26"/>
        <v>0</v>
      </c>
      <c r="L134" s="262">
        <f t="shared" si="27"/>
        <v>0</v>
      </c>
      <c r="M134" s="263">
        <f t="shared" si="28"/>
        <v>0</v>
      </c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spans="1:26" ht="14.4">
      <c r="A135" s="690"/>
      <c r="B135" s="230" t="s">
        <v>238</v>
      </c>
      <c r="C135" s="261">
        <v>1</v>
      </c>
      <c r="D135" s="201"/>
      <c r="E135" s="201"/>
      <c r="F135" s="202">
        <f t="shared" si="24"/>
        <v>1</v>
      </c>
      <c r="G135" s="203">
        <v>54600</v>
      </c>
      <c r="H135" s="203">
        <v>59000</v>
      </c>
      <c r="I135" s="204"/>
      <c r="J135" s="205">
        <f t="shared" si="25"/>
        <v>0</v>
      </c>
      <c r="K135" s="205">
        <f t="shared" si="26"/>
        <v>0</v>
      </c>
      <c r="L135" s="262">
        <f t="shared" si="27"/>
        <v>54600</v>
      </c>
      <c r="M135" s="263">
        <f t="shared" si="28"/>
        <v>59000</v>
      </c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spans="1:26" ht="14.4">
      <c r="A136" s="690"/>
      <c r="B136" s="230" t="s">
        <v>239</v>
      </c>
      <c r="C136" s="227">
        <v>1</v>
      </c>
      <c r="D136" s="201"/>
      <c r="E136" s="201"/>
      <c r="F136" s="202">
        <f t="shared" si="24"/>
        <v>1</v>
      </c>
      <c r="G136" s="203">
        <v>102000</v>
      </c>
      <c r="H136" s="203">
        <v>110000</v>
      </c>
      <c r="I136" s="204"/>
      <c r="J136" s="205">
        <f t="shared" si="25"/>
        <v>0</v>
      </c>
      <c r="K136" s="205">
        <f t="shared" si="26"/>
        <v>0</v>
      </c>
      <c r="L136" s="262">
        <f t="shared" si="27"/>
        <v>102000</v>
      </c>
      <c r="M136" s="263">
        <f t="shared" si="28"/>
        <v>110000</v>
      </c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spans="1:26" ht="14.4">
      <c r="A137" s="690"/>
      <c r="B137" s="230" t="s">
        <v>240</v>
      </c>
      <c r="C137" s="227">
        <v>1</v>
      </c>
      <c r="D137" s="201"/>
      <c r="E137" s="201"/>
      <c r="F137" s="202">
        <f t="shared" si="24"/>
        <v>1</v>
      </c>
      <c r="G137" s="203">
        <v>45000</v>
      </c>
      <c r="H137" s="203">
        <v>48000</v>
      </c>
      <c r="I137" s="204"/>
      <c r="J137" s="205">
        <f t="shared" si="25"/>
        <v>0</v>
      </c>
      <c r="K137" s="205">
        <f t="shared" si="26"/>
        <v>0</v>
      </c>
      <c r="L137" s="262">
        <f t="shared" si="27"/>
        <v>45000</v>
      </c>
      <c r="M137" s="263">
        <f t="shared" si="28"/>
        <v>48000</v>
      </c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spans="1:26" ht="14.4">
      <c r="A138" s="690"/>
      <c r="B138" s="230" t="s">
        <v>241</v>
      </c>
      <c r="C138" s="227">
        <v>2</v>
      </c>
      <c r="D138" s="201"/>
      <c r="E138" s="201"/>
      <c r="F138" s="202">
        <f t="shared" si="24"/>
        <v>2</v>
      </c>
      <c r="G138" s="203">
        <v>24000</v>
      </c>
      <c r="H138" s="203">
        <v>26000</v>
      </c>
      <c r="I138" s="204"/>
      <c r="J138" s="205">
        <f t="shared" si="25"/>
        <v>0</v>
      </c>
      <c r="K138" s="205">
        <f t="shared" si="26"/>
        <v>0</v>
      </c>
      <c r="L138" s="262">
        <f t="shared" si="27"/>
        <v>48000</v>
      </c>
      <c r="M138" s="263">
        <f t="shared" si="28"/>
        <v>52000</v>
      </c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spans="1:26" ht="14.4">
      <c r="A139" s="690"/>
      <c r="B139" s="264" t="s">
        <v>242</v>
      </c>
      <c r="C139" s="261">
        <v>9</v>
      </c>
      <c r="D139" s="201"/>
      <c r="E139" s="201"/>
      <c r="F139" s="202">
        <f t="shared" si="24"/>
        <v>9</v>
      </c>
      <c r="G139" s="210">
        <v>36000</v>
      </c>
      <c r="H139" s="210">
        <v>39500</v>
      </c>
      <c r="I139" s="204"/>
      <c r="J139" s="205">
        <f t="shared" si="25"/>
        <v>0</v>
      </c>
      <c r="K139" s="205">
        <f t="shared" si="26"/>
        <v>0</v>
      </c>
      <c r="L139" s="262">
        <f t="shared" si="27"/>
        <v>324000</v>
      </c>
      <c r="M139" s="263">
        <f t="shared" si="28"/>
        <v>355500</v>
      </c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spans="1:26" ht="14.4">
      <c r="A140" s="690"/>
      <c r="B140" s="230" t="s">
        <v>243</v>
      </c>
      <c r="C140" s="227">
        <v>4</v>
      </c>
      <c r="D140" s="201"/>
      <c r="E140" s="201"/>
      <c r="F140" s="202">
        <f t="shared" si="24"/>
        <v>4</v>
      </c>
      <c r="G140" s="210">
        <v>9000</v>
      </c>
      <c r="H140" s="210">
        <v>9500</v>
      </c>
      <c r="I140" s="204"/>
      <c r="J140" s="205">
        <f t="shared" si="25"/>
        <v>0</v>
      </c>
      <c r="K140" s="205">
        <f t="shared" si="26"/>
        <v>0</v>
      </c>
      <c r="L140" s="262">
        <f t="shared" si="27"/>
        <v>36000</v>
      </c>
      <c r="M140" s="263">
        <f t="shared" si="28"/>
        <v>38000</v>
      </c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spans="1:26" ht="14.4">
      <c r="A141" s="690"/>
      <c r="B141" s="230" t="s">
        <v>244</v>
      </c>
      <c r="C141" s="227">
        <v>2</v>
      </c>
      <c r="D141" s="201"/>
      <c r="E141" s="201"/>
      <c r="F141" s="202">
        <f t="shared" si="24"/>
        <v>2</v>
      </c>
      <c r="G141" s="212">
        <v>72000</v>
      </c>
      <c r="H141" s="212">
        <v>78000</v>
      </c>
      <c r="I141" s="213"/>
      <c r="J141" s="205">
        <f t="shared" si="25"/>
        <v>0</v>
      </c>
      <c r="K141" s="205">
        <f t="shared" si="26"/>
        <v>0</v>
      </c>
      <c r="L141" s="262">
        <f t="shared" si="27"/>
        <v>144000</v>
      </c>
      <c r="M141" s="263">
        <f t="shared" si="28"/>
        <v>156000</v>
      </c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spans="1:26" ht="14.4">
      <c r="A142" s="690"/>
      <c r="B142" s="268" t="s">
        <v>245</v>
      </c>
      <c r="C142" s="227"/>
      <c r="D142" s="201"/>
      <c r="E142" s="201"/>
      <c r="F142" s="202">
        <f t="shared" si="24"/>
        <v>0</v>
      </c>
      <c r="G142" s="212">
        <v>46000</v>
      </c>
      <c r="H142" s="212">
        <v>50000</v>
      </c>
      <c r="I142" s="213"/>
      <c r="J142" s="205">
        <f t="shared" si="25"/>
        <v>0</v>
      </c>
      <c r="K142" s="205">
        <f t="shared" si="26"/>
        <v>0</v>
      </c>
      <c r="L142" s="262">
        <f t="shared" si="27"/>
        <v>0</v>
      </c>
      <c r="M142" s="263">
        <f t="shared" si="28"/>
        <v>0</v>
      </c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spans="1:26" ht="14.4">
      <c r="A143" s="690"/>
      <c r="B143" s="268" t="s">
        <v>246</v>
      </c>
      <c r="C143" s="227"/>
      <c r="D143" s="201"/>
      <c r="E143" s="201"/>
      <c r="F143" s="202">
        <f t="shared" si="24"/>
        <v>0</v>
      </c>
      <c r="G143" s="212">
        <v>26000</v>
      </c>
      <c r="H143" s="212">
        <v>28000</v>
      </c>
      <c r="I143" s="213"/>
      <c r="J143" s="205">
        <f t="shared" si="25"/>
        <v>0</v>
      </c>
      <c r="K143" s="205">
        <f t="shared" si="26"/>
        <v>0</v>
      </c>
      <c r="L143" s="262">
        <f t="shared" si="27"/>
        <v>0</v>
      </c>
      <c r="M143" s="263">
        <f t="shared" si="28"/>
        <v>0</v>
      </c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spans="1:26" ht="14.4">
      <c r="A144" s="690"/>
      <c r="B144" s="268" t="s">
        <v>247</v>
      </c>
      <c r="C144" s="227"/>
      <c r="D144" s="201"/>
      <c r="E144" s="201"/>
      <c r="F144" s="202">
        <f t="shared" si="24"/>
        <v>0</v>
      </c>
      <c r="G144" s="212">
        <v>39000</v>
      </c>
      <c r="H144" s="212">
        <v>42000</v>
      </c>
      <c r="I144" s="213"/>
      <c r="J144" s="205">
        <f t="shared" si="25"/>
        <v>0</v>
      </c>
      <c r="K144" s="205">
        <f t="shared" si="26"/>
        <v>0</v>
      </c>
      <c r="L144" s="262">
        <f t="shared" si="27"/>
        <v>0</v>
      </c>
      <c r="M144" s="263">
        <f t="shared" si="28"/>
        <v>0</v>
      </c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spans="1:26" ht="14.4">
      <c r="A145" s="690"/>
      <c r="B145" s="268" t="s">
        <v>248</v>
      </c>
      <c r="C145" s="227">
        <v>3</v>
      </c>
      <c r="D145" s="201"/>
      <c r="E145" s="201"/>
      <c r="F145" s="202">
        <f t="shared" si="24"/>
        <v>3</v>
      </c>
      <c r="G145" s="212">
        <v>21000</v>
      </c>
      <c r="H145" s="212">
        <v>23000</v>
      </c>
      <c r="I145" s="213"/>
      <c r="J145" s="205">
        <f t="shared" si="25"/>
        <v>0</v>
      </c>
      <c r="K145" s="205">
        <f t="shared" si="26"/>
        <v>0</v>
      </c>
      <c r="L145" s="262">
        <f t="shared" si="27"/>
        <v>63000</v>
      </c>
      <c r="M145" s="263">
        <f t="shared" si="28"/>
        <v>69000</v>
      </c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spans="1:26" ht="14.4">
      <c r="A146" s="690"/>
      <c r="B146" s="269" t="s">
        <v>249</v>
      </c>
      <c r="C146" s="270"/>
      <c r="D146" s="271"/>
      <c r="E146" s="271"/>
      <c r="F146" s="272">
        <f t="shared" si="24"/>
        <v>0</v>
      </c>
      <c r="G146" s="212">
        <v>38500</v>
      </c>
      <c r="H146" s="212">
        <v>42000</v>
      </c>
      <c r="I146" s="240"/>
      <c r="J146" s="273">
        <f t="shared" si="25"/>
        <v>0</v>
      </c>
      <c r="K146" s="273">
        <f t="shared" si="26"/>
        <v>0</v>
      </c>
      <c r="L146" s="274">
        <f t="shared" si="27"/>
        <v>0</v>
      </c>
      <c r="M146" s="263">
        <f t="shared" si="28"/>
        <v>0</v>
      </c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spans="1:26" ht="14.4">
      <c r="A147" s="691"/>
      <c r="B147" s="275"/>
      <c r="C147" s="276"/>
      <c r="D147" s="276"/>
      <c r="E147" s="277"/>
      <c r="F147" s="278">
        <f>SUM(F88:F139)</f>
        <v>193</v>
      </c>
      <c r="G147" s="279">
        <f t="shared" ref="G147:H147" si="29">SUM(G88:G141)</f>
        <v>2628231</v>
      </c>
      <c r="H147" s="279">
        <f t="shared" si="29"/>
        <v>2739700</v>
      </c>
      <c r="I147" s="280">
        <f>SUM(I88:I139)</f>
        <v>0</v>
      </c>
      <c r="J147" s="281">
        <f t="shared" ref="J147:K147" si="30">SUM(J88:J141)</f>
        <v>0</v>
      </c>
      <c r="K147" s="281">
        <f t="shared" si="30"/>
        <v>0</v>
      </c>
      <c r="L147" s="281">
        <f>SUM(L88:L146)</f>
        <v>7669179</v>
      </c>
      <c r="M147" s="281">
        <f>SUM(M88:M141)</f>
        <v>8009900</v>
      </c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spans="1:26" ht="14.4">
      <c r="A148" s="692"/>
      <c r="B148" s="282" t="s">
        <v>250</v>
      </c>
      <c r="C148" s="283">
        <v>2.5</v>
      </c>
      <c r="D148" s="284"/>
      <c r="E148" s="284"/>
      <c r="F148" s="285">
        <f t="shared" ref="F148:F158" si="31">+C148+D148-E148</f>
        <v>2.5</v>
      </c>
      <c r="G148" s="286">
        <v>37000</v>
      </c>
      <c r="H148" s="286">
        <v>40000</v>
      </c>
      <c r="I148" s="287"/>
      <c r="J148" s="288">
        <f t="shared" ref="J148:J158" si="32">+I148*H148</f>
        <v>0</v>
      </c>
      <c r="K148" s="288">
        <f t="shared" ref="K148:K158" si="33">+(H148-G148)*I148</f>
        <v>0</v>
      </c>
      <c r="L148" s="289">
        <f t="shared" ref="L148:L158" si="34">+G148*F148</f>
        <v>92500</v>
      </c>
      <c r="M148" s="290">
        <f t="shared" ref="M148:M158" si="35">F148*H148</f>
        <v>100000</v>
      </c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spans="1:26" ht="14.4">
      <c r="A149" s="693"/>
      <c r="B149" s="291" t="s">
        <v>251</v>
      </c>
      <c r="C149" s="227">
        <v>4</v>
      </c>
      <c r="D149" s="201"/>
      <c r="E149" s="201"/>
      <c r="F149" s="202">
        <f t="shared" si="31"/>
        <v>4</v>
      </c>
      <c r="G149" s="203">
        <v>6000</v>
      </c>
      <c r="H149" s="203">
        <v>7000</v>
      </c>
      <c r="I149" s="204"/>
      <c r="J149" s="205">
        <f t="shared" si="32"/>
        <v>0</v>
      </c>
      <c r="K149" s="205">
        <f t="shared" si="33"/>
        <v>0</v>
      </c>
      <c r="L149" s="250">
        <f t="shared" si="34"/>
        <v>24000</v>
      </c>
      <c r="M149" s="292">
        <f t="shared" si="35"/>
        <v>28000</v>
      </c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spans="1:26" ht="14.4">
      <c r="A150" s="693"/>
      <c r="B150" s="291" t="s">
        <v>252</v>
      </c>
      <c r="C150" s="227">
        <v>115</v>
      </c>
      <c r="D150" s="201"/>
      <c r="E150" s="201"/>
      <c r="F150" s="202">
        <f t="shared" si="31"/>
        <v>115</v>
      </c>
      <c r="G150" s="203">
        <v>45800</v>
      </c>
      <c r="H150" s="203">
        <v>54000</v>
      </c>
      <c r="I150" s="204"/>
      <c r="J150" s="205">
        <f t="shared" si="32"/>
        <v>0</v>
      </c>
      <c r="K150" s="205">
        <f t="shared" si="33"/>
        <v>0</v>
      </c>
      <c r="L150" s="250">
        <f t="shared" si="34"/>
        <v>5267000</v>
      </c>
      <c r="M150" s="292">
        <f t="shared" si="35"/>
        <v>6210000</v>
      </c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spans="1:26" ht="14.4">
      <c r="A151" s="693"/>
      <c r="B151" s="291" t="s">
        <v>253</v>
      </c>
      <c r="C151" s="238">
        <v>36</v>
      </c>
      <c r="D151" s="201"/>
      <c r="E151" s="201"/>
      <c r="F151" s="202">
        <f t="shared" si="31"/>
        <v>36</v>
      </c>
      <c r="G151" s="203">
        <v>28500</v>
      </c>
      <c r="H151" s="203">
        <v>31700</v>
      </c>
      <c r="I151" s="204"/>
      <c r="J151" s="205">
        <f t="shared" si="32"/>
        <v>0</v>
      </c>
      <c r="K151" s="205">
        <f t="shared" si="33"/>
        <v>0</v>
      </c>
      <c r="L151" s="250">
        <f t="shared" si="34"/>
        <v>1026000</v>
      </c>
      <c r="M151" s="292">
        <f t="shared" si="35"/>
        <v>1141200</v>
      </c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spans="1:26" ht="14.4">
      <c r="A152" s="693"/>
      <c r="B152" s="291" t="s">
        <v>254</v>
      </c>
      <c r="C152" s="229"/>
      <c r="D152" s="201"/>
      <c r="E152" s="201"/>
      <c r="F152" s="202">
        <f t="shared" si="31"/>
        <v>0</v>
      </c>
      <c r="G152" s="203">
        <v>32000</v>
      </c>
      <c r="H152" s="203">
        <v>33700</v>
      </c>
      <c r="I152" s="204"/>
      <c r="J152" s="205">
        <f t="shared" si="32"/>
        <v>0</v>
      </c>
      <c r="K152" s="205">
        <f t="shared" si="33"/>
        <v>0</v>
      </c>
      <c r="L152" s="250">
        <f t="shared" si="34"/>
        <v>0</v>
      </c>
      <c r="M152" s="292">
        <f t="shared" si="35"/>
        <v>0</v>
      </c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spans="1:26" ht="14.4">
      <c r="A153" s="693"/>
      <c r="B153" s="291" t="s">
        <v>255</v>
      </c>
      <c r="C153" s="227">
        <v>2</v>
      </c>
      <c r="D153" s="201"/>
      <c r="E153" s="201"/>
      <c r="F153" s="202">
        <f t="shared" si="31"/>
        <v>2</v>
      </c>
      <c r="G153" s="203">
        <v>10500</v>
      </c>
      <c r="H153" s="203">
        <v>12500</v>
      </c>
      <c r="I153" s="204"/>
      <c r="J153" s="205">
        <f t="shared" si="32"/>
        <v>0</v>
      </c>
      <c r="K153" s="205">
        <f t="shared" si="33"/>
        <v>0</v>
      </c>
      <c r="L153" s="250">
        <f t="shared" si="34"/>
        <v>21000</v>
      </c>
      <c r="M153" s="292">
        <f t="shared" si="35"/>
        <v>25000</v>
      </c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spans="1:26" ht="14.4">
      <c r="A154" s="693"/>
      <c r="B154" s="291" t="s">
        <v>256</v>
      </c>
      <c r="C154" s="227">
        <v>9</v>
      </c>
      <c r="D154" s="201"/>
      <c r="E154" s="201"/>
      <c r="F154" s="202">
        <f t="shared" si="31"/>
        <v>9</v>
      </c>
      <c r="G154" s="203">
        <v>46000</v>
      </c>
      <c r="H154" s="203">
        <v>52000</v>
      </c>
      <c r="I154" s="204"/>
      <c r="J154" s="205">
        <f t="shared" si="32"/>
        <v>0</v>
      </c>
      <c r="K154" s="205">
        <f t="shared" si="33"/>
        <v>0</v>
      </c>
      <c r="L154" s="250">
        <f t="shared" si="34"/>
        <v>414000</v>
      </c>
      <c r="M154" s="292">
        <f t="shared" si="35"/>
        <v>468000</v>
      </c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spans="1:26" ht="14.4">
      <c r="A155" s="693"/>
      <c r="B155" s="291" t="s">
        <v>257</v>
      </c>
      <c r="C155" s="227">
        <v>174</v>
      </c>
      <c r="D155" s="201"/>
      <c r="E155" s="201"/>
      <c r="F155" s="202">
        <f t="shared" si="31"/>
        <v>174</v>
      </c>
      <c r="G155" s="203">
        <v>51900</v>
      </c>
      <c r="H155" s="203">
        <v>61000</v>
      </c>
      <c r="I155" s="204"/>
      <c r="J155" s="205">
        <f t="shared" si="32"/>
        <v>0</v>
      </c>
      <c r="K155" s="205">
        <f t="shared" si="33"/>
        <v>0</v>
      </c>
      <c r="L155" s="250">
        <f t="shared" si="34"/>
        <v>9030600</v>
      </c>
      <c r="M155" s="292">
        <f t="shared" si="35"/>
        <v>10614000</v>
      </c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spans="1:26" ht="14.4">
      <c r="A156" s="693"/>
      <c r="B156" s="291" t="s">
        <v>258</v>
      </c>
      <c r="C156" s="227">
        <v>39</v>
      </c>
      <c r="D156" s="293"/>
      <c r="E156" s="201"/>
      <c r="F156" s="202">
        <f t="shared" si="31"/>
        <v>39</v>
      </c>
      <c r="G156" s="203">
        <v>36400</v>
      </c>
      <c r="H156" s="203">
        <v>44000</v>
      </c>
      <c r="I156" s="204"/>
      <c r="J156" s="205">
        <f t="shared" si="32"/>
        <v>0</v>
      </c>
      <c r="K156" s="205">
        <f t="shared" si="33"/>
        <v>0</v>
      </c>
      <c r="L156" s="250">
        <f t="shared" si="34"/>
        <v>1419600</v>
      </c>
      <c r="M156" s="292">
        <f t="shared" si="35"/>
        <v>1716000</v>
      </c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spans="1:26" ht="14.4">
      <c r="A157" s="693"/>
      <c r="B157" s="291" t="s">
        <v>259</v>
      </c>
      <c r="C157" s="229"/>
      <c r="D157" s="201"/>
      <c r="E157" s="201"/>
      <c r="F157" s="202">
        <f t="shared" si="31"/>
        <v>0</v>
      </c>
      <c r="G157" s="203">
        <v>7223</v>
      </c>
      <c r="H157" s="203">
        <v>8000</v>
      </c>
      <c r="I157" s="204"/>
      <c r="J157" s="205">
        <f t="shared" si="32"/>
        <v>0</v>
      </c>
      <c r="K157" s="205">
        <f t="shared" si="33"/>
        <v>0</v>
      </c>
      <c r="L157" s="250">
        <f t="shared" si="34"/>
        <v>0</v>
      </c>
      <c r="M157" s="292">
        <f t="shared" si="35"/>
        <v>0</v>
      </c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spans="1:26" ht="14.4">
      <c r="A158" s="693"/>
      <c r="B158" s="294" t="s">
        <v>260</v>
      </c>
      <c r="C158" s="295"/>
      <c r="D158" s="296"/>
      <c r="E158" s="296"/>
      <c r="F158" s="297">
        <f t="shared" si="31"/>
        <v>0</v>
      </c>
      <c r="G158" s="298">
        <v>10200</v>
      </c>
      <c r="H158" s="298">
        <v>12000</v>
      </c>
      <c r="I158" s="299"/>
      <c r="J158" s="300">
        <f t="shared" si="32"/>
        <v>0</v>
      </c>
      <c r="K158" s="300">
        <f t="shared" si="33"/>
        <v>0</v>
      </c>
      <c r="L158" s="301">
        <f t="shared" si="34"/>
        <v>0</v>
      </c>
      <c r="M158" s="302">
        <f t="shared" si="35"/>
        <v>0</v>
      </c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spans="1:26" ht="14.4">
      <c r="A159" s="694"/>
      <c r="B159" s="303"/>
      <c r="C159" s="304">
        <f t="shared" ref="C159:M159" si="36">SUM(C148:C158)</f>
        <v>381.5</v>
      </c>
      <c r="D159" s="304">
        <f t="shared" si="36"/>
        <v>0</v>
      </c>
      <c r="E159" s="304">
        <f t="shared" si="36"/>
        <v>0</v>
      </c>
      <c r="F159" s="305">
        <f t="shared" si="36"/>
        <v>381.5</v>
      </c>
      <c r="G159" s="306">
        <f t="shared" si="36"/>
        <v>311523</v>
      </c>
      <c r="H159" s="306">
        <f t="shared" si="36"/>
        <v>355900</v>
      </c>
      <c r="I159" s="307">
        <f t="shared" si="36"/>
        <v>0</v>
      </c>
      <c r="J159" s="307">
        <f t="shared" si="36"/>
        <v>0</v>
      </c>
      <c r="K159" s="307">
        <f t="shared" si="36"/>
        <v>0</v>
      </c>
      <c r="L159" s="307">
        <f t="shared" si="36"/>
        <v>17294700</v>
      </c>
      <c r="M159" s="308">
        <f t="shared" si="36"/>
        <v>20302200</v>
      </c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spans="1:26" ht="14.4">
      <c r="A160" s="695"/>
      <c r="B160" s="309" t="s">
        <v>261</v>
      </c>
      <c r="C160" s="310">
        <v>1</v>
      </c>
      <c r="D160" s="311"/>
      <c r="E160" s="311"/>
      <c r="F160" s="312">
        <f t="shared" ref="F160:F182" si="37">+C160+D160-E160</f>
        <v>1</v>
      </c>
      <c r="G160" s="313">
        <v>10000</v>
      </c>
      <c r="H160" s="313">
        <v>10500</v>
      </c>
      <c r="I160" s="314"/>
      <c r="J160" s="315">
        <f t="shared" ref="J160:J182" si="38">+I160*H160</f>
        <v>0</v>
      </c>
      <c r="K160" s="315">
        <f t="shared" ref="K160:K182" si="39">+(H160-G160)*I160</f>
        <v>0</v>
      </c>
      <c r="L160" s="316">
        <f t="shared" ref="L160:L182" si="40">+G160*F160</f>
        <v>10000</v>
      </c>
      <c r="M160" s="317">
        <f t="shared" ref="M160:M182" si="41">F160*H160</f>
        <v>10500</v>
      </c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spans="1:26" ht="14.4">
      <c r="A161" s="696"/>
      <c r="B161" s="318" t="s">
        <v>262</v>
      </c>
      <c r="C161" s="227"/>
      <c r="D161" s="201"/>
      <c r="E161" s="201"/>
      <c r="F161" s="202">
        <f t="shared" si="37"/>
        <v>0</v>
      </c>
      <c r="G161" s="203">
        <v>12000</v>
      </c>
      <c r="H161" s="203">
        <v>15000</v>
      </c>
      <c r="I161" s="224"/>
      <c r="J161" s="205">
        <f t="shared" si="38"/>
        <v>0</v>
      </c>
      <c r="K161" s="205">
        <f t="shared" si="39"/>
        <v>0</v>
      </c>
      <c r="L161" s="319">
        <f t="shared" si="40"/>
        <v>0</v>
      </c>
      <c r="M161" s="320">
        <f t="shared" si="41"/>
        <v>0</v>
      </c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spans="1:26" ht="14.4">
      <c r="A162" s="696"/>
      <c r="B162" s="318" t="s">
        <v>263</v>
      </c>
      <c r="C162" s="227">
        <v>1</v>
      </c>
      <c r="D162" s="201"/>
      <c r="E162" s="201"/>
      <c r="F162" s="202">
        <f t="shared" si="37"/>
        <v>1</v>
      </c>
      <c r="G162" s="203">
        <v>14000</v>
      </c>
      <c r="H162" s="203">
        <v>17000</v>
      </c>
      <c r="I162" s="224"/>
      <c r="J162" s="205">
        <f t="shared" si="38"/>
        <v>0</v>
      </c>
      <c r="K162" s="205">
        <f t="shared" si="39"/>
        <v>0</v>
      </c>
      <c r="L162" s="319">
        <f t="shared" si="40"/>
        <v>14000</v>
      </c>
      <c r="M162" s="320">
        <f t="shared" si="41"/>
        <v>17000</v>
      </c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spans="1:26" ht="14.4">
      <c r="A163" s="696"/>
      <c r="B163" s="318" t="s">
        <v>264</v>
      </c>
      <c r="C163" s="227">
        <v>4</v>
      </c>
      <c r="D163" s="201"/>
      <c r="E163" s="201"/>
      <c r="F163" s="202">
        <f t="shared" si="37"/>
        <v>4</v>
      </c>
      <c r="G163" s="203">
        <v>7200</v>
      </c>
      <c r="H163" s="203">
        <v>8000</v>
      </c>
      <c r="I163" s="224"/>
      <c r="J163" s="205">
        <f t="shared" si="38"/>
        <v>0</v>
      </c>
      <c r="K163" s="205">
        <f t="shared" si="39"/>
        <v>0</v>
      </c>
      <c r="L163" s="319">
        <f t="shared" si="40"/>
        <v>28800</v>
      </c>
      <c r="M163" s="320">
        <f t="shared" si="41"/>
        <v>32000</v>
      </c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spans="1:26" ht="14.4">
      <c r="A164" s="696"/>
      <c r="B164" s="318" t="s">
        <v>265</v>
      </c>
      <c r="C164" s="227">
        <v>4</v>
      </c>
      <c r="D164" s="201"/>
      <c r="E164" s="321"/>
      <c r="F164" s="202">
        <f t="shared" si="37"/>
        <v>4</v>
      </c>
      <c r="G164" s="203">
        <v>10000</v>
      </c>
      <c r="H164" s="203">
        <v>12000</v>
      </c>
      <c r="I164" s="224"/>
      <c r="J164" s="205">
        <f t="shared" si="38"/>
        <v>0</v>
      </c>
      <c r="K164" s="205">
        <f t="shared" si="39"/>
        <v>0</v>
      </c>
      <c r="L164" s="319">
        <f t="shared" si="40"/>
        <v>40000</v>
      </c>
      <c r="M164" s="320">
        <f t="shared" si="41"/>
        <v>48000</v>
      </c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spans="1:26" ht="14.4">
      <c r="A165" s="696"/>
      <c r="B165" s="322" t="s">
        <v>266</v>
      </c>
      <c r="C165" s="227">
        <v>4</v>
      </c>
      <c r="D165" s="201"/>
      <c r="E165" s="321"/>
      <c r="F165" s="202">
        <f t="shared" si="37"/>
        <v>4</v>
      </c>
      <c r="G165" s="203">
        <v>11000</v>
      </c>
      <c r="H165" s="203">
        <v>12500</v>
      </c>
      <c r="I165" s="204"/>
      <c r="J165" s="205">
        <f t="shared" si="38"/>
        <v>0</v>
      </c>
      <c r="K165" s="205">
        <f t="shared" si="39"/>
        <v>0</v>
      </c>
      <c r="L165" s="323">
        <f t="shared" si="40"/>
        <v>44000</v>
      </c>
      <c r="M165" s="320">
        <f t="shared" si="41"/>
        <v>50000</v>
      </c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spans="1:26" ht="14.4">
      <c r="A166" s="696"/>
      <c r="B166" s="322" t="s">
        <v>267</v>
      </c>
      <c r="C166" s="227">
        <v>61</v>
      </c>
      <c r="D166" s="201"/>
      <c r="E166" s="321"/>
      <c r="F166" s="202">
        <f t="shared" si="37"/>
        <v>61</v>
      </c>
      <c r="G166" s="203">
        <v>2500</v>
      </c>
      <c r="H166" s="203">
        <v>3000</v>
      </c>
      <c r="I166" s="204"/>
      <c r="J166" s="205">
        <f t="shared" si="38"/>
        <v>0</v>
      </c>
      <c r="K166" s="205">
        <f t="shared" si="39"/>
        <v>0</v>
      </c>
      <c r="L166" s="323">
        <f t="shared" si="40"/>
        <v>152500</v>
      </c>
      <c r="M166" s="320">
        <f t="shared" si="41"/>
        <v>183000</v>
      </c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spans="1:26" ht="14.4">
      <c r="A167" s="696"/>
      <c r="B167" s="322" t="s">
        <v>268</v>
      </c>
      <c r="C167" s="227"/>
      <c r="D167" s="201"/>
      <c r="E167" s="321"/>
      <c r="F167" s="202">
        <f t="shared" si="37"/>
        <v>0</v>
      </c>
      <c r="G167" s="203">
        <v>13000</v>
      </c>
      <c r="H167" s="203">
        <v>15000</v>
      </c>
      <c r="I167" s="204"/>
      <c r="J167" s="205">
        <f t="shared" si="38"/>
        <v>0</v>
      </c>
      <c r="K167" s="205">
        <f t="shared" si="39"/>
        <v>0</v>
      </c>
      <c r="L167" s="323">
        <f t="shared" si="40"/>
        <v>0</v>
      </c>
      <c r="M167" s="320">
        <f t="shared" si="41"/>
        <v>0</v>
      </c>
      <c r="N167" s="191"/>
      <c r="O167" s="191"/>
      <c r="P167" s="324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spans="1:26" ht="14.4">
      <c r="A168" s="696"/>
      <c r="B168" s="318" t="s">
        <v>269</v>
      </c>
      <c r="C168" s="229">
        <v>5</v>
      </c>
      <c r="D168" s="201"/>
      <c r="E168" s="321"/>
      <c r="F168" s="202">
        <f t="shared" si="37"/>
        <v>5</v>
      </c>
      <c r="G168" s="203">
        <v>26000</v>
      </c>
      <c r="H168" s="203">
        <v>28000</v>
      </c>
      <c r="I168" s="204"/>
      <c r="J168" s="205">
        <f t="shared" si="38"/>
        <v>0</v>
      </c>
      <c r="K168" s="205">
        <f t="shared" si="39"/>
        <v>0</v>
      </c>
      <c r="L168" s="323">
        <f t="shared" si="40"/>
        <v>130000</v>
      </c>
      <c r="M168" s="320">
        <f t="shared" si="41"/>
        <v>140000</v>
      </c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spans="1:26" ht="14.4">
      <c r="A169" s="696"/>
      <c r="B169" s="318" t="s">
        <v>270</v>
      </c>
      <c r="C169" s="229">
        <v>15</v>
      </c>
      <c r="D169" s="201"/>
      <c r="E169" s="321"/>
      <c r="F169" s="202">
        <f t="shared" si="37"/>
        <v>15</v>
      </c>
      <c r="G169" s="203">
        <v>13600</v>
      </c>
      <c r="H169" s="203">
        <v>15000</v>
      </c>
      <c r="I169" s="204"/>
      <c r="J169" s="205">
        <f t="shared" si="38"/>
        <v>0</v>
      </c>
      <c r="K169" s="205">
        <f t="shared" si="39"/>
        <v>0</v>
      </c>
      <c r="L169" s="323">
        <f t="shared" si="40"/>
        <v>204000</v>
      </c>
      <c r="M169" s="320">
        <f t="shared" si="41"/>
        <v>225000</v>
      </c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spans="1:26" ht="14.4">
      <c r="A170" s="696"/>
      <c r="B170" s="318" t="s">
        <v>271</v>
      </c>
      <c r="C170" s="227">
        <v>2</v>
      </c>
      <c r="D170" s="201"/>
      <c r="E170" s="321"/>
      <c r="F170" s="202">
        <f t="shared" si="37"/>
        <v>2</v>
      </c>
      <c r="G170" s="203">
        <v>30000</v>
      </c>
      <c r="H170" s="203">
        <v>36000</v>
      </c>
      <c r="I170" s="204"/>
      <c r="J170" s="205">
        <f t="shared" si="38"/>
        <v>0</v>
      </c>
      <c r="K170" s="205">
        <f t="shared" si="39"/>
        <v>0</v>
      </c>
      <c r="L170" s="323">
        <f t="shared" si="40"/>
        <v>60000</v>
      </c>
      <c r="M170" s="320">
        <f t="shared" si="41"/>
        <v>72000</v>
      </c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spans="1:26" ht="14.4">
      <c r="A171" s="696"/>
      <c r="B171" s="322" t="s">
        <v>272</v>
      </c>
      <c r="C171" s="227">
        <v>5</v>
      </c>
      <c r="D171" s="201"/>
      <c r="E171" s="321"/>
      <c r="F171" s="202">
        <f t="shared" si="37"/>
        <v>5</v>
      </c>
      <c r="G171" s="203">
        <v>20400</v>
      </c>
      <c r="H171" s="203">
        <v>24000</v>
      </c>
      <c r="I171" s="204"/>
      <c r="J171" s="205">
        <f t="shared" si="38"/>
        <v>0</v>
      </c>
      <c r="K171" s="205">
        <f t="shared" si="39"/>
        <v>0</v>
      </c>
      <c r="L171" s="323">
        <f t="shared" si="40"/>
        <v>102000</v>
      </c>
      <c r="M171" s="320">
        <f t="shared" si="41"/>
        <v>120000</v>
      </c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spans="1:26" ht="14.4">
      <c r="A172" s="696"/>
      <c r="B172" s="322" t="s">
        <v>273</v>
      </c>
      <c r="C172" s="227">
        <v>4</v>
      </c>
      <c r="D172" s="201"/>
      <c r="E172" s="321"/>
      <c r="F172" s="202">
        <f t="shared" si="37"/>
        <v>4</v>
      </c>
      <c r="G172" s="203">
        <v>18700</v>
      </c>
      <c r="H172" s="203">
        <v>22000</v>
      </c>
      <c r="I172" s="204"/>
      <c r="J172" s="205">
        <f t="shared" si="38"/>
        <v>0</v>
      </c>
      <c r="K172" s="205">
        <f t="shared" si="39"/>
        <v>0</v>
      </c>
      <c r="L172" s="323">
        <f t="shared" si="40"/>
        <v>74800</v>
      </c>
      <c r="M172" s="320">
        <f t="shared" si="41"/>
        <v>88000</v>
      </c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spans="1:26" ht="14.4">
      <c r="A173" s="696"/>
      <c r="B173" s="322" t="s">
        <v>274</v>
      </c>
      <c r="C173" s="227">
        <v>22</v>
      </c>
      <c r="D173" s="201"/>
      <c r="E173" s="321"/>
      <c r="F173" s="202">
        <f t="shared" si="37"/>
        <v>22</v>
      </c>
      <c r="G173" s="203">
        <v>10800</v>
      </c>
      <c r="H173" s="203">
        <v>13500</v>
      </c>
      <c r="I173" s="204"/>
      <c r="J173" s="205">
        <f t="shared" si="38"/>
        <v>0</v>
      </c>
      <c r="K173" s="205">
        <f t="shared" si="39"/>
        <v>0</v>
      </c>
      <c r="L173" s="323">
        <f t="shared" si="40"/>
        <v>237600</v>
      </c>
      <c r="M173" s="320">
        <f t="shared" si="41"/>
        <v>297000</v>
      </c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spans="1:26" ht="14.4">
      <c r="A174" s="696"/>
      <c r="B174" s="322" t="s">
        <v>275</v>
      </c>
      <c r="C174" s="227">
        <v>16.5</v>
      </c>
      <c r="D174" s="201"/>
      <c r="E174" s="321"/>
      <c r="F174" s="202">
        <f t="shared" si="37"/>
        <v>16.5</v>
      </c>
      <c r="G174" s="203">
        <v>13300</v>
      </c>
      <c r="H174" s="203">
        <v>15000</v>
      </c>
      <c r="I174" s="204"/>
      <c r="J174" s="205">
        <f t="shared" si="38"/>
        <v>0</v>
      </c>
      <c r="K174" s="205">
        <f t="shared" si="39"/>
        <v>0</v>
      </c>
      <c r="L174" s="323">
        <f t="shared" si="40"/>
        <v>219450</v>
      </c>
      <c r="M174" s="320">
        <f t="shared" si="41"/>
        <v>247500</v>
      </c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spans="1:26" ht="14.4">
      <c r="A175" s="696"/>
      <c r="B175" s="322" t="s">
        <v>276</v>
      </c>
      <c r="C175" s="227">
        <v>4</v>
      </c>
      <c r="D175" s="201"/>
      <c r="E175" s="321"/>
      <c r="F175" s="202">
        <f t="shared" si="37"/>
        <v>4</v>
      </c>
      <c r="G175" s="203">
        <v>22000</v>
      </c>
      <c r="H175" s="203">
        <v>25000</v>
      </c>
      <c r="I175" s="204"/>
      <c r="J175" s="205">
        <f t="shared" si="38"/>
        <v>0</v>
      </c>
      <c r="K175" s="205">
        <f t="shared" si="39"/>
        <v>0</v>
      </c>
      <c r="L175" s="323">
        <f t="shared" si="40"/>
        <v>88000</v>
      </c>
      <c r="M175" s="320">
        <f t="shared" si="41"/>
        <v>100000</v>
      </c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spans="1:26" ht="14.4">
      <c r="A176" s="696"/>
      <c r="B176" s="322" t="s">
        <v>277</v>
      </c>
      <c r="C176" s="227">
        <v>5</v>
      </c>
      <c r="D176" s="201"/>
      <c r="E176" s="321"/>
      <c r="F176" s="202">
        <f t="shared" si="37"/>
        <v>5</v>
      </c>
      <c r="G176" s="203">
        <v>2500</v>
      </c>
      <c r="H176" s="203">
        <v>3000</v>
      </c>
      <c r="I176" s="204"/>
      <c r="J176" s="205">
        <f t="shared" si="38"/>
        <v>0</v>
      </c>
      <c r="K176" s="205">
        <f t="shared" si="39"/>
        <v>0</v>
      </c>
      <c r="L176" s="323">
        <f t="shared" si="40"/>
        <v>12500</v>
      </c>
      <c r="M176" s="320">
        <f t="shared" si="41"/>
        <v>15000</v>
      </c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spans="1:26" ht="14.4">
      <c r="A177" s="696"/>
      <c r="B177" s="318" t="s">
        <v>278</v>
      </c>
      <c r="C177" s="227">
        <v>14</v>
      </c>
      <c r="D177" s="201"/>
      <c r="E177" s="321"/>
      <c r="F177" s="202">
        <f t="shared" si="37"/>
        <v>14</v>
      </c>
      <c r="G177" s="203">
        <v>12500</v>
      </c>
      <c r="H177" s="203">
        <v>13500</v>
      </c>
      <c r="I177" s="204"/>
      <c r="J177" s="205">
        <f t="shared" si="38"/>
        <v>0</v>
      </c>
      <c r="K177" s="205">
        <f t="shared" si="39"/>
        <v>0</v>
      </c>
      <c r="L177" s="323">
        <f t="shared" si="40"/>
        <v>175000</v>
      </c>
      <c r="M177" s="320">
        <f t="shared" si="41"/>
        <v>189000</v>
      </c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spans="1:26" ht="14.4">
      <c r="A178" s="696"/>
      <c r="B178" s="318" t="s">
        <v>279</v>
      </c>
      <c r="C178" s="227">
        <v>4</v>
      </c>
      <c r="D178" s="201"/>
      <c r="E178" s="321"/>
      <c r="F178" s="202">
        <f t="shared" si="37"/>
        <v>4</v>
      </c>
      <c r="G178" s="203">
        <v>15000</v>
      </c>
      <c r="H178" s="203">
        <v>16500</v>
      </c>
      <c r="I178" s="204"/>
      <c r="J178" s="205">
        <f t="shared" si="38"/>
        <v>0</v>
      </c>
      <c r="K178" s="205">
        <f t="shared" si="39"/>
        <v>0</v>
      </c>
      <c r="L178" s="323">
        <f t="shared" si="40"/>
        <v>60000</v>
      </c>
      <c r="M178" s="320">
        <f t="shared" si="41"/>
        <v>66000</v>
      </c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spans="1:26" ht="14.4">
      <c r="A179" s="696"/>
      <c r="B179" s="322" t="s">
        <v>280</v>
      </c>
      <c r="C179" s="229">
        <v>8</v>
      </c>
      <c r="D179" s="201"/>
      <c r="E179" s="321"/>
      <c r="F179" s="202">
        <f t="shared" si="37"/>
        <v>8</v>
      </c>
      <c r="G179" s="203">
        <v>24000</v>
      </c>
      <c r="H179" s="203">
        <v>25000</v>
      </c>
      <c r="I179" s="204"/>
      <c r="J179" s="205">
        <f t="shared" si="38"/>
        <v>0</v>
      </c>
      <c r="K179" s="205">
        <f t="shared" si="39"/>
        <v>0</v>
      </c>
      <c r="L179" s="323">
        <f t="shared" si="40"/>
        <v>192000</v>
      </c>
      <c r="M179" s="320">
        <f t="shared" si="41"/>
        <v>200000</v>
      </c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spans="1:26" ht="14.4">
      <c r="A180" s="696"/>
      <c r="B180" s="322" t="s">
        <v>660</v>
      </c>
      <c r="C180" s="227">
        <v>2</v>
      </c>
      <c r="D180" s="201"/>
      <c r="E180" s="321"/>
      <c r="F180" s="202">
        <f t="shared" si="37"/>
        <v>2</v>
      </c>
      <c r="G180" s="203">
        <v>13000</v>
      </c>
      <c r="H180" s="203">
        <v>15000</v>
      </c>
      <c r="I180" s="204"/>
      <c r="J180" s="205">
        <f t="shared" si="38"/>
        <v>0</v>
      </c>
      <c r="K180" s="205">
        <f t="shared" si="39"/>
        <v>0</v>
      </c>
      <c r="L180" s="323">
        <f t="shared" si="40"/>
        <v>26000</v>
      </c>
      <c r="M180" s="320">
        <f t="shared" si="41"/>
        <v>30000</v>
      </c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spans="1:26" ht="14.4">
      <c r="A181" s="696"/>
      <c r="B181" s="318" t="s">
        <v>281</v>
      </c>
      <c r="C181" s="227">
        <v>4</v>
      </c>
      <c r="D181" s="201"/>
      <c r="E181" s="321"/>
      <c r="F181" s="202">
        <f t="shared" si="37"/>
        <v>4</v>
      </c>
      <c r="G181" s="203">
        <v>7800</v>
      </c>
      <c r="H181" s="203">
        <v>9000</v>
      </c>
      <c r="I181" s="204"/>
      <c r="J181" s="205">
        <f t="shared" si="38"/>
        <v>0</v>
      </c>
      <c r="K181" s="205">
        <f t="shared" si="39"/>
        <v>0</v>
      </c>
      <c r="L181" s="323">
        <f t="shared" si="40"/>
        <v>31200</v>
      </c>
      <c r="M181" s="320">
        <f t="shared" si="41"/>
        <v>36000</v>
      </c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spans="1:26" ht="14.4">
      <c r="A182" s="697"/>
      <c r="B182" s="318" t="s">
        <v>282</v>
      </c>
      <c r="C182" s="325">
        <v>7</v>
      </c>
      <c r="D182" s="201"/>
      <c r="E182" s="321"/>
      <c r="F182" s="202">
        <f t="shared" si="37"/>
        <v>7</v>
      </c>
      <c r="G182" s="239">
        <v>11300</v>
      </c>
      <c r="H182" s="239">
        <v>13500</v>
      </c>
      <c r="I182" s="213"/>
      <c r="J182" s="205">
        <f t="shared" si="38"/>
        <v>0</v>
      </c>
      <c r="K182" s="205">
        <f t="shared" si="39"/>
        <v>0</v>
      </c>
      <c r="L182" s="323">
        <f t="shared" si="40"/>
        <v>79100</v>
      </c>
      <c r="M182" s="320">
        <f t="shared" si="41"/>
        <v>94500</v>
      </c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spans="1:26" ht="14.4">
      <c r="A183" s="326"/>
      <c r="B183" s="327"/>
      <c r="C183" s="328"/>
      <c r="D183" s="329"/>
      <c r="E183" s="329"/>
      <c r="F183" s="330"/>
      <c r="G183" s="331"/>
      <c r="H183" s="331"/>
      <c r="I183" s="332"/>
      <c r="J183" s="333"/>
      <c r="K183" s="333"/>
      <c r="L183" s="334">
        <f t="shared" ref="L183:M183" si="42">SUM(L160:L182)</f>
        <v>1980950</v>
      </c>
      <c r="M183" s="334">
        <f t="shared" si="42"/>
        <v>2260500</v>
      </c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spans="1:26" ht="14.4">
      <c r="A184" s="326"/>
      <c r="B184" s="230" t="s">
        <v>283</v>
      </c>
      <c r="C184" s="335">
        <v>33</v>
      </c>
      <c r="D184" s="201"/>
      <c r="E184" s="201"/>
      <c r="F184" s="202">
        <f t="shared" ref="F184:F243" si="43">+C184+D184-E184</f>
        <v>33</v>
      </c>
      <c r="G184" s="203">
        <v>13100</v>
      </c>
      <c r="H184" s="203">
        <v>14500</v>
      </c>
      <c r="I184" s="224"/>
      <c r="J184" s="205">
        <f t="shared" ref="J184:J243" si="44">+I184*H184</f>
        <v>0</v>
      </c>
      <c r="K184" s="205">
        <f t="shared" ref="K184:K243" si="45">+(H184-G184)*I184</f>
        <v>0</v>
      </c>
      <c r="L184" s="319">
        <f t="shared" ref="L184:L243" si="46">+G184*F184</f>
        <v>432300</v>
      </c>
      <c r="M184" s="336">
        <f t="shared" ref="M184:M243" si="47">F184*H184</f>
        <v>478500</v>
      </c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spans="1:26" ht="14.4">
      <c r="A185" s="326"/>
      <c r="B185" s="230" t="s">
        <v>284</v>
      </c>
      <c r="C185" s="229">
        <v>5</v>
      </c>
      <c r="D185" s="201"/>
      <c r="E185" s="191"/>
      <c r="F185" s="202">
        <f t="shared" si="43"/>
        <v>5</v>
      </c>
      <c r="G185" s="203">
        <v>27200</v>
      </c>
      <c r="H185" s="203">
        <v>32000</v>
      </c>
      <c r="I185" s="204"/>
      <c r="J185" s="205">
        <f t="shared" si="44"/>
        <v>0</v>
      </c>
      <c r="K185" s="205">
        <f t="shared" si="45"/>
        <v>0</v>
      </c>
      <c r="L185" s="319">
        <f t="shared" si="46"/>
        <v>136000</v>
      </c>
      <c r="M185" s="336">
        <f t="shared" si="47"/>
        <v>160000</v>
      </c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spans="1:26" ht="14.4">
      <c r="A186" s="326"/>
      <c r="B186" s="230" t="s">
        <v>285</v>
      </c>
      <c r="C186" s="229">
        <v>4</v>
      </c>
      <c r="D186" s="201"/>
      <c r="E186" s="201"/>
      <c r="F186" s="202">
        <f t="shared" si="43"/>
        <v>4</v>
      </c>
      <c r="G186" s="203">
        <v>15100</v>
      </c>
      <c r="H186" s="203">
        <v>23200</v>
      </c>
      <c r="I186" s="204"/>
      <c r="J186" s="205">
        <f t="shared" si="44"/>
        <v>0</v>
      </c>
      <c r="K186" s="205">
        <f t="shared" si="45"/>
        <v>0</v>
      </c>
      <c r="L186" s="319">
        <f t="shared" si="46"/>
        <v>60400</v>
      </c>
      <c r="M186" s="336">
        <f t="shared" si="47"/>
        <v>92800</v>
      </c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spans="1:26" ht="14.4">
      <c r="A187" s="326"/>
      <c r="B187" s="230" t="s">
        <v>286</v>
      </c>
      <c r="C187" s="227">
        <v>2</v>
      </c>
      <c r="D187" s="201"/>
      <c r="E187" s="201"/>
      <c r="F187" s="202">
        <f t="shared" si="43"/>
        <v>2</v>
      </c>
      <c r="G187" s="203">
        <v>17400</v>
      </c>
      <c r="H187" s="203">
        <v>28800</v>
      </c>
      <c r="I187" s="204"/>
      <c r="J187" s="205">
        <f t="shared" si="44"/>
        <v>0</v>
      </c>
      <c r="K187" s="205">
        <f t="shared" si="45"/>
        <v>0</v>
      </c>
      <c r="L187" s="319">
        <f t="shared" si="46"/>
        <v>34800</v>
      </c>
      <c r="M187" s="336">
        <f t="shared" si="47"/>
        <v>57600</v>
      </c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spans="1:26" ht="14.4">
      <c r="A188" s="326"/>
      <c r="B188" s="230" t="s">
        <v>287</v>
      </c>
      <c r="C188" s="227">
        <v>1</v>
      </c>
      <c r="D188" s="201"/>
      <c r="E188" s="201"/>
      <c r="F188" s="202">
        <f t="shared" si="43"/>
        <v>1</v>
      </c>
      <c r="G188" s="203">
        <v>13600</v>
      </c>
      <c r="H188" s="203">
        <v>15000</v>
      </c>
      <c r="I188" s="204"/>
      <c r="J188" s="205">
        <f t="shared" si="44"/>
        <v>0</v>
      </c>
      <c r="K188" s="205">
        <f t="shared" si="45"/>
        <v>0</v>
      </c>
      <c r="L188" s="319">
        <f t="shared" si="46"/>
        <v>13600</v>
      </c>
      <c r="M188" s="336">
        <f t="shared" si="47"/>
        <v>15000</v>
      </c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spans="1:26" ht="14.4">
      <c r="A189" s="326"/>
      <c r="B189" s="230" t="s">
        <v>288</v>
      </c>
      <c r="C189" s="227"/>
      <c r="D189" s="201"/>
      <c r="E189" s="201"/>
      <c r="F189" s="202">
        <f t="shared" si="43"/>
        <v>0</v>
      </c>
      <c r="G189" s="203">
        <v>11000</v>
      </c>
      <c r="H189" s="203">
        <v>12000</v>
      </c>
      <c r="I189" s="204"/>
      <c r="J189" s="205">
        <f t="shared" si="44"/>
        <v>0</v>
      </c>
      <c r="K189" s="205">
        <f t="shared" si="45"/>
        <v>0</v>
      </c>
      <c r="L189" s="319">
        <f t="shared" si="46"/>
        <v>0</v>
      </c>
      <c r="M189" s="336">
        <f t="shared" si="47"/>
        <v>0</v>
      </c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spans="1:26" ht="14.4">
      <c r="A190" s="326"/>
      <c r="B190" s="230" t="s">
        <v>289</v>
      </c>
      <c r="C190" s="229"/>
      <c r="D190" s="201"/>
      <c r="E190" s="201"/>
      <c r="F190" s="202">
        <f t="shared" si="43"/>
        <v>0</v>
      </c>
      <c r="G190" s="203">
        <v>24100</v>
      </c>
      <c r="H190" s="203">
        <v>35000</v>
      </c>
      <c r="I190" s="204"/>
      <c r="J190" s="205">
        <f t="shared" si="44"/>
        <v>0</v>
      </c>
      <c r="K190" s="205">
        <f t="shared" si="45"/>
        <v>0</v>
      </c>
      <c r="L190" s="319">
        <f t="shared" si="46"/>
        <v>0</v>
      </c>
      <c r="M190" s="336">
        <f t="shared" si="47"/>
        <v>0</v>
      </c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spans="1:26" ht="14.4">
      <c r="A191" s="326"/>
      <c r="B191" s="230" t="s">
        <v>290</v>
      </c>
      <c r="C191" s="229">
        <v>5</v>
      </c>
      <c r="D191" s="201"/>
      <c r="E191" s="201"/>
      <c r="F191" s="202">
        <f t="shared" si="43"/>
        <v>5</v>
      </c>
      <c r="G191" s="203">
        <v>7500</v>
      </c>
      <c r="H191" s="203">
        <v>12500</v>
      </c>
      <c r="I191" s="204"/>
      <c r="J191" s="205">
        <f t="shared" si="44"/>
        <v>0</v>
      </c>
      <c r="K191" s="205">
        <f t="shared" si="45"/>
        <v>0</v>
      </c>
      <c r="L191" s="319">
        <f t="shared" si="46"/>
        <v>37500</v>
      </c>
      <c r="M191" s="336">
        <f t="shared" si="47"/>
        <v>62500</v>
      </c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spans="1:26" ht="14.4">
      <c r="A192" s="326"/>
      <c r="B192" s="230" t="s">
        <v>291</v>
      </c>
      <c r="C192" s="227">
        <v>8</v>
      </c>
      <c r="D192" s="201"/>
      <c r="E192" s="201"/>
      <c r="F192" s="202">
        <f t="shared" si="43"/>
        <v>8</v>
      </c>
      <c r="G192" s="203">
        <v>27200</v>
      </c>
      <c r="H192" s="203">
        <v>32000</v>
      </c>
      <c r="I192" s="204"/>
      <c r="J192" s="205">
        <f t="shared" si="44"/>
        <v>0</v>
      </c>
      <c r="K192" s="205">
        <f t="shared" si="45"/>
        <v>0</v>
      </c>
      <c r="L192" s="319">
        <f t="shared" si="46"/>
        <v>217600</v>
      </c>
      <c r="M192" s="336">
        <f t="shared" si="47"/>
        <v>256000</v>
      </c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spans="1:26" ht="14.4">
      <c r="A193" s="326"/>
      <c r="B193" s="337" t="s">
        <v>64</v>
      </c>
      <c r="C193" s="227">
        <f>20</f>
        <v>20</v>
      </c>
      <c r="D193" s="201"/>
      <c r="E193" s="201"/>
      <c r="F193" s="202">
        <f t="shared" si="43"/>
        <v>20</v>
      </c>
      <c r="G193" s="203">
        <v>31300</v>
      </c>
      <c r="H193" s="203">
        <v>36000</v>
      </c>
      <c r="I193" s="204"/>
      <c r="J193" s="205">
        <f t="shared" si="44"/>
        <v>0</v>
      </c>
      <c r="K193" s="205">
        <f t="shared" si="45"/>
        <v>0</v>
      </c>
      <c r="L193" s="319">
        <f t="shared" si="46"/>
        <v>626000</v>
      </c>
      <c r="M193" s="336">
        <f t="shared" si="47"/>
        <v>720000</v>
      </c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spans="1:26" ht="14.4">
      <c r="A194" s="326"/>
      <c r="B194" s="337" t="s">
        <v>292</v>
      </c>
      <c r="C194" s="227"/>
      <c r="D194" s="201"/>
      <c r="E194" s="201"/>
      <c r="F194" s="202">
        <f t="shared" si="43"/>
        <v>0</v>
      </c>
      <c r="G194" s="203">
        <v>30600</v>
      </c>
      <c r="H194" s="203">
        <v>36000</v>
      </c>
      <c r="I194" s="204"/>
      <c r="J194" s="205">
        <f t="shared" si="44"/>
        <v>0</v>
      </c>
      <c r="K194" s="205">
        <f t="shared" si="45"/>
        <v>0</v>
      </c>
      <c r="L194" s="319">
        <f t="shared" si="46"/>
        <v>0</v>
      </c>
      <c r="M194" s="336">
        <f t="shared" si="47"/>
        <v>0</v>
      </c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spans="1:26" ht="14.4">
      <c r="A195" s="326"/>
      <c r="B195" s="337" t="s">
        <v>293</v>
      </c>
      <c r="C195" s="227"/>
      <c r="D195" s="201"/>
      <c r="E195" s="201"/>
      <c r="F195" s="202">
        <f t="shared" si="43"/>
        <v>0</v>
      </c>
      <c r="G195" s="203">
        <v>45000</v>
      </c>
      <c r="H195" s="203">
        <v>50000</v>
      </c>
      <c r="I195" s="204"/>
      <c r="J195" s="205">
        <f t="shared" si="44"/>
        <v>0</v>
      </c>
      <c r="K195" s="205">
        <f t="shared" si="45"/>
        <v>0</v>
      </c>
      <c r="L195" s="319">
        <f t="shared" si="46"/>
        <v>0</v>
      </c>
      <c r="M195" s="336">
        <f t="shared" si="47"/>
        <v>0</v>
      </c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spans="1:26" ht="14.4">
      <c r="A196" s="326"/>
      <c r="B196" s="337" t="s">
        <v>65</v>
      </c>
      <c r="C196" s="227">
        <f>14</f>
        <v>14</v>
      </c>
      <c r="D196" s="201"/>
      <c r="E196" s="201"/>
      <c r="F196" s="202">
        <f t="shared" si="43"/>
        <v>14</v>
      </c>
      <c r="G196" s="203">
        <v>54200</v>
      </c>
      <c r="H196" s="203">
        <v>62500</v>
      </c>
      <c r="I196" s="204"/>
      <c r="J196" s="205">
        <f t="shared" si="44"/>
        <v>0</v>
      </c>
      <c r="K196" s="205">
        <f t="shared" si="45"/>
        <v>0</v>
      </c>
      <c r="L196" s="319">
        <f t="shared" si="46"/>
        <v>758800</v>
      </c>
      <c r="M196" s="336">
        <f t="shared" si="47"/>
        <v>875000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spans="1:26" ht="14.4">
      <c r="A197" s="326"/>
      <c r="B197" s="337" t="s">
        <v>294</v>
      </c>
      <c r="C197" s="227">
        <v>3</v>
      </c>
      <c r="D197" s="201"/>
      <c r="E197" s="201"/>
      <c r="F197" s="202">
        <f t="shared" si="43"/>
        <v>3</v>
      </c>
      <c r="G197" s="203">
        <v>36000</v>
      </c>
      <c r="H197" s="203">
        <v>42000</v>
      </c>
      <c r="I197" s="204"/>
      <c r="J197" s="205">
        <f t="shared" si="44"/>
        <v>0</v>
      </c>
      <c r="K197" s="205">
        <f t="shared" si="45"/>
        <v>0</v>
      </c>
      <c r="L197" s="319">
        <f t="shared" si="46"/>
        <v>108000</v>
      </c>
      <c r="M197" s="336">
        <f t="shared" si="47"/>
        <v>126000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spans="1:26" ht="14.4">
      <c r="A198" s="326"/>
      <c r="B198" s="337" t="s">
        <v>295</v>
      </c>
      <c r="C198" s="227">
        <v>5</v>
      </c>
      <c r="D198" s="201"/>
      <c r="E198" s="201"/>
      <c r="F198" s="202">
        <f t="shared" si="43"/>
        <v>5</v>
      </c>
      <c r="G198" s="203">
        <v>8700</v>
      </c>
      <c r="H198" s="203">
        <v>10000</v>
      </c>
      <c r="I198" s="204"/>
      <c r="J198" s="205">
        <f t="shared" si="44"/>
        <v>0</v>
      </c>
      <c r="K198" s="205">
        <f t="shared" si="45"/>
        <v>0</v>
      </c>
      <c r="L198" s="319">
        <f t="shared" si="46"/>
        <v>43500</v>
      </c>
      <c r="M198" s="336">
        <f t="shared" si="47"/>
        <v>50000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spans="1:26" ht="14.4">
      <c r="A199" s="326"/>
      <c r="B199" s="337" t="s">
        <v>296</v>
      </c>
      <c r="C199" s="227"/>
      <c r="D199" s="201"/>
      <c r="E199" s="201"/>
      <c r="F199" s="202">
        <f t="shared" si="43"/>
        <v>0</v>
      </c>
      <c r="G199" s="203">
        <v>52200</v>
      </c>
      <c r="H199" s="203">
        <v>62500</v>
      </c>
      <c r="I199" s="204"/>
      <c r="J199" s="205">
        <f t="shared" si="44"/>
        <v>0</v>
      </c>
      <c r="K199" s="205">
        <f t="shared" si="45"/>
        <v>0</v>
      </c>
      <c r="L199" s="319">
        <f t="shared" si="46"/>
        <v>0</v>
      </c>
      <c r="M199" s="336">
        <f t="shared" si="47"/>
        <v>0</v>
      </c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spans="1:26" ht="14.4">
      <c r="A200" s="326"/>
      <c r="B200" s="337" t="s">
        <v>297</v>
      </c>
      <c r="C200" s="227"/>
      <c r="D200" s="201"/>
      <c r="E200" s="201"/>
      <c r="F200" s="202">
        <f t="shared" si="43"/>
        <v>0</v>
      </c>
      <c r="G200" s="203">
        <v>43400</v>
      </c>
      <c r="H200" s="203">
        <v>50000</v>
      </c>
      <c r="I200" s="204"/>
      <c r="J200" s="205">
        <f t="shared" si="44"/>
        <v>0</v>
      </c>
      <c r="K200" s="205">
        <f t="shared" si="45"/>
        <v>0</v>
      </c>
      <c r="L200" s="319">
        <f t="shared" si="46"/>
        <v>0</v>
      </c>
      <c r="M200" s="336">
        <f t="shared" si="47"/>
        <v>0</v>
      </c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spans="1:26" ht="14.4">
      <c r="A201" s="326"/>
      <c r="B201" s="337" t="s">
        <v>298</v>
      </c>
      <c r="C201" s="229">
        <v>3</v>
      </c>
      <c r="D201" s="201"/>
      <c r="E201" s="201"/>
      <c r="F201" s="202">
        <f t="shared" si="43"/>
        <v>3</v>
      </c>
      <c r="G201" s="203">
        <v>30000</v>
      </c>
      <c r="H201" s="203">
        <v>32000</v>
      </c>
      <c r="I201" s="204"/>
      <c r="J201" s="205">
        <f t="shared" si="44"/>
        <v>0</v>
      </c>
      <c r="K201" s="205">
        <f t="shared" si="45"/>
        <v>0</v>
      </c>
      <c r="L201" s="319">
        <f t="shared" si="46"/>
        <v>90000</v>
      </c>
      <c r="M201" s="336">
        <f t="shared" si="47"/>
        <v>96000</v>
      </c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spans="1:26" ht="14.4">
      <c r="A202" s="326"/>
      <c r="B202" s="337" t="s">
        <v>299</v>
      </c>
      <c r="C202" s="229">
        <v>3</v>
      </c>
      <c r="D202" s="201"/>
      <c r="E202" s="201"/>
      <c r="F202" s="202">
        <f t="shared" si="43"/>
        <v>3</v>
      </c>
      <c r="G202" s="203">
        <v>35000</v>
      </c>
      <c r="H202" s="203">
        <v>36500</v>
      </c>
      <c r="I202" s="204"/>
      <c r="J202" s="205">
        <f t="shared" si="44"/>
        <v>0</v>
      </c>
      <c r="K202" s="205">
        <f t="shared" si="45"/>
        <v>0</v>
      </c>
      <c r="L202" s="319">
        <f t="shared" si="46"/>
        <v>105000</v>
      </c>
      <c r="M202" s="336">
        <f t="shared" si="47"/>
        <v>109500</v>
      </c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spans="1:26" ht="14.4">
      <c r="A203" s="326"/>
      <c r="B203" s="337" t="s">
        <v>300</v>
      </c>
      <c r="C203" s="229">
        <v>4</v>
      </c>
      <c r="D203" s="201"/>
      <c r="E203" s="201"/>
      <c r="F203" s="202">
        <f t="shared" si="43"/>
        <v>4</v>
      </c>
      <c r="G203" s="203">
        <v>27000</v>
      </c>
      <c r="H203" s="203">
        <v>30000</v>
      </c>
      <c r="I203" s="204"/>
      <c r="J203" s="205">
        <f t="shared" si="44"/>
        <v>0</v>
      </c>
      <c r="K203" s="205">
        <f t="shared" si="45"/>
        <v>0</v>
      </c>
      <c r="L203" s="319">
        <f t="shared" si="46"/>
        <v>108000</v>
      </c>
      <c r="M203" s="336">
        <f t="shared" si="47"/>
        <v>120000</v>
      </c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spans="1:26" ht="14.4">
      <c r="A204" s="326"/>
      <c r="B204" s="337" t="s">
        <v>301</v>
      </c>
      <c r="C204" s="227">
        <v>79.5</v>
      </c>
      <c r="D204" s="201"/>
      <c r="E204" s="201"/>
      <c r="F204" s="202">
        <f t="shared" si="43"/>
        <v>79.5</v>
      </c>
      <c r="G204" s="203">
        <v>16700</v>
      </c>
      <c r="H204" s="203">
        <v>19200</v>
      </c>
      <c r="I204" s="204"/>
      <c r="J204" s="205">
        <f t="shared" si="44"/>
        <v>0</v>
      </c>
      <c r="K204" s="205">
        <f t="shared" si="45"/>
        <v>0</v>
      </c>
      <c r="L204" s="319">
        <f t="shared" si="46"/>
        <v>1327650</v>
      </c>
      <c r="M204" s="336">
        <f t="shared" si="47"/>
        <v>1526400</v>
      </c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spans="1:26" ht="14.4">
      <c r="A205" s="326"/>
      <c r="B205" s="337" t="s">
        <v>302</v>
      </c>
      <c r="C205" s="227">
        <f>127</f>
        <v>127</v>
      </c>
      <c r="D205" s="201"/>
      <c r="E205" s="201"/>
      <c r="F205" s="202">
        <f t="shared" si="43"/>
        <v>127</v>
      </c>
      <c r="G205" s="203">
        <v>57000</v>
      </c>
      <c r="H205" s="203">
        <v>65000</v>
      </c>
      <c r="I205" s="204"/>
      <c r="J205" s="205">
        <f t="shared" si="44"/>
        <v>0</v>
      </c>
      <c r="K205" s="205">
        <f t="shared" si="45"/>
        <v>0</v>
      </c>
      <c r="L205" s="319">
        <f t="shared" si="46"/>
        <v>7239000</v>
      </c>
      <c r="M205" s="336">
        <f t="shared" si="47"/>
        <v>8255000</v>
      </c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spans="1:26" ht="14.4">
      <c r="A206" s="326"/>
      <c r="B206" s="337" t="s">
        <v>303</v>
      </c>
      <c r="C206" s="227">
        <v>27</v>
      </c>
      <c r="D206" s="201"/>
      <c r="E206" s="201"/>
      <c r="F206" s="202">
        <f t="shared" si="43"/>
        <v>27</v>
      </c>
      <c r="G206" s="203">
        <v>43000</v>
      </c>
      <c r="H206" s="203">
        <v>45000</v>
      </c>
      <c r="I206" s="204"/>
      <c r="J206" s="205">
        <f t="shared" si="44"/>
        <v>0</v>
      </c>
      <c r="K206" s="205">
        <f t="shared" si="45"/>
        <v>0</v>
      </c>
      <c r="L206" s="319">
        <f t="shared" si="46"/>
        <v>1161000</v>
      </c>
      <c r="M206" s="336">
        <f t="shared" si="47"/>
        <v>1215000</v>
      </c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spans="1:26" ht="14.4">
      <c r="A207" s="326"/>
      <c r="B207" s="337" t="s">
        <v>304</v>
      </c>
      <c r="C207" s="227">
        <v>3</v>
      </c>
      <c r="D207" s="201"/>
      <c r="E207" s="201"/>
      <c r="F207" s="202">
        <f t="shared" si="43"/>
        <v>3</v>
      </c>
      <c r="G207" s="203">
        <v>45700</v>
      </c>
      <c r="H207" s="203">
        <v>50000</v>
      </c>
      <c r="I207" s="204"/>
      <c r="J207" s="205">
        <f t="shared" si="44"/>
        <v>0</v>
      </c>
      <c r="K207" s="205">
        <f t="shared" si="45"/>
        <v>0</v>
      </c>
      <c r="L207" s="319">
        <f t="shared" si="46"/>
        <v>137100</v>
      </c>
      <c r="M207" s="336">
        <f t="shared" si="47"/>
        <v>150000</v>
      </c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spans="1:26" ht="14.4">
      <c r="A208" s="326"/>
      <c r="B208" s="337" t="s">
        <v>305</v>
      </c>
      <c r="C208" s="227">
        <v>9.5</v>
      </c>
      <c r="D208" s="201"/>
      <c r="E208" s="201"/>
      <c r="F208" s="202">
        <f t="shared" si="43"/>
        <v>9.5</v>
      </c>
      <c r="G208" s="203">
        <v>48000</v>
      </c>
      <c r="H208" s="203">
        <v>55000</v>
      </c>
      <c r="I208" s="204"/>
      <c r="J208" s="205">
        <f t="shared" si="44"/>
        <v>0</v>
      </c>
      <c r="K208" s="205">
        <f t="shared" si="45"/>
        <v>0</v>
      </c>
      <c r="L208" s="319">
        <f t="shared" si="46"/>
        <v>456000</v>
      </c>
      <c r="M208" s="336">
        <f t="shared" si="47"/>
        <v>522500</v>
      </c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spans="1:26" ht="14.4">
      <c r="A209" s="326"/>
      <c r="B209" s="337" t="s">
        <v>306</v>
      </c>
      <c r="C209" s="227">
        <v>55</v>
      </c>
      <c r="D209" s="201"/>
      <c r="E209" s="201"/>
      <c r="F209" s="202">
        <f t="shared" si="43"/>
        <v>55</v>
      </c>
      <c r="G209" s="203">
        <v>27000</v>
      </c>
      <c r="H209" s="203">
        <v>30000</v>
      </c>
      <c r="I209" s="204"/>
      <c r="J209" s="205">
        <f t="shared" si="44"/>
        <v>0</v>
      </c>
      <c r="K209" s="205">
        <f t="shared" si="45"/>
        <v>0</v>
      </c>
      <c r="L209" s="319">
        <f t="shared" si="46"/>
        <v>1485000</v>
      </c>
      <c r="M209" s="336">
        <f t="shared" si="47"/>
        <v>1650000</v>
      </c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spans="1:26" ht="14.4">
      <c r="A210" s="326"/>
      <c r="B210" s="337" t="s">
        <v>307</v>
      </c>
      <c r="C210" s="227"/>
      <c r="D210" s="201"/>
      <c r="E210" s="201"/>
      <c r="F210" s="202">
        <f t="shared" si="43"/>
        <v>0</v>
      </c>
      <c r="G210" s="203">
        <v>37000</v>
      </c>
      <c r="H210" s="203">
        <v>45000</v>
      </c>
      <c r="I210" s="204"/>
      <c r="J210" s="205">
        <f t="shared" si="44"/>
        <v>0</v>
      </c>
      <c r="K210" s="205">
        <f t="shared" si="45"/>
        <v>0</v>
      </c>
      <c r="L210" s="319">
        <f t="shared" si="46"/>
        <v>0</v>
      </c>
      <c r="M210" s="336">
        <f t="shared" si="47"/>
        <v>0</v>
      </c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spans="1:26" ht="14.4">
      <c r="A211" s="326"/>
      <c r="B211" s="337" t="s">
        <v>308</v>
      </c>
      <c r="C211" s="227">
        <v>26</v>
      </c>
      <c r="D211" s="201"/>
      <c r="E211" s="201"/>
      <c r="F211" s="202">
        <f t="shared" si="43"/>
        <v>26</v>
      </c>
      <c r="G211" s="203">
        <v>33000</v>
      </c>
      <c r="H211" s="203">
        <v>35000</v>
      </c>
      <c r="I211" s="204"/>
      <c r="J211" s="205">
        <f t="shared" si="44"/>
        <v>0</v>
      </c>
      <c r="K211" s="205">
        <f t="shared" si="45"/>
        <v>0</v>
      </c>
      <c r="L211" s="319">
        <f t="shared" si="46"/>
        <v>858000</v>
      </c>
      <c r="M211" s="336">
        <f t="shared" si="47"/>
        <v>910000</v>
      </c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spans="1:26" ht="14.4">
      <c r="A212" s="326"/>
      <c r="B212" s="337" t="s">
        <v>309</v>
      </c>
      <c r="C212" s="227">
        <v>16</v>
      </c>
      <c r="D212" s="201"/>
      <c r="E212" s="201"/>
      <c r="F212" s="202">
        <f t="shared" si="43"/>
        <v>16</v>
      </c>
      <c r="G212" s="203">
        <v>14000</v>
      </c>
      <c r="H212" s="203">
        <v>16000</v>
      </c>
      <c r="I212" s="204"/>
      <c r="J212" s="205">
        <f t="shared" si="44"/>
        <v>0</v>
      </c>
      <c r="K212" s="205">
        <f t="shared" si="45"/>
        <v>0</v>
      </c>
      <c r="L212" s="319">
        <f t="shared" si="46"/>
        <v>224000</v>
      </c>
      <c r="M212" s="336">
        <f t="shared" si="47"/>
        <v>256000</v>
      </c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spans="1:26" ht="14.4">
      <c r="A213" s="326"/>
      <c r="B213" s="337" t="s">
        <v>310</v>
      </c>
      <c r="C213" s="229">
        <v>0.5</v>
      </c>
      <c r="D213" s="201"/>
      <c r="E213" s="201"/>
      <c r="F213" s="202">
        <f t="shared" si="43"/>
        <v>0.5</v>
      </c>
      <c r="G213" s="203">
        <v>39300</v>
      </c>
      <c r="H213" s="203">
        <v>45000</v>
      </c>
      <c r="I213" s="204"/>
      <c r="J213" s="205">
        <f t="shared" si="44"/>
        <v>0</v>
      </c>
      <c r="K213" s="205">
        <f t="shared" si="45"/>
        <v>0</v>
      </c>
      <c r="L213" s="319">
        <f t="shared" si="46"/>
        <v>19650</v>
      </c>
      <c r="M213" s="336">
        <f t="shared" si="47"/>
        <v>22500</v>
      </c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spans="1:26" ht="14.4">
      <c r="A214" s="326"/>
      <c r="B214" s="337" t="s">
        <v>311</v>
      </c>
      <c r="C214" s="227"/>
      <c r="D214" s="201"/>
      <c r="E214" s="201"/>
      <c r="F214" s="202">
        <f t="shared" si="43"/>
        <v>0</v>
      </c>
      <c r="G214" s="203">
        <v>11800</v>
      </c>
      <c r="H214" s="203">
        <v>15500</v>
      </c>
      <c r="I214" s="204"/>
      <c r="J214" s="205">
        <f t="shared" si="44"/>
        <v>0</v>
      </c>
      <c r="K214" s="205">
        <f t="shared" si="45"/>
        <v>0</v>
      </c>
      <c r="L214" s="319">
        <f t="shared" si="46"/>
        <v>0</v>
      </c>
      <c r="M214" s="336">
        <f t="shared" si="47"/>
        <v>0</v>
      </c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spans="1:26" ht="14.4">
      <c r="A215" s="326"/>
      <c r="B215" s="230" t="s">
        <v>312</v>
      </c>
      <c r="C215" s="227">
        <v>2</v>
      </c>
      <c r="D215" s="201"/>
      <c r="E215" s="201"/>
      <c r="F215" s="202">
        <f t="shared" si="43"/>
        <v>2</v>
      </c>
      <c r="G215" s="203">
        <v>17000</v>
      </c>
      <c r="H215" s="203">
        <v>25000</v>
      </c>
      <c r="I215" s="204"/>
      <c r="J215" s="205">
        <f t="shared" si="44"/>
        <v>0</v>
      </c>
      <c r="K215" s="205">
        <f t="shared" si="45"/>
        <v>0</v>
      </c>
      <c r="L215" s="319">
        <f t="shared" si="46"/>
        <v>34000</v>
      </c>
      <c r="M215" s="336">
        <f t="shared" si="47"/>
        <v>50000</v>
      </c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spans="1:26" ht="14.4">
      <c r="A216" s="326"/>
      <c r="B216" s="337" t="s">
        <v>313</v>
      </c>
      <c r="C216" s="229">
        <v>1</v>
      </c>
      <c r="D216" s="201"/>
      <c r="E216" s="201"/>
      <c r="F216" s="202">
        <f t="shared" si="43"/>
        <v>1</v>
      </c>
      <c r="G216" s="203">
        <v>24500</v>
      </c>
      <c r="H216" s="203">
        <v>28000</v>
      </c>
      <c r="I216" s="204"/>
      <c r="J216" s="205">
        <f t="shared" si="44"/>
        <v>0</v>
      </c>
      <c r="K216" s="205">
        <f t="shared" si="45"/>
        <v>0</v>
      </c>
      <c r="L216" s="319">
        <f t="shared" si="46"/>
        <v>24500</v>
      </c>
      <c r="M216" s="336">
        <f t="shared" si="47"/>
        <v>28000</v>
      </c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spans="1:26" ht="14.4">
      <c r="A217" s="326"/>
      <c r="B217" s="337" t="s">
        <v>314</v>
      </c>
      <c r="C217" s="229">
        <v>3</v>
      </c>
      <c r="D217" s="201"/>
      <c r="E217" s="201"/>
      <c r="F217" s="202">
        <f t="shared" si="43"/>
        <v>3</v>
      </c>
      <c r="G217" s="203">
        <v>24500</v>
      </c>
      <c r="H217" s="203">
        <v>28000</v>
      </c>
      <c r="I217" s="204"/>
      <c r="J217" s="205">
        <f t="shared" si="44"/>
        <v>0</v>
      </c>
      <c r="K217" s="205">
        <f t="shared" si="45"/>
        <v>0</v>
      </c>
      <c r="L217" s="319">
        <f t="shared" si="46"/>
        <v>73500</v>
      </c>
      <c r="M217" s="336">
        <f t="shared" si="47"/>
        <v>84000</v>
      </c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spans="1:26" ht="14.4">
      <c r="A218" s="326"/>
      <c r="B218" s="337" t="s">
        <v>315</v>
      </c>
      <c r="C218" s="229"/>
      <c r="D218" s="201"/>
      <c r="E218" s="201"/>
      <c r="F218" s="202">
        <f t="shared" si="43"/>
        <v>0</v>
      </c>
      <c r="G218" s="203">
        <v>26200</v>
      </c>
      <c r="H218" s="203">
        <v>30000</v>
      </c>
      <c r="I218" s="204"/>
      <c r="J218" s="205">
        <f t="shared" si="44"/>
        <v>0</v>
      </c>
      <c r="K218" s="205">
        <f t="shared" si="45"/>
        <v>0</v>
      </c>
      <c r="L218" s="319">
        <f t="shared" si="46"/>
        <v>0</v>
      </c>
      <c r="M218" s="336">
        <f t="shared" si="47"/>
        <v>0</v>
      </c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spans="1:26" ht="14.4">
      <c r="A219" s="326"/>
      <c r="B219" s="337" t="s">
        <v>316</v>
      </c>
      <c r="C219" s="227">
        <v>56</v>
      </c>
      <c r="D219" s="201"/>
      <c r="E219" s="201"/>
      <c r="F219" s="202">
        <f t="shared" si="43"/>
        <v>56</v>
      </c>
      <c r="G219" s="203">
        <v>6600</v>
      </c>
      <c r="H219" s="203">
        <v>7000</v>
      </c>
      <c r="I219" s="204"/>
      <c r="J219" s="205">
        <f t="shared" si="44"/>
        <v>0</v>
      </c>
      <c r="K219" s="205">
        <f t="shared" si="45"/>
        <v>0</v>
      </c>
      <c r="L219" s="319">
        <f t="shared" si="46"/>
        <v>369600</v>
      </c>
      <c r="M219" s="336">
        <f t="shared" si="47"/>
        <v>392000</v>
      </c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spans="1:26" ht="14.4">
      <c r="A220" s="326"/>
      <c r="B220" s="337" t="s">
        <v>317</v>
      </c>
      <c r="C220" s="227">
        <v>16</v>
      </c>
      <c r="D220" s="201"/>
      <c r="E220" s="201"/>
      <c r="F220" s="202">
        <f t="shared" si="43"/>
        <v>16</v>
      </c>
      <c r="G220" s="203">
        <v>15200</v>
      </c>
      <c r="H220" s="203">
        <v>19000</v>
      </c>
      <c r="I220" s="204"/>
      <c r="J220" s="205">
        <f t="shared" si="44"/>
        <v>0</v>
      </c>
      <c r="K220" s="205">
        <f t="shared" si="45"/>
        <v>0</v>
      </c>
      <c r="L220" s="319">
        <f t="shared" si="46"/>
        <v>243200</v>
      </c>
      <c r="M220" s="336">
        <f t="shared" si="47"/>
        <v>304000</v>
      </c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spans="1:26" ht="14.4">
      <c r="A221" s="326"/>
      <c r="B221" s="337" t="s">
        <v>318</v>
      </c>
      <c r="C221" s="227">
        <f>7</f>
        <v>7</v>
      </c>
      <c r="D221" s="201"/>
      <c r="E221" s="201"/>
      <c r="F221" s="202">
        <f t="shared" si="43"/>
        <v>7</v>
      </c>
      <c r="G221" s="203">
        <v>38300</v>
      </c>
      <c r="H221" s="203">
        <v>45000</v>
      </c>
      <c r="I221" s="204"/>
      <c r="J221" s="205">
        <f t="shared" si="44"/>
        <v>0</v>
      </c>
      <c r="K221" s="205">
        <f t="shared" si="45"/>
        <v>0</v>
      </c>
      <c r="L221" s="319">
        <f t="shared" si="46"/>
        <v>268100</v>
      </c>
      <c r="M221" s="336">
        <f t="shared" si="47"/>
        <v>315000</v>
      </c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spans="1:26" ht="14.4">
      <c r="A222" s="326"/>
      <c r="B222" s="337" t="s">
        <v>319</v>
      </c>
      <c r="C222" s="229">
        <v>6</v>
      </c>
      <c r="D222" s="201"/>
      <c r="E222" s="201"/>
      <c r="F222" s="202">
        <f t="shared" si="43"/>
        <v>6</v>
      </c>
      <c r="G222" s="203">
        <v>34900</v>
      </c>
      <c r="H222" s="203">
        <v>40000</v>
      </c>
      <c r="I222" s="204"/>
      <c r="J222" s="205">
        <f t="shared" si="44"/>
        <v>0</v>
      </c>
      <c r="K222" s="205">
        <f t="shared" si="45"/>
        <v>0</v>
      </c>
      <c r="L222" s="319">
        <f t="shared" si="46"/>
        <v>209400</v>
      </c>
      <c r="M222" s="336">
        <f t="shared" si="47"/>
        <v>240000</v>
      </c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spans="1:26" ht="14.4">
      <c r="A223" s="326"/>
      <c r="B223" s="337" t="s">
        <v>320</v>
      </c>
      <c r="C223" s="227">
        <v>2.5</v>
      </c>
      <c r="D223" s="201"/>
      <c r="E223" s="201"/>
      <c r="F223" s="202">
        <f t="shared" si="43"/>
        <v>2.5</v>
      </c>
      <c r="G223" s="203">
        <v>28800</v>
      </c>
      <c r="H223" s="203">
        <v>36000</v>
      </c>
      <c r="I223" s="204"/>
      <c r="J223" s="205">
        <f t="shared" si="44"/>
        <v>0</v>
      </c>
      <c r="K223" s="205">
        <f t="shared" si="45"/>
        <v>0</v>
      </c>
      <c r="L223" s="319">
        <f t="shared" si="46"/>
        <v>72000</v>
      </c>
      <c r="M223" s="336">
        <f t="shared" si="47"/>
        <v>90000</v>
      </c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spans="1:26" ht="14.4">
      <c r="A224" s="326"/>
      <c r="B224" s="337" t="s">
        <v>321</v>
      </c>
      <c r="C224" s="227">
        <v>1</v>
      </c>
      <c r="D224" s="201"/>
      <c r="E224" s="201"/>
      <c r="F224" s="202">
        <f t="shared" si="43"/>
        <v>1</v>
      </c>
      <c r="G224" s="203">
        <v>11600</v>
      </c>
      <c r="H224" s="203">
        <v>15500</v>
      </c>
      <c r="I224" s="204"/>
      <c r="J224" s="205">
        <f t="shared" si="44"/>
        <v>0</v>
      </c>
      <c r="K224" s="205">
        <f t="shared" si="45"/>
        <v>0</v>
      </c>
      <c r="L224" s="319">
        <f t="shared" si="46"/>
        <v>11600</v>
      </c>
      <c r="M224" s="336">
        <f t="shared" si="47"/>
        <v>15500</v>
      </c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spans="1:26" ht="14.4">
      <c r="A225" s="326"/>
      <c r="B225" s="337" t="s">
        <v>322</v>
      </c>
      <c r="C225" s="229">
        <v>3</v>
      </c>
      <c r="D225" s="201"/>
      <c r="E225" s="201"/>
      <c r="F225" s="202">
        <f t="shared" si="43"/>
        <v>3</v>
      </c>
      <c r="G225" s="203">
        <v>31900</v>
      </c>
      <c r="H225" s="203">
        <v>40000</v>
      </c>
      <c r="I225" s="204"/>
      <c r="J225" s="205">
        <f t="shared" si="44"/>
        <v>0</v>
      </c>
      <c r="K225" s="205">
        <f t="shared" si="45"/>
        <v>0</v>
      </c>
      <c r="L225" s="319">
        <f t="shared" si="46"/>
        <v>95700</v>
      </c>
      <c r="M225" s="336">
        <f t="shared" si="47"/>
        <v>120000</v>
      </c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spans="1:26" ht="14.4">
      <c r="A226" s="326"/>
      <c r="B226" s="337" t="s">
        <v>323</v>
      </c>
      <c r="C226" s="227">
        <v>2</v>
      </c>
      <c r="D226" s="201"/>
      <c r="E226" s="201"/>
      <c r="F226" s="202">
        <f t="shared" si="43"/>
        <v>2</v>
      </c>
      <c r="G226" s="203">
        <v>50000</v>
      </c>
      <c r="H226" s="203">
        <v>62500</v>
      </c>
      <c r="I226" s="204"/>
      <c r="J226" s="205">
        <f t="shared" si="44"/>
        <v>0</v>
      </c>
      <c r="K226" s="205">
        <f t="shared" si="45"/>
        <v>0</v>
      </c>
      <c r="L226" s="319">
        <f t="shared" si="46"/>
        <v>100000</v>
      </c>
      <c r="M226" s="336">
        <f t="shared" si="47"/>
        <v>125000</v>
      </c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spans="1:26" ht="14.4">
      <c r="A227" s="326"/>
      <c r="B227" s="337" t="s">
        <v>324</v>
      </c>
      <c r="C227" s="227">
        <v>15</v>
      </c>
      <c r="D227" s="201"/>
      <c r="E227" s="201"/>
      <c r="F227" s="202">
        <f t="shared" si="43"/>
        <v>15</v>
      </c>
      <c r="G227" s="203">
        <v>20100</v>
      </c>
      <c r="H227" s="203">
        <v>25000</v>
      </c>
      <c r="I227" s="204"/>
      <c r="J227" s="205">
        <f t="shared" si="44"/>
        <v>0</v>
      </c>
      <c r="K227" s="205">
        <f t="shared" si="45"/>
        <v>0</v>
      </c>
      <c r="L227" s="319">
        <f t="shared" si="46"/>
        <v>301500</v>
      </c>
      <c r="M227" s="336">
        <f t="shared" si="47"/>
        <v>375000</v>
      </c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spans="1:26" ht="14.4">
      <c r="A228" s="326"/>
      <c r="B228" s="337" t="s">
        <v>325</v>
      </c>
      <c r="C228" s="227"/>
      <c r="D228" s="201"/>
      <c r="E228" s="201"/>
      <c r="F228" s="202">
        <f t="shared" si="43"/>
        <v>0</v>
      </c>
      <c r="G228" s="203">
        <v>20100</v>
      </c>
      <c r="H228" s="203">
        <v>25000</v>
      </c>
      <c r="I228" s="204"/>
      <c r="J228" s="205">
        <f t="shared" si="44"/>
        <v>0</v>
      </c>
      <c r="K228" s="205">
        <f t="shared" si="45"/>
        <v>0</v>
      </c>
      <c r="L228" s="319">
        <f t="shared" si="46"/>
        <v>0</v>
      </c>
      <c r="M228" s="336">
        <f t="shared" si="47"/>
        <v>0</v>
      </c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spans="1:26" ht="14.4">
      <c r="A229" s="326"/>
      <c r="B229" s="337" t="s">
        <v>326</v>
      </c>
      <c r="C229" s="227"/>
      <c r="D229" s="201"/>
      <c r="E229" s="201"/>
      <c r="F229" s="202">
        <f t="shared" si="43"/>
        <v>0</v>
      </c>
      <c r="G229" s="203">
        <v>43600</v>
      </c>
      <c r="H229" s="203">
        <v>50000</v>
      </c>
      <c r="I229" s="204"/>
      <c r="J229" s="205">
        <f t="shared" si="44"/>
        <v>0</v>
      </c>
      <c r="K229" s="205">
        <f t="shared" si="45"/>
        <v>0</v>
      </c>
      <c r="L229" s="319">
        <f t="shared" si="46"/>
        <v>0</v>
      </c>
      <c r="M229" s="336">
        <f t="shared" si="47"/>
        <v>0</v>
      </c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spans="1:26" ht="14.4">
      <c r="A230" s="326"/>
      <c r="B230" s="337" t="s">
        <v>327</v>
      </c>
      <c r="C230" s="227">
        <v>2</v>
      </c>
      <c r="D230" s="201"/>
      <c r="E230" s="201"/>
      <c r="F230" s="202">
        <f t="shared" si="43"/>
        <v>2</v>
      </c>
      <c r="G230" s="203">
        <v>34000</v>
      </c>
      <c r="H230" s="203">
        <v>40000</v>
      </c>
      <c r="I230" s="204"/>
      <c r="J230" s="205">
        <f t="shared" si="44"/>
        <v>0</v>
      </c>
      <c r="K230" s="205">
        <f t="shared" si="45"/>
        <v>0</v>
      </c>
      <c r="L230" s="319">
        <f t="shared" si="46"/>
        <v>68000</v>
      </c>
      <c r="M230" s="336">
        <f t="shared" si="47"/>
        <v>80000</v>
      </c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spans="1:26" ht="14.4">
      <c r="A231" s="326"/>
      <c r="B231" s="337" t="s">
        <v>328</v>
      </c>
      <c r="C231" s="229">
        <v>4</v>
      </c>
      <c r="D231" s="201"/>
      <c r="E231" s="201"/>
      <c r="F231" s="202">
        <f t="shared" si="43"/>
        <v>4</v>
      </c>
      <c r="G231" s="203">
        <v>25000</v>
      </c>
      <c r="H231" s="203">
        <v>28000</v>
      </c>
      <c r="I231" s="204"/>
      <c r="J231" s="205">
        <f t="shared" si="44"/>
        <v>0</v>
      </c>
      <c r="K231" s="205">
        <f t="shared" si="45"/>
        <v>0</v>
      </c>
      <c r="L231" s="319">
        <f t="shared" si="46"/>
        <v>100000</v>
      </c>
      <c r="M231" s="336">
        <f t="shared" si="47"/>
        <v>112000</v>
      </c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spans="1:26" ht="14.4">
      <c r="A232" s="326"/>
      <c r="B232" s="337" t="s">
        <v>329</v>
      </c>
      <c r="C232" s="227">
        <v>6</v>
      </c>
      <c r="D232" s="201"/>
      <c r="E232" s="201"/>
      <c r="F232" s="202">
        <f t="shared" si="43"/>
        <v>6</v>
      </c>
      <c r="G232" s="203">
        <v>20100</v>
      </c>
      <c r="H232" s="203">
        <v>25000</v>
      </c>
      <c r="I232" s="204"/>
      <c r="J232" s="205">
        <f t="shared" si="44"/>
        <v>0</v>
      </c>
      <c r="K232" s="205">
        <f t="shared" si="45"/>
        <v>0</v>
      </c>
      <c r="L232" s="319">
        <f t="shared" si="46"/>
        <v>120600</v>
      </c>
      <c r="M232" s="336">
        <f t="shared" si="47"/>
        <v>150000</v>
      </c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spans="1:26" ht="14.4">
      <c r="A233" s="326"/>
      <c r="B233" s="337" t="s">
        <v>330</v>
      </c>
      <c r="C233" s="227">
        <v>2</v>
      </c>
      <c r="D233" s="201"/>
      <c r="E233" s="201"/>
      <c r="F233" s="202">
        <f t="shared" si="43"/>
        <v>2</v>
      </c>
      <c r="G233" s="203">
        <v>50000</v>
      </c>
      <c r="H233" s="203">
        <v>62500</v>
      </c>
      <c r="I233" s="204"/>
      <c r="J233" s="205">
        <f t="shared" si="44"/>
        <v>0</v>
      </c>
      <c r="K233" s="205">
        <f t="shared" si="45"/>
        <v>0</v>
      </c>
      <c r="L233" s="319">
        <f t="shared" si="46"/>
        <v>100000</v>
      </c>
      <c r="M233" s="336">
        <f t="shared" si="47"/>
        <v>125000</v>
      </c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spans="1:26" ht="14.4">
      <c r="A234" s="326"/>
      <c r="B234" s="230" t="s">
        <v>331</v>
      </c>
      <c r="C234" s="227">
        <v>10</v>
      </c>
      <c r="D234" s="201"/>
      <c r="E234" s="201"/>
      <c r="F234" s="202">
        <f t="shared" si="43"/>
        <v>10</v>
      </c>
      <c r="G234" s="203">
        <v>6000</v>
      </c>
      <c r="H234" s="203">
        <v>8000</v>
      </c>
      <c r="I234" s="204"/>
      <c r="J234" s="205">
        <f t="shared" si="44"/>
        <v>0</v>
      </c>
      <c r="K234" s="205">
        <f t="shared" si="45"/>
        <v>0</v>
      </c>
      <c r="L234" s="319">
        <f t="shared" si="46"/>
        <v>60000</v>
      </c>
      <c r="M234" s="336">
        <f t="shared" si="47"/>
        <v>80000</v>
      </c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spans="1:26" ht="14.4">
      <c r="A235" s="326"/>
      <c r="B235" s="337" t="s">
        <v>332</v>
      </c>
      <c r="C235" s="227">
        <f>3</f>
        <v>3</v>
      </c>
      <c r="D235" s="201"/>
      <c r="E235" s="201"/>
      <c r="F235" s="202">
        <f t="shared" si="43"/>
        <v>3</v>
      </c>
      <c r="G235" s="203">
        <v>36000</v>
      </c>
      <c r="H235" s="203">
        <v>45000</v>
      </c>
      <c r="I235" s="204"/>
      <c r="J235" s="205">
        <f t="shared" si="44"/>
        <v>0</v>
      </c>
      <c r="K235" s="205">
        <f t="shared" si="45"/>
        <v>0</v>
      </c>
      <c r="L235" s="319">
        <f t="shared" si="46"/>
        <v>108000</v>
      </c>
      <c r="M235" s="336">
        <f t="shared" si="47"/>
        <v>135000</v>
      </c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spans="1:26" ht="14.4">
      <c r="A236" s="326"/>
      <c r="B236" s="337" t="s">
        <v>333</v>
      </c>
      <c r="C236" s="227"/>
      <c r="D236" s="201"/>
      <c r="E236" s="201"/>
      <c r="F236" s="202">
        <f t="shared" si="43"/>
        <v>0</v>
      </c>
      <c r="G236" s="203">
        <v>28800</v>
      </c>
      <c r="H236" s="203">
        <v>36000</v>
      </c>
      <c r="I236" s="204"/>
      <c r="J236" s="205">
        <f t="shared" si="44"/>
        <v>0</v>
      </c>
      <c r="K236" s="205">
        <f t="shared" si="45"/>
        <v>0</v>
      </c>
      <c r="L236" s="319">
        <f t="shared" si="46"/>
        <v>0</v>
      </c>
      <c r="M236" s="336">
        <f t="shared" si="47"/>
        <v>0</v>
      </c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spans="1:26" ht="14.4">
      <c r="A237" s="326"/>
      <c r="B237" s="337" t="s">
        <v>334</v>
      </c>
      <c r="C237" s="227">
        <v>3</v>
      </c>
      <c r="D237" s="201"/>
      <c r="E237" s="201"/>
      <c r="F237" s="202">
        <f t="shared" si="43"/>
        <v>3</v>
      </c>
      <c r="G237" s="203">
        <v>31900</v>
      </c>
      <c r="H237" s="203">
        <v>40000</v>
      </c>
      <c r="I237" s="204"/>
      <c r="J237" s="205">
        <f t="shared" si="44"/>
        <v>0</v>
      </c>
      <c r="K237" s="205">
        <f t="shared" si="45"/>
        <v>0</v>
      </c>
      <c r="L237" s="319">
        <f t="shared" si="46"/>
        <v>95700</v>
      </c>
      <c r="M237" s="336">
        <f t="shared" si="47"/>
        <v>120000</v>
      </c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spans="1:26" ht="14.4">
      <c r="A238" s="326"/>
      <c r="B238" s="337" t="s">
        <v>335</v>
      </c>
      <c r="C238" s="227">
        <v>2</v>
      </c>
      <c r="D238" s="201"/>
      <c r="E238" s="201"/>
      <c r="F238" s="202">
        <f t="shared" si="43"/>
        <v>2</v>
      </c>
      <c r="G238" s="203">
        <v>50000</v>
      </c>
      <c r="H238" s="203">
        <v>62500</v>
      </c>
      <c r="I238" s="204"/>
      <c r="J238" s="205">
        <f t="shared" si="44"/>
        <v>0</v>
      </c>
      <c r="K238" s="205">
        <f t="shared" si="45"/>
        <v>0</v>
      </c>
      <c r="L238" s="319">
        <f t="shared" si="46"/>
        <v>100000</v>
      </c>
      <c r="M238" s="336">
        <f t="shared" si="47"/>
        <v>125000</v>
      </c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spans="1:26" ht="14.4">
      <c r="A239" s="326"/>
      <c r="B239" s="337" t="s">
        <v>336</v>
      </c>
      <c r="C239" s="227">
        <v>3</v>
      </c>
      <c r="D239" s="201"/>
      <c r="E239" s="201"/>
      <c r="F239" s="202">
        <f t="shared" si="43"/>
        <v>3</v>
      </c>
      <c r="G239" s="203">
        <v>16400</v>
      </c>
      <c r="H239" s="203">
        <v>25000</v>
      </c>
      <c r="I239" s="204"/>
      <c r="J239" s="205">
        <f t="shared" si="44"/>
        <v>0</v>
      </c>
      <c r="K239" s="205">
        <f t="shared" si="45"/>
        <v>0</v>
      </c>
      <c r="L239" s="319">
        <f t="shared" si="46"/>
        <v>49200</v>
      </c>
      <c r="M239" s="336">
        <f t="shared" si="47"/>
        <v>75000</v>
      </c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spans="1:26" ht="14.4">
      <c r="A240" s="326"/>
      <c r="B240" s="337" t="s">
        <v>337</v>
      </c>
      <c r="C240" s="227">
        <v>3</v>
      </c>
      <c r="D240" s="201"/>
      <c r="E240" s="201"/>
      <c r="F240" s="202">
        <f t="shared" si="43"/>
        <v>3</v>
      </c>
      <c r="G240" s="203">
        <v>38300</v>
      </c>
      <c r="H240" s="203">
        <v>45000</v>
      </c>
      <c r="I240" s="204"/>
      <c r="J240" s="205">
        <f t="shared" si="44"/>
        <v>0</v>
      </c>
      <c r="K240" s="205">
        <f t="shared" si="45"/>
        <v>0</v>
      </c>
      <c r="L240" s="319">
        <f t="shared" si="46"/>
        <v>114900</v>
      </c>
      <c r="M240" s="336">
        <f t="shared" si="47"/>
        <v>135000</v>
      </c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spans="1:26" ht="14.4">
      <c r="A241" s="326"/>
      <c r="B241" s="337" t="s">
        <v>338</v>
      </c>
      <c r="C241" s="227"/>
      <c r="D241" s="201"/>
      <c r="E241" s="201"/>
      <c r="F241" s="202">
        <f t="shared" si="43"/>
        <v>0</v>
      </c>
      <c r="G241" s="203">
        <v>10500</v>
      </c>
      <c r="H241" s="338">
        <v>15000</v>
      </c>
      <c r="I241" s="204"/>
      <c r="J241" s="205">
        <f t="shared" si="44"/>
        <v>0</v>
      </c>
      <c r="K241" s="205">
        <f t="shared" si="45"/>
        <v>0</v>
      </c>
      <c r="L241" s="319">
        <f t="shared" si="46"/>
        <v>0</v>
      </c>
      <c r="M241" s="336">
        <f t="shared" si="47"/>
        <v>0</v>
      </c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spans="1:26" ht="14.4">
      <c r="A242" s="326"/>
      <c r="B242" s="337" t="s">
        <v>339</v>
      </c>
      <c r="C242" s="227">
        <v>1</v>
      </c>
      <c r="D242" s="201"/>
      <c r="E242" s="201"/>
      <c r="F242" s="202">
        <f t="shared" si="43"/>
        <v>1</v>
      </c>
      <c r="G242" s="338">
        <v>14000</v>
      </c>
      <c r="H242" s="338">
        <v>20000</v>
      </c>
      <c r="I242" s="204"/>
      <c r="J242" s="205">
        <f t="shared" si="44"/>
        <v>0</v>
      </c>
      <c r="K242" s="205">
        <f t="shared" si="45"/>
        <v>0</v>
      </c>
      <c r="L242" s="319">
        <f t="shared" si="46"/>
        <v>14000</v>
      </c>
      <c r="M242" s="336">
        <f t="shared" si="47"/>
        <v>20000</v>
      </c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spans="1:26" ht="14.4">
      <c r="A243" s="326"/>
      <c r="B243" s="337" t="s">
        <v>340</v>
      </c>
      <c r="C243" s="227">
        <v>1</v>
      </c>
      <c r="D243" s="201"/>
      <c r="E243" s="201"/>
      <c r="F243" s="202">
        <f t="shared" si="43"/>
        <v>1</v>
      </c>
      <c r="G243" s="239">
        <v>34900</v>
      </c>
      <c r="H243" s="239">
        <v>37500</v>
      </c>
      <c r="I243" s="213"/>
      <c r="J243" s="205">
        <f t="shared" si="44"/>
        <v>0</v>
      </c>
      <c r="K243" s="205">
        <f t="shared" si="45"/>
        <v>0</v>
      </c>
      <c r="L243" s="319">
        <f t="shared" si="46"/>
        <v>34900</v>
      </c>
      <c r="M243" s="336">
        <f t="shared" si="47"/>
        <v>37500</v>
      </c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spans="1:26" ht="14.4">
      <c r="A244" s="339"/>
      <c r="B244" s="340"/>
      <c r="C244" s="341"/>
      <c r="D244" s="341"/>
      <c r="E244" s="342">
        <f t="shared" ref="E244:H244" si="48">SUM(E177:E243)</f>
        <v>0</v>
      </c>
      <c r="F244" s="342">
        <f t="shared" si="48"/>
        <v>647</v>
      </c>
      <c r="G244" s="343">
        <f t="shared" si="48"/>
        <v>1794900</v>
      </c>
      <c r="H244" s="343">
        <f t="shared" si="48"/>
        <v>2131200</v>
      </c>
      <c r="I244" s="344"/>
      <c r="J244" s="345">
        <f t="shared" ref="J244:K244" si="49">SUM(J177:J243)</f>
        <v>0</v>
      </c>
      <c r="K244" s="345">
        <f t="shared" si="49"/>
        <v>0</v>
      </c>
      <c r="L244" s="346">
        <f>SUM(L184:L243)</f>
        <v>18447300</v>
      </c>
      <c r="M244" s="347">
        <f>SUM(M177:M243)</f>
        <v>23935300</v>
      </c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spans="1:26" ht="14.4">
      <c r="A245" s="671" t="s">
        <v>341</v>
      </c>
      <c r="B245" s="230" t="s">
        <v>342</v>
      </c>
      <c r="C245" s="229">
        <v>5</v>
      </c>
      <c r="D245" s="201"/>
      <c r="E245" s="321"/>
      <c r="F245" s="202">
        <f t="shared" ref="F245:F324" si="50">+C245+D245-E245</f>
        <v>5</v>
      </c>
      <c r="G245" s="203">
        <v>22400</v>
      </c>
      <c r="H245" s="203">
        <v>25000</v>
      </c>
      <c r="I245" s="224"/>
      <c r="J245" s="205">
        <f t="shared" ref="J245:J299" si="51">+I245*H245</f>
        <v>0</v>
      </c>
      <c r="K245" s="205">
        <f t="shared" ref="K245:K306" si="52">+(H245-G245)*I245</f>
        <v>0</v>
      </c>
      <c r="L245" s="323">
        <f t="shared" ref="L245:L306" si="53">+G245*F245</f>
        <v>112000</v>
      </c>
      <c r="M245" s="348">
        <f t="shared" ref="M245:M306" si="54">F245*H245</f>
        <v>125000</v>
      </c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spans="1:26" ht="14.4">
      <c r="A246" s="672"/>
      <c r="B246" s="230" t="s">
        <v>343</v>
      </c>
      <c r="C246" s="227">
        <v>4</v>
      </c>
      <c r="D246" s="201"/>
      <c r="E246" s="321"/>
      <c r="F246" s="202">
        <f t="shared" si="50"/>
        <v>4</v>
      </c>
      <c r="G246" s="203">
        <v>15000</v>
      </c>
      <c r="H246" s="203">
        <v>17000</v>
      </c>
      <c r="I246" s="204"/>
      <c r="J246" s="205">
        <f t="shared" si="51"/>
        <v>0</v>
      </c>
      <c r="K246" s="205">
        <f t="shared" si="52"/>
        <v>0</v>
      </c>
      <c r="L246" s="323">
        <f t="shared" si="53"/>
        <v>60000</v>
      </c>
      <c r="M246" s="348">
        <f t="shared" si="54"/>
        <v>68000</v>
      </c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spans="1:26" ht="14.4">
      <c r="A247" s="672"/>
      <c r="B247" s="211" t="s">
        <v>344</v>
      </c>
      <c r="C247" s="227">
        <v>2</v>
      </c>
      <c r="D247" s="201"/>
      <c r="E247" s="321"/>
      <c r="F247" s="202">
        <f t="shared" si="50"/>
        <v>2</v>
      </c>
      <c r="G247" s="203">
        <v>16920</v>
      </c>
      <c r="H247" s="203">
        <v>19000</v>
      </c>
      <c r="I247" s="204"/>
      <c r="J247" s="205">
        <f t="shared" si="51"/>
        <v>0</v>
      </c>
      <c r="K247" s="205">
        <f t="shared" si="52"/>
        <v>0</v>
      </c>
      <c r="L247" s="323">
        <f t="shared" si="53"/>
        <v>33840</v>
      </c>
      <c r="M247" s="348">
        <f t="shared" si="54"/>
        <v>38000</v>
      </c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spans="1:26" ht="14.4">
      <c r="A248" s="672"/>
      <c r="B248" s="211" t="s">
        <v>345</v>
      </c>
      <c r="C248" s="229">
        <v>15</v>
      </c>
      <c r="D248" s="201"/>
      <c r="E248" s="321"/>
      <c r="F248" s="202">
        <f t="shared" si="50"/>
        <v>15</v>
      </c>
      <c r="G248" s="203">
        <v>9000</v>
      </c>
      <c r="H248" s="203">
        <v>10000</v>
      </c>
      <c r="I248" s="204"/>
      <c r="J248" s="205">
        <f t="shared" si="51"/>
        <v>0</v>
      </c>
      <c r="K248" s="205">
        <f t="shared" si="52"/>
        <v>0</v>
      </c>
      <c r="L248" s="323">
        <f t="shared" si="53"/>
        <v>135000</v>
      </c>
      <c r="M248" s="348">
        <f t="shared" si="54"/>
        <v>150000</v>
      </c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spans="1:26" ht="14.4">
      <c r="A249" s="672"/>
      <c r="B249" s="230" t="s">
        <v>346</v>
      </c>
      <c r="C249" s="229"/>
      <c r="D249" s="201"/>
      <c r="E249" s="321"/>
      <c r="F249" s="202">
        <f t="shared" si="50"/>
        <v>0</v>
      </c>
      <c r="G249" s="203">
        <v>15600</v>
      </c>
      <c r="H249" s="203">
        <v>16500</v>
      </c>
      <c r="I249" s="204"/>
      <c r="J249" s="205">
        <f t="shared" si="51"/>
        <v>0</v>
      </c>
      <c r="K249" s="205">
        <f t="shared" si="52"/>
        <v>0</v>
      </c>
      <c r="L249" s="323">
        <f t="shared" si="53"/>
        <v>0</v>
      </c>
      <c r="M249" s="348">
        <f t="shared" si="54"/>
        <v>0</v>
      </c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spans="1:26" ht="14.4">
      <c r="A250" s="672"/>
      <c r="B250" s="230" t="s">
        <v>347</v>
      </c>
      <c r="C250" s="227">
        <f>1+3</f>
        <v>4</v>
      </c>
      <c r="D250" s="201"/>
      <c r="E250" s="321"/>
      <c r="F250" s="202">
        <f t="shared" si="50"/>
        <v>4</v>
      </c>
      <c r="G250" s="203">
        <v>36000</v>
      </c>
      <c r="H250" s="203">
        <v>40600</v>
      </c>
      <c r="I250" s="204"/>
      <c r="J250" s="205">
        <f t="shared" si="51"/>
        <v>0</v>
      </c>
      <c r="K250" s="205">
        <f t="shared" si="52"/>
        <v>0</v>
      </c>
      <c r="L250" s="323">
        <f t="shared" si="53"/>
        <v>144000</v>
      </c>
      <c r="M250" s="348">
        <f t="shared" si="54"/>
        <v>162400</v>
      </c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spans="1:26" ht="14.4">
      <c r="A251" s="672"/>
      <c r="B251" s="230" t="s">
        <v>348</v>
      </c>
      <c r="C251" s="227">
        <f>1+6</f>
        <v>7</v>
      </c>
      <c r="D251" s="201"/>
      <c r="E251" s="321"/>
      <c r="F251" s="202">
        <f t="shared" si="50"/>
        <v>7</v>
      </c>
      <c r="G251" s="203">
        <v>46000</v>
      </c>
      <c r="H251" s="203">
        <v>51000</v>
      </c>
      <c r="I251" s="204"/>
      <c r="J251" s="205">
        <f t="shared" si="51"/>
        <v>0</v>
      </c>
      <c r="K251" s="205">
        <f t="shared" si="52"/>
        <v>0</v>
      </c>
      <c r="L251" s="323">
        <f t="shared" si="53"/>
        <v>322000</v>
      </c>
      <c r="M251" s="348">
        <f t="shared" si="54"/>
        <v>357000</v>
      </c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spans="1:26" ht="14.4">
      <c r="A252" s="672"/>
      <c r="B252" s="349" t="s">
        <v>349</v>
      </c>
      <c r="C252" s="229">
        <v>3</v>
      </c>
      <c r="D252" s="201"/>
      <c r="E252" s="321"/>
      <c r="F252" s="202">
        <f t="shared" si="50"/>
        <v>3</v>
      </c>
      <c r="G252" s="203">
        <v>45000</v>
      </c>
      <c r="H252" s="203">
        <v>50000</v>
      </c>
      <c r="I252" s="204"/>
      <c r="J252" s="205">
        <f t="shared" si="51"/>
        <v>0</v>
      </c>
      <c r="K252" s="205">
        <f t="shared" si="52"/>
        <v>0</v>
      </c>
      <c r="L252" s="323">
        <f t="shared" si="53"/>
        <v>135000</v>
      </c>
      <c r="M252" s="348">
        <f t="shared" si="54"/>
        <v>150000</v>
      </c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spans="1:26" ht="14.4">
      <c r="A253" s="672"/>
      <c r="B253" s="230" t="s">
        <v>350</v>
      </c>
      <c r="C253" s="229"/>
      <c r="D253" s="201"/>
      <c r="E253" s="321"/>
      <c r="F253" s="202">
        <f t="shared" si="50"/>
        <v>0</v>
      </c>
      <c r="G253" s="203">
        <v>25000</v>
      </c>
      <c r="H253" s="203">
        <v>25000</v>
      </c>
      <c r="I253" s="204"/>
      <c r="J253" s="205">
        <f t="shared" si="51"/>
        <v>0</v>
      </c>
      <c r="K253" s="205">
        <f t="shared" si="52"/>
        <v>0</v>
      </c>
      <c r="L253" s="323">
        <f t="shared" si="53"/>
        <v>0</v>
      </c>
      <c r="M253" s="348">
        <f t="shared" si="54"/>
        <v>0</v>
      </c>
      <c r="N253" s="191" t="s">
        <v>351</v>
      </c>
      <c r="O253" s="191" t="s">
        <v>124</v>
      </c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spans="1:26" ht="14.4">
      <c r="A254" s="672"/>
      <c r="B254" s="230" t="s">
        <v>352</v>
      </c>
      <c r="C254" s="227">
        <v>6</v>
      </c>
      <c r="D254" s="201"/>
      <c r="E254" s="321"/>
      <c r="F254" s="202">
        <f t="shared" si="50"/>
        <v>6</v>
      </c>
      <c r="G254" s="203">
        <v>44000</v>
      </c>
      <c r="H254" s="203">
        <v>50000</v>
      </c>
      <c r="I254" s="204"/>
      <c r="J254" s="205">
        <f t="shared" si="51"/>
        <v>0</v>
      </c>
      <c r="K254" s="205">
        <f t="shared" si="52"/>
        <v>0</v>
      </c>
      <c r="L254" s="323">
        <f t="shared" si="53"/>
        <v>264000</v>
      </c>
      <c r="M254" s="348">
        <f t="shared" si="54"/>
        <v>300000</v>
      </c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spans="1:26" ht="14.4">
      <c r="A255" s="672"/>
      <c r="B255" s="211" t="s">
        <v>353</v>
      </c>
      <c r="C255" s="229"/>
      <c r="D255" s="201"/>
      <c r="E255" s="321"/>
      <c r="F255" s="202">
        <f t="shared" si="50"/>
        <v>0</v>
      </c>
      <c r="G255" s="203">
        <v>3333</v>
      </c>
      <c r="H255" s="203">
        <v>3500</v>
      </c>
      <c r="I255" s="204"/>
      <c r="J255" s="205">
        <f t="shared" si="51"/>
        <v>0</v>
      </c>
      <c r="K255" s="205">
        <f t="shared" si="52"/>
        <v>0</v>
      </c>
      <c r="L255" s="323">
        <f t="shared" si="53"/>
        <v>0</v>
      </c>
      <c r="M255" s="348">
        <f t="shared" si="54"/>
        <v>0</v>
      </c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spans="1:26" ht="14.4">
      <c r="A256" s="672"/>
      <c r="B256" s="230" t="s">
        <v>354</v>
      </c>
      <c r="C256" s="227">
        <v>12</v>
      </c>
      <c r="D256" s="201"/>
      <c r="E256" s="321"/>
      <c r="F256" s="202">
        <f t="shared" si="50"/>
        <v>12</v>
      </c>
      <c r="G256" s="203">
        <v>6500</v>
      </c>
      <c r="H256" s="203">
        <v>7500</v>
      </c>
      <c r="I256" s="204"/>
      <c r="J256" s="205">
        <f t="shared" si="51"/>
        <v>0</v>
      </c>
      <c r="K256" s="205">
        <f t="shared" si="52"/>
        <v>0</v>
      </c>
      <c r="L256" s="323">
        <f t="shared" si="53"/>
        <v>78000</v>
      </c>
      <c r="M256" s="348">
        <f t="shared" si="54"/>
        <v>90000</v>
      </c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 spans="1:26" ht="14.4">
      <c r="A257" s="672"/>
      <c r="B257" s="230" t="s">
        <v>355</v>
      </c>
      <c r="C257" s="227">
        <v>16</v>
      </c>
      <c r="D257" s="201"/>
      <c r="E257" s="321"/>
      <c r="F257" s="202">
        <f t="shared" si="50"/>
        <v>16</v>
      </c>
      <c r="G257" s="203">
        <v>6700</v>
      </c>
      <c r="H257" s="203">
        <v>7500</v>
      </c>
      <c r="I257" s="204"/>
      <c r="J257" s="205">
        <f t="shared" si="51"/>
        <v>0</v>
      </c>
      <c r="K257" s="205">
        <f t="shared" si="52"/>
        <v>0</v>
      </c>
      <c r="L257" s="323">
        <f t="shared" si="53"/>
        <v>107200</v>
      </c>
      <c r="M257" s="348">
        <f t="shared" si="54"/>
        <v>120000</v>
      </c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 spans="1:26" ht="14.4">
      <c r="A258" s="672"/>
      <c r="B258" s="230" t="s">
        <v>356</v>
      </c>
      <c r="C258" s="227">
        <v>89</v>
      </c>
      <c r="D258" s="201"/>
      <c r="E258" s="321"/>
      <c r="F258" s="202">
        <f t="shared" si="50"/>
        <v>89</v>
      </c>
      <c r="G258" s="203">
        <v>10800</v>
      </c>
      <c r="H258" s="203">
        <v>13000</v>
      </c>
      <c r="I258" s="204"/>
      <c r="J258" s="205">
        <f t="shared" si="51"/>
        <v>0</v>
      </c>
      <c r="K258" s="205">
        <f t="shared" si="52"/>
        <v>0</v>
      </c>
      <c r="L258" s="323">
        <f t="shared" si="53"/>
        <v>961200</v>
      </c>
      <c r="M258" s="348">
        <f t="shared" si="54"/>
        <v>1157000</v>
      </c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 spans="1:26" ht="14.4">
      <c r="A259" s="672"/>
      <c r="B259" s="230" t="s">
        <v>357</v>
      </c>
      <c r="C259" s="227">
        <f>28</f>
        <v>28</v>
      </c>
      <c r="D259" s="201"/>
      <c r="E259" s="321"/>
      <c r="F259" s="202">
        <f t="shared" si="50"/>
        <v>28</v>
      </c>
      <c r="G259" s="203">
        <v>2000</v>
      </c>
      <c r="H259" s="203">
        <v>3000</v>
      </c>
      <c r="I259" s="204"/>
      <c r="J259" s="205">
        <f t="shared" si="51"/>
        <v>0</v>
      </c>
      <c r="K259" s="205">
        <f t="shared" si="52"/>
        <v>0</v>
      </c>
      <c r="L259" s="323">
        <f t="shared" si="53"/>
        <v>56000</v>
      </c>
      <c r="M259" s="348">
        <f t="shared" si="54"/>
        <v>84000</v>
      </c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 spans="1:26" ht="14.4">
      <c r="A260" s="672"/>
      <c r="B260" s="230" t="s">
        <v>358</v>
      </c>
      <c r="C260" s="227">
        <f>44+19</f>
        <v>63</v>
      </c>
      <c r="D260" s="201"/>
      <c r="E260" s="321"/>
      <c r="F260" s="202">
        <f t="shared" si="50"/>
        <v>63</v>
      </c>
      <c r="G260" s="203">
        <v>24000</v>
      </c>
      <c r="H260" s="203">
        <v>27700</v>
      </c>
      <c r="I260" s="204"/>
      <c r="J260" s="205">
        <f t="shared" si="51"/>
        <v>0</v>
      </c>
      <c r="K260" s="205">
        <f t="shared" si="52"/>
        <v>0</v>
      </c>
      <c r="L260" s="323">
        <f t="shared" si="53"/>
        <v>1512000</v>
      </c>
      <c r="M260" s="348">
        <f t="shared" si="54"/>
        <v>1745100</v>
      </c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 spans="1:26" ht="14.4">
      <c r="A261" s="672"/>
      <c r="B261" s="350" t="s">
        <v>359</v>
      </c>
      <c r="C261" s="227">
        <f>12+8</f>
        <v>20</v>
      </c>
      <c r="D261" s="201"/>
      <c r="E261" s="321"/>
      <c r="F261" s="202">
        <f t="shared" si="50"/>
        <v>20</v>
      </c>
      <c r="G261" s="351">
        <v>27000</v>
      </c>
      <c r="H261" s="351">
        <v>32000</v>
      </c>
      <c r="I261" s="204"/>
      <c r="J261" s="205">
        <f t="shared" si="51"/>
        <v>0</v>
      </c>
      <c r="K261" s="205">
        <f t="shared" si="52"/>
        <v>0</v>
      </c>
      <c r="L261" s="323">
        <f t="shared" si="53"/>
        <v>540000</v>
      </c>
      <c r="M261" s="348">
        <f t="shared" si="54"/>
        <v>640000</v>
      </c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spans="1:26" ht="14.4">
      <c r="A262" s="672"/>
      <c r="B262" s="230" t="s">
        <v>360</v>
      </c>
      <c r="C262" s="227">
        <v>9</v>
      </c>
      <c r="D262" s="201"/>
      <c r="E262" s="321"/>
      <c r="F262" s="202">
        <f t="shared" si="50"/>
        <v>9</v>
      </c>
      <c r="G262" s="203">
        <v>18000</v>
      </c>
      <c r="H262" s="203">
        <v>20000</v>
      </c>
      <c r="I262" s="204"/>
      <c r="J262" s="205">
        <f t="shared" si="51"/>
        <v>0</v>
      </c>
      <c r="K262" s="205">
        <f t="shared" si="52"/>
        <v>0</v>
      </c>
      <c r="L262" s="323">
        <f t="shared" si="53"/>
        <v>162000</v>
      </c>
      <c r="M262" s="348">
        <f t="shared" si="54"/>
        <v>180000</v>
      </c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spans="1:26" ht="14.4">
      <c r="A263" s="672"/>
      <c r="B263" s="230" t="s">
        <v>96</v>
      </c>
      <c r="C263" s="227">
        <v>29</v>
      </c>
      <c r="D263" s="201"/>
      <c r="E263" s="321"/>
      <c r="F263" s="202">
        <f t="shared" si="50"/>
        <v>29</v>
      </c>
      <c r="G263" s="203">
        <v>12000</v>
      </c>
      <c r="H263" s="203">
        <v>13500</v>
      </c>
      <c r="I263" s="204"/>
      <c r="J263" s="205">
        <f t="shared" si="51"/>
        <v>0</v>
      </c>
      <c r="K263" s="205">
        <f t="shared" si="52"/>
        <v>0</v>
      </c>
      <c r="L263" s="323">
        <f t="shared" si="53"/>
        <v>348000</v>
      </c>
      <c r="M263" s="348">
        <f t="shared" si="54"/>
        <v>391500</v>
      </c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spans="1:26" ht="14.4">
      <c r="A264" s="672"/>
      <c r="B264" s="230" t="s">
        <v>361</v>
      </c>
      <c r="C264" s="229">
        <v>58</v>
      </c>
      <c r="D264" s="201"/>
      <c r="E264" s="321"/>
      <c r="F264" s="202">
        <f t="shared" si="50"/>
        <v>58</v>
      </c>
      <c r="G264" s="203">
        <v>40000</v>
      </c>
      <c r="H264" s="203">
        <v>46000</v>
      </c>
      <c r="I264" s="204"/>
      <c r="J264" s="205">
        <f t="shared" si="51"/>
        <v>0</v>
      </c>
      <c r="K264" s="205">
        <f t="shared" si="52"/>
        <v>0</v>
      </c>
      <c r="L264" s="323">
        <f t="shared" si="53"/>
        <v>2320000</v>
      </c>
      <c r="M264" s="348">
        <f t="shared" si="54"/>
        <v>2668000</v>
      </c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spans="1:26" ht="14.4">
      <c r="A265" s="672"/>
      <c r="B265" s="230" t="s">
        <v>362</v>
      </c>
      <c r="C265" s="227">
        <v>15</v>
      </c>
      <c r="D265" s="201"/>
      <c r="E265" s="321"/>
      <c r="F265" s="202">
        <f t="shared" si="50"/>
        <v>15</v>
      </c>
      <c r="G265" s="203">
        <v>18000</v>
      </c>
      <c r="H265" s="203">
        <v>20000</v>
      </c>
      <c r="I265" s="204"/>
      <c r="J265" s="205">
        <f t="shared" si="51"/>
        <v>0</v>
      </c>
      <c r="K265" s="205">
        <f t="shared" si="52"/>
        <v>0</v>
      </c>
      <c r="L265" s="323">
        <f t="shared" si="53"/>
        <v>270000</v>
      </c>
      <c r="M265" s="348">
        <f t="shared" si="54"/>
        <v>300000</v>
      </c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spans="1:26" ht="14.4">
      <c r="A266" s="672"/>
      <c r="B266" s="230" t="s">
        <v>363</v>
      </c>
      <c r="C266" s="229">
        <v>150</v>
      </c>
      <c r="D266" s="201"/>
      <c r="E266" s="321"/>
      <c r="F266" s="202">
        <f t="shared" si="50"/>
        <v>150</v>
      </c>
      <c r="G266" s="203">
        <v>10400</v>
      </c>
      <c r="H266" s="203">
        <v>12000</v>
      </c>
      <c r="I266" s="204"/>
      <c r="J266" s="205">
        <f t="shared" si="51"/>
        <v>0</v>
      </c>
      <c r="K266" s="205">
        <f t="shared" si="52"/>
        <v>0</v>
      </c>
      <c r="L266" s="323">
        <f t="shared" si="53"/>
        <v>1560000</v>
      </c>
      <c r="M266" s="348">
        <f t="shared" si="54"/>
        <v>1800000</v>
      </c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spans="1:26" ht="14.4">
      <c r="A267" s="672"/>
      <c r="B267" s="230" t="s">
        <v>364</v>
      </c>
      <c r="C267" s="227">
        <v>14</v>
      </c>
      <c r="D267" s="201"/>
      <c r="E267" s="321"/>
      <c r="F267" s="202">
        <f t="shared" si="50"/>
        <v>14</v>
      </c>
      <c r="G267" s="203">
        <v>31400</v>
      </c>
      <c r="H267" s="203">
        <v>35000</v>
      </c>
      <c r="I267" s="204"/>
      <c r="J267" s="205">
        <f t="shared" si="51"/>
        <v>0</v>
      </c>
      <c r="K267" s="205">
        <f t="shared" si="52"/>
        <v>0</v>
      </c>
      <c r="L267" s="323">
        <f t="shared" si="53"/>
        <v>439600</v>
      </c>
      <c r="M267" s="348">
        <f t="shared" si="54"/>
        <v>490000</v>
      </c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 spans="1:26" ht="14.4">
      <c r="A268" s="672"/>
      <c r="B268" s="352" t="s">
        <v>365</v>
      </c>
      <c r="C268" s="227">
        <v>77</v>
      </c>
      <c r="D268" s="201"/>
      <c r="E268" s="321"/>
      <c r="F268" s="202">
        <f t="shared" si="50"/>
        <v>77</v>
      </c>
      <c r="G268" s="203">
        <v>32000</v>
      </c>
      <c r="H268" s="203">
        <v>37000</v>
      </c>
      <c r="I268" s="204"/>
      <c r="J268" s="205">
        <f t="shared" si="51"/>
        <v>0</v>
      </c>
      <c r="K268" s="205">
        <f t="shared" si="52"/>
        <v>0</v>
      </c>
      <c r="L268" s="323">
        <f t="shared" si="53"/>
        <v>2464000</v>
      </c>
      <c r="M268" s="348">
        <f t="shared" si="54"/>
        <v>2849000</v>
      </c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 spans="1:26" ht="14.4">
      <c r="A269" s="672"/>
      <c r="B269" s="230" t="s">
        <v>366</v>
      </c>
      <c r="C269" s="229">
        <v>2</v>
      </c>
      <c r="D269" s="201"/>
      <c r="E269" s="321"/>
      <c r="F269" s="202">
        <f t="shared" si="50"/>
        <v>2</v>
      </c>
      <c r="G269" s="203">
        <v>40000</v>
      </c>
      <c r="H269" s="203">
        <v>45000</v>
      </c>
      <c r="I269" s="204"/>
      <c r="J269" s="205">
        <f t="shared" si="51"/>
        <v>0</v>
      </c>
      <c r="K269" s="205">
        <f t="shared" si="52"/>
        <v>0</v>
      </c>
      <c r="L269" s="323">
        <f t="shared" si="53"/>
        <v>80000</v>
      </c>
      <c r="M269" s="348">
        <f t="shared" si="54"/>
        <v>90000</v>
      </c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 spans="1:26" ht="14.4">
      <c r="A270" s="672"/>
      <c r="B270" s="230" t="s">
        <v>367</v>
      </c>
      <c r="C270" s="227">
        <v>9</v>
      </c>
      <c r="D270" s="201"/>
      <c r="E270" s="321"/>
      <c r="F270" s="202">
        <f t="shared" si="50"/>
        <v>9</v>
      </c>
      <c r="G270" s="203">
        <v>11000</v>
      </c>
      <c r="H270" s="203">
        <v>12000</v>
      </c>
      <c r="I270" s="204"/>
      <c r="J270" s="205">
        <f t="shared" si="51"/>
        <v>0</v>
      </c>
      <c r="K270" s="205">
        <f t="shared" si="52"/>
        <v>0</v>
      </c>
      <c r="L270" s="323">
        <f t="shared" si="53"/>
        <v>99000</v>
      </c>
      <c r="M270" s="348">
        <f t="shared" si="54"/>
        <v>108000</v>
      </c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 spans="1:26" ht="14.4">
      <c r="A271" s="672"/>
      <c r="B271" s="211" t="s">
        <v>368</v>
      </c>
      <c r="C271" s="229">
        <v>2</v>
      </c>
      <c r="D271" s="201"/>
      <c r="E271" s="321"/>
      <c r="F271" s="202">
        <f t="shared" si="50"/>
        <v>2</v>
      </c>
      <c r="G271" s="203">
        <v>15600</v>
      </c>
      <c r="H271" s="203">
        <v>17600</v>
      </c>
      <c r="I271" s="204"/>
      <c r="J271" s="205">
        <f t="shared" si="51"/>
        <v>0</v>
      </c>
      <c r="K271" s="205">
        <f t="shared" si="52"/>
        <v>0</v>
      </c>
      <c r="L271" s="323">
        <f t="shared" si="53"/>
        <v>31200</v>
      </c>
      <c r="M271" s="348">
        <f t="shared" si="54"/>
        <v>35200</v>
      </c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 spans="1:26" ht="14.4">
      <c r="A272" s="672"/>
      <c r="B272" s="211" t="s">
        <v>369</v>
      </c>
      <c r="C272" s="229">
        <v>4</v>
      </c>
      <c r="D272" s="201"/>
      <c r="E272" s="321"/>
      <c r="F272" s="202">
        <f t="shared" si="50"/>
        <v>4</v>
      </c>
      <c r="G272" s="203">
        <v>20700</v>
      </c>
      <c r="H272" s="203">
        <v>21700</v>
      </c>
      <c r="I272" s="204"/>
      <c r="J272" s="205">
        <f t="shared" si="51"/>
        <v>0</v>
      </c>
      <c r="K272" s="205">
        <f t="shared" si="52"/>
        <v>0</v>
      </c>
      <c r="L272" s="323">
        <f t="shared" si="53"/>
        <v>82800</v>
      </c>
      <c r="M272" s="348">
        <f t="shared" si="54"/>
        <v>86800</v>
      </c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 spans="1:26" ht="14.4">
      <c r="A273" s="672"/>
      <c r="B273" s="230" t="s">
        <v>370</v>
      </c>
      <c r="C273" s="227">
        <v>2</v>
      </c>
      <c r="D273" s="201"/>
      <c r="E273" s="321"/>
      <c r="F273" s="202">
        <f t="shared" si="50"/>
        <v>2</v>
      </c>
      <c r="G273" s="203">
        <v>36000</v>
      </c>
      <c r="H273" s="203">
        <v>40000</v>
      </c>
      <c r="I273" s="204"/>
      <c r="J273" s="205">
        <f t="shared" si="51"/>
        <v>0</v>
      </c>
      <c r="K273" s="205">
        <f t="shared" si="52"/>
        <v>0</v>
      </c>
      <c r="L273" s="323">
        <f t="shared" si="53"/>
        <v>72000</v>
      </c>
      <c r="M273" s="348">
        <f t="shared" si="54"/>
        <v>80000</v>
      </c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 spans="1:26" ht="14.4">
      <c r="A274" s="672"/>
      <c r="B274" s="230" t="s">
        <v>371</v>
      </c>
      <c r="C274" s="227">
        <v>6</v>
      </c>
      <c r="D274" s="201"/>
      <c r="E274" s="321"/>
      <c r="F274" s="202">
        <f t="shared" si="50"/>
        <v>6</v>
      </c>
      <c r="G274" s="203">
        <v>22000</v>
      </c>
      <c r="H274" s="203">
        <v>24000</v>
      </c>
      <c r="I274" s="204"/>
      <c r="J274" s="205">
        <f t="shared" si="51"/>
        <v>0</v>
      </c>
      <c r="K274" s="205">
        <f t="shared" si="52"/>
        <v>0</v>
      </c>
      <c r="L274" s="323">
        <f t="shared" si="53"/>
        <v>132000</v>
      </c>
      <c r="M274" s="348">
        <f t="shared" si="54"/>
        <v>144000</v>
      </c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 spans="1:26" ht="14.4">
      <c r="A275" s="672"/>
      <c r="B275" s="230" t="s">
        <v>372</v>
      </c>
      <c r="C275" s="227">
        <v>0.5</v>
      </c>
      <c r="D275" s="201"/>
      <c r="E275" s="321"/>
      <c r="F275" s="202">
        <f t="shared" si="50"/>
        <v>0.5</v>
      </c>
      <c r="G275" s="203">
        <v>34100</v>
      </c>
      <c r="H275" s="203">
        <v>37000</v>
      </c>
      <c r="I275" s="204"/>
      <c r="J275" s="205">
        <f t="shared" si="51"/>
        <v>0</v>
      </c>
      <c r="K275" s="205">
        <f t="shared" si="52"/>
        <v>0</v>
      </c>
      <c r="L275" s="323">
        <f t="shared" si="53"/>
        <v>17050</v>
      </c>
      <c r="M275" s="348">
        <f t="shared" si="54"/>
        <v>18500</v>
      </c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1:26" ht="14.4">
      <c r="A276" s="672"/>
      <c r="B276" s="230" t="s">
        <v>88</v>
      </c>
      <c r="C276" s="229">
        <v>16</v>
      </c>
      <c r="D276" s="201"/>
      <c r="E276" s="321"/>
      <c r="F276" s="202">
        <f t="shared" si="50"/>
        <v>16</v>
      </c>
      <c r="G276" s="203">
        <v>16000</v>
      </c>
      <c r="H276" s="203">
        <v>20000</v>
      </c>
      <c r="I276" s="204"/>
      <c r="J276" s="205">
        <f t="shared" si="51"/>
        <v>0</v>
      </c>
      <c r="K276" s="205">
        <f t="shared" si="52"/>
        <v>0</v>
      </c>
      <c r="L276" s="323">
        <f t="shared" si="53"/>
        <v>256000</v>
      </c>
      <c r="M276" s="348">
        <f t="shared" si="54"/>
        <v>320000</v>
      </c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1:26" ht="14.4">
      <c r="A277" s="672"/>
      <c r="B277" s="230" t="s">
        <v>86</v>
      </c>
      <c r="C277" s="227">
        <v>12</v>
      </c>
      <c r="D277" s="201"/>
      <c r="E277" s="321"/>
      <c r="F277" s="202">
        <f t="shared" si="50"/>
        <v>12</v>
      </c>
      <c r="G277" s="203">
        <v>51818</v>
      </c>
      <c r="H277" s="203">
        <v>57000</v>
      </c>
      <c r="I277" s="204"/>
      <c r="J277" s="205">
        <f t="shared" si="51"/>
        <v>0</v>
      </c>
      <c r="K277" s="205">
        <f t="shared" si="52"/>
        <v>0</v>
      </c>
      <c r="L277" s="323">
        <f t="shared" si="53"/>
        <v>621816</v>
      </c>
      <c r="M277" s="348">
        <f t="shared" si="54"/>
        <v>684000</v>
      </c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1:26" ht="14.4">
      <c r="A278" s="672"/>
      <c r="B278" s="230" t="s">
        <v>87</v>
      </c>
      <c r="C278" s="227">
        <v>53.5</v>
      </c>
      <c r="D278" s="201"/>
      <c r="E278" s="321"/>
      <c r="F278" s="202">
        <f t="shared" si="50"/>
        <v>53.5</v>
      </c>
      <c r="G278" s="203">
        <v>22000</v>
      </c>
      <c r="H278" s="203">
        <v>28000</v>
      </c>
      <c r="I278" s="204"/>
      <c r="J278" s="205">
        <f t="shared" si="51"/>
        <v>0</v>
      </c>
      <c r="K278" s="205">
        <f t="shared" si="52"/>
        <v>0</v>
      </c>
      <c r="L278" s="323">
        <f t="shared" si="53"/>
        <v>1177000</v>
      </c>
      <c r="M278" s="348">
        <f t="shared" si="54"/>
        <v>1498000</v>
      </c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1:26" ht="14.4">
      <c r="A279" s="672"/>
      <c r="B279" s="230" t="s">
        <v>373</v>
      </c>
      <c r="C279" s="227">
        <v>35</v>
      </c>
      <c r="D279" s="201"/>
      <c r="E279" s="321"/>
      <c r="F279" s="202">
        <f t="shared" si="50"/>
        <v>35</v>
      </c>
      <c r="G279" s="203">
        <v>3716</v>
      </c>
      <c r="H279" s="203">
        <v>4000</v>
      </c>
      <c r="I279" s="204"/>
      <c r="J279" s="205">
        <f t="shared" si="51"/>
        <v>0</v>
      </c>
      <c r="K279" s="205">
        <f t="shared" si="52"/>
        <v>0</v>
      </c>
      <c r="L279" s="323">
        <f t="shared" si="53"/>
        <v>130060</v>
      </c>
      <c r="M279" s="348">
        <f t="shared" si="54"/>
        <v>140000</v>
      </c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1:26" ht="14.4">
      <c r="A280" s="672"/>
      <c r="B280" s="230" t="s">
        <v>374</v>
      </c>
      <c r="C280" s="227">
        <v>50</v>
      </c>
      <c r="D280" s="201"/>
      <c r="E280" s="321"/>
      <c r="F280" s="202">
        <f t="shared" si="50"/>
        <v>50</v>
      </c>
      <c r="G280" s="203">
        <v>22000</v>
      </c>
      <c r="H280" s="203">
        <v>28000</v>
      </c>
      <c r="I280" s="204"/>
      <c r="J280" s="205">
        <f t="shared" si="51"/>
        <v>0</v>
      </c>
      <c r="K280" s="205">
        <f t="shared" si="52"/>
        <v>0</v>
      </c>
      <c r="L280" s="323">
        <f t="shared" si="53"/>
        <v>1100000</v>
      </c>
      <c r="M280" s="348">
        <f t="shared" si="54"/>
        <v>1400000</v>
      </c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 spans="1:26" ht="14.4">
      <c r="A281" s="672"/>
      <c r="B281" s="230" t="s">
        <v>375</v>
      </c>
      <c r="C281" s="227">
        <v>5.5</v>
      </c>
      <c r="D281" s="201"/>
      <c r="E281" s="321"/>
      <c r="F281" s="202">
        <f t="shared" si="50"/>
        <v>5.5</v>
      </c>
      <c r="G281" s="203">
        <v>28000</v>
      </c>
      <c r="H281" s="203">
        <v>30000</v>
      </c>
      <c r="I281" s="204"/>
      <c r="J281" s="205">
        <f t="shared" si="51"/>
        <v>0</v>
      </c>
      <c r="K281" s="205">
        <f t="shared" si="52"/>
        <v>0</v>
      </c>
      <c r="L281" s="323">
        <f t="shared" si="53"/>
        <v>154000</v>
      </c>
      <c r="M281" s="348">
        <f t="shared" si="54"/>
        <v>165000</v>
      </c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 spans="1:26" ht="14.4">
      <c r="A282" s="672"/>
      <c r="B282" s="230" t="s">
        <v>376</v>
      </c>
      <c r="C282" s="227">
        <v>5</v>
      </c>
      <c r="D282" s="201"/>
      <c r="E282" s="321"/>
      <c r="F282" s="202">
        <f t="shared" si="50"/>
        <v>5</v>
      </c>
      <c r="G282" s="203">
        <v>22000</v>
      </c>
      <c r="H282" s="203">
        <v>25000</v>
      </c>
      <c r="I282" s="204"/>
      <c r="J282" s="205">
        <f t="shared" si="51"/>
        <v>0</v>
      </c>
      <c r="K282" s="205">
        <f t="shared" si="52"/>
        <v>0</v>
      </c>
      <c r="L282" s="323">
        <f t="shared" si="53"/>
        <v>110000</v>
      </c>
      <c r="M282" s="348">
        <f t="shared" si="54"/>
        <v>125000</v>
      </c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 spans="1:26" ht="14.4">
      <c r="A283" s="672"/>
      <c r="B283" s="211" t="s">
        <v>277</v>
      </c>
      <c r="C283" s="227"/>
      <c r="D283" s="201"/>
      <c r="E283" s="321"/>
      <c r="F283" s="202">
        <f t="shared" si="50"/>
        <v>0</v>
      </c>
      <c r="G283" s="203">
        <v>2500</v>
      </c>
      <c r="H283" s="203">
        <v>3000</v>
      </c>
      <c r="I283" s="204"/>
      <c r="J283" s="205">
        <f t="shared" si="51"/>
        <v>0</v>
      </c>
      <c r="K283" s="205">
        <f t="shared" si="52"/>
        <v>0</v>
      </c>
      <c r="L283" s="323">
        <f t="shared" si="53"/>
        <v>0</v>
      </c>
      <c r="M283" s="348">
        <f t="shared" si="54"/>
        <v>0</v>
      </c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 spans="1:26" ht="14.4">
      <c r="A284" s="672"/>
      <c r="B284" s="230" t="s">
        <v>377</v>
      </c>
      <c r="C284" s="227">
        <f>27</f>
        <v>27</v>
      </c>
      <c r="D284" s="201"/>
      <c r="E284" s="321"/>
      <c r="F284" s="202">
        <f t="shared" si="50"/>
        <v>27</v>
      </c>
      <c r="G284" s="203">
        <v>22500</v>
      </c>
      <c r="H284" s="203">
        <v>25000</v>
      </c>
      <c r="I284" s="204"/>
      <c r="J284" s="205">
        <f t="shared" si="51"/>
        <v>0</v>
      </c>
      <c r="K284" s="205">
        <f t="shared" si="52"/>
        <v>0</v>
      </c>
      <c r="L284" s="323">
        <f t="shared" si="53"/>
        <v>607500</v>
      </c>
      <c r="M284" s="348">
        <f t="shared" si="54"/>
        <v>675000</v>
      </c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 spans="1:26" ht="14.4">
      <c r="A285" s="672"/>
      <c r="B285" s="230" t="s">
        <v>378</v>
      </c>
      <c r="C285" s="227">
        <v>11</v>
      </c>
      <c r="D285" s="201"/>
      <c r="E285" s="321"/>
      <c r="F285" s="202">
        <f t="shared" si="50"/>
        <v>11</v>
      </c>
      <c r="G285" s="203">
        <v>13500</v>
      </c>
      <c r="H285" s="203">
        <v>15000</v>
      </c>
      <c r="I285" s="204"/>
      <c r="J285" s="205">
        <f t="shared" si="51"/>
        <v>0</v>
      </c>
      <c r="K285" s="205">
        <f t="shared" si="52"/>
        <v>0</v>
      </c>
      <c r="L285" s="323">
        <f t="shared" si="53"/>
        <v>148500</v>
      </c>
      <c r="M285" s="348">
        <f t="shared" si="54"/>
        <v>165000</v>
      </c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 spans="1:26" ht="14.4">
      <c r="A286" s="672"/>
      <c r="B286" s="230" t="s">
        <v>83</v>
      </c>
      <c r="C286" s="227">
        <f>12</f>
        <v>12</v>
      </c>
      <c r="D286" s="201"/>
      <c r="E286" s="321"/>
      <c r="F286" s="202">
        <f t="shared" si="50"/>
        <v>12</v>
      </c>
      <c r="G286" s="203">
        <v>46000</v>
      </c>
      <c r="H286" s="203">
        <v>52000</v>
      </c>
      <c r="I286" s="204"/>
      <c r="J286" s="205">
        <f t="shared" si="51"/>
        <v>0</v>
      </c>
      <c r="K286" s="205">
        <f t="shared" si="52"/>
        <v>0</v>
      </c>
      <c r="L286" s="323">
        <f t="shared" si="53"/>
        <v>552000</v>
      </c>
      <c r="M286" s="348">
        <f t="shared" si="54"/>
        <v>624000</v>
      </c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 spans="1:26" ht="14.4">
      <c r="A287" s="672"/>
      <c r="B287" s="230" t="s">
        <v>379</v>
      </c>
      <c r="C287" s="227">
        <v>40</v>
      </c>
      <c r="D287" s="201"/>
      <c r="E287" s="321"/>
      <c r="F287" s="202">
        <f t="shared" si="50"/>
        <v>40</v>
      </c>
      <c r="G287" s="203">
        <v>28500</v>
      </c>
      <c r="H287" s="203">
        <v>31000</v>
      </c>
      <c r="I287" s="204"/>
      <c r="J287" s="205">
        <f t="shared" si="51"/>
        <v>0</v>
      </c>
      <c r="K287" s="205">
        <f t="shared" si="52"/>
        <v>0</v>
      </c>
      <c r="L287" s="323">
        <f t="shared" si="53"/>
        <v>1140000</v>
      </c>
      <c r="M287" s="348">
        <f t="shared" si="54"/>
        <v>1240000</v>
      </c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 spans="1:26" ht="14.4">
      <c r="A288" s="672"/>
      <c r="B288" s="230" t="s">
        <v>380</v>
      </c>
      <c r="C288" s="227"/>
      <c r="D288" s="201"/>
      <c r="E288" s="321"/>
      <c r="F288" s="202">
        <f t="shared" si="50"/>
        <v>0</v>
      </c>
      <c r="G288" s="203">
        <v>28500</v>
      </c>
      <c r="H288" s="203">
        <v>31000</v>
      </c>
      <c r="I288" s="204"/>
      <c r="J288" s="205">
        <f t="shared" si="51"/>
        <v>0</v>
      </c>
      <c r="K288" s="205">
        <f t="shared" si="52"/>
        <v>0</v>
      </c>
      <c r="L288" s="323">
        <f t="shared" si="53"/>
        <v>0</v>
      </c>
      <c r="M288" s="348">
        <f t="shared" si="54"/>
        <v>0</v>
      </c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 spans="1:26" ht="14.4">
      <c r="A289" s="672"/>
      <c r="B289" s="230" t="s">
        <v>381</v>
      </c>
      <c r="C289" s="227">
        <v>9</v>
      </c>
      <c r="D289" s="201"/>
      <c r="E289" s="321"/>
      <c r="F289" s="202">
        <f t="shared" si="50"/>
        <v>9</v>
      </c>
      <c r="G289" s="239">
        <v>37500</v>
      </c>
      <c r="H289" s="239">
        <v>45000</v>
      </c>
      <c r="I289" s="213"/>
      <c r="J289" s="205">
        <f t="shared" si="51"/>
        <v>0</v>
      </c>
      <c r="K289" s="205">
        <f t="shared" si="52"/>
        <v>0</v>
      </c>
      <c r="L289" s="323">
        <f t="shared" si="53"/>
        <v>337500</v>
      </c>
      <c r="M289" s="348">
        <f t="shared" si="54"/>
        <v>405000</v>
      </c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 spans="1:26" ht="14.4">
      <c r="A290" s="672"/>
      <c r="B290" s="353" t="s">
        <v>382</v>
      </c>
      <c r="C290" s="227">
        <f>5.5</f>
        <v>5.5</v>
      </c>
      <c r="D290" s="201"/>
      <c r="E290" s="321"/>
      <c r="F290" s="202">
        <f t="shared" si="50"/>
        <v>5.5</v>
      </c>
      <c r="G290" s="354">
        <v>26000</v>
      </c>
      <c r="H290" s="354">
        <v>30000</v>
      </c>
      <c r="I290" s="355"/>
      <c r="J290" s="356">
        <f t="shared" si="51"/>
        <v>0</v>
      </c>
      <c r="K290" s="356">
        <f t="shared" si="52"/>
        <v>0</v>
      </c>
      <c r="L290" s="357">
        <f t="shared" si="53"/>
        <v>143000</v>
      </c>
      <c r="M290" s="348">
        <f t="shared" si="54"/>
        <v>165000</v>
      </c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 spans="1:26" ht="14.4">
      <c r="A291" s="672"/>
      <c r="B291" s="230" t="s">
        <v>383</v>
      </c>
      <c r="C291" s="227">
        <v>41</v>
      </c>
      <c r="D291" s="201"/>
      <c r="E291" s="321"/>
      <c r="F291" s="202">
        <f t="shared" si="50"/>
        <v>41</v>
      </c>
      <c r="G291" s="203">
        <v>32000</v>
      </c>
      <c r="H291" s="203">
        <v>36000</v>
      </c>
      <c r="I291" s="204"/>
      <c r="J291" s="205">
        <f t="shared" si="51"/>
        <v>0</v>
      </c>
      <c r="K291" s="205">
        <f t="shared" si="52"/>
        <v>0</v>
      </c>
      <c r="L291" s="323">
        <f t="shared" si="53"/>
        <v>1312000</v>
      </c>
      <c r="M291" s="348">
        <f t="shared" si="54"/>
        <v>1476000</v>
      </c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 spans="1:26" ht="14.4">
      <c r="A292" s="672"/>
      <c r="B292" s="230" t="s">
        <v>384</v>
      </c>
      <c r="C292" s="227">
        <v>32.5</v>
      </c>
      <c r="D292" s="201"/>
      <c r="E292" s="321"/>
      <c r="F292" s="202">
        <f t="shared" si="50"/>
        <v>32.5</v>
      </c>
      <c r="G292" s="203">
        <v>32000</v>
      </c>
      <c r="H292" s="203">
        <v>36000</v>
      </c>
      <c r="I292" s="204"/>
      <c r="J292" s="205">
        <f t="shared" si="51"/>
        <v>0</v>
      </c>
      <c r="K292" s="205">
        <f t="shared" si="52"/>
        <v>0</v>
      </c>
      <c r="L292" s="323">
        <f t="shared" si="53"/>
        <v>1040000</v>
      </c>
      <c r="M292" s="348">
        <f t="shared" si="54"/>
        <v>1170000</v>
      </c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 spans="1:26" ht="14.4">
      <c r="A293" s="672"/>
      <c r="B293" s="358" t="s">
        <v>385</v>
      </c>
      <c r="C293" s="227">
        <v>20</v>
      </c>
      <c r="D293" s="201"/>
      <c r="E293" s="321"/>
      <c r="F293" s="202">
        <f t="shared" si="50"/>
        <v>20</v>
      </c>
      <c r="G293" s="203">
        <v>9000</v>
      </c>
      <c r="H293" s="203">
        <v>10000</v>
      </c>
      <c r="I293" s="204"/>
      <c r="J293" s="205">
        <f t="shared" si="51"/>
        <v>0</v>
      </c>
      <c r="K293" s="205">
        <f t="shared" si="52"/>
        <v>0</v>
      </c>
      <c r="L293" s="323">
        <f t="shared" si="53"/>
        <v>180000</v>
      </c>
      <c r="M293" s="348">
        <f t="shared" si="54"/>
        <v>200000</v>
      </c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 spans="1:26" ht="14.4">
      <c r="A294" s="672"/>
      <c r="B294" s="230" t="s">
        <v>386</v>
      </c>
      <c r="C294" s="227">
        <v>22</v>
      </c>
      <c r="D294" s="201"/>
      <c r="E294" s="321"/>
      <c r="F294" s="202">
        <f t="shared" si="50"/>
        <v>22</v>
      </c>
      <c r="G294" s="203">
        <v>33000</v>
      </c>
      <c r="H294" s="203">
        <v>36000</v>
      </c>
      <c r="I294" s="204"/>
      <c r="J294" s="205">
        <f t="shared" si="51"/>
        <v>0</v>
      </c>
      <c r="K294" s="205">
        <f t="shared" si="52"/>
        <v>0</v>
      </c>
      <c r="L294" s="323">
        <f t="shared" si="53"/>
        <v>726000</v>
      </c>
      <c r="M294" s="348">
        <f t="shared" si="54"/>
        <v>792000</v>
      </c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 spans="1:26" ht="14.4">
      <c r="A295" s="672"/>
      <c r="B295" s="230" t="s">
        <v>387</v>
      </c>
      <c r="C295" s="229">
        <v>6</v>
      </c>
      <c r="D295" s="201"/>
      <c r="E295" s="321"/>
      <c r="F295" s="202">
        <f t="shared" si="50"/>
        <v>6</v>
      </c>
      <c r="G295" s="203">
        <v>21500</v>
      </c>
      <c r="H295" s="203">
        <v>28000</v>
      </c>
      <c r="I295" s="204"/>
      <c r="J295" s="205">
        <f t="shared" si="51"/>
        <v>0</v>
      </c>
      <c r="K295" s="205">
        <f t="shared" si="52"/>
        <v>0</v>
      </c>
      <c r="L295" s="323">
        <f t="shared" si="53"/>
        <v>129000</v>
      </c>
      <c r="M295" s="348">
        <f t="shared" si="54"/>
        <v>168000</v>
      </c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 spans="1:26" ht="14.4">
      <c r="A296" s="672"/>
      <c r="B296" s="230" t="s">
        <v>388</v>
      </c>
      <c r="C296" s="229"/>
      <c r="D296" s="201"/>
      <c r="E296" s="321"/>
      <c r="F296" s="202">
        <f t="shared" si="50"/>
        <v>0</v>
      </c>
      <c r="G296" s="203">
        <v>5300</v>
      </c>
      <c r="H296" s="203">
        <v>7000</v>
      </c>
      <c r="I296" s="204"/>
      <c r="J296" s="205">
        <f t="shared" si="51"/>
        <v>0</v>
      </c>
      <c r="K296" s="205">
        <f t="shared" si="52"/>
        <v>0</v>
      </c>
      <c r="L296" s="323">
        <f t="shared" si="53"/>
        <v>0</v>
      </c>
      <c r="M296" s="348">
        <f t="shared" si="54"/>
        <v>0</v>
      </c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 spans="1:26" ht="14.4">
      <c r="A297" s="672"/>
      <c r="B297" s="359" t="s">
        <v>389</v>
      </c>
      <c r="C297" s="227">
        <v>11</v>
      </c>
      <c r="D297" s="201"/>
      <c r="E297" s="321"/>
      <c r="F297" s="202">
        <f t="shared" si="50"/>
        <v>11</v>
      </c>
      <c r="G297" s="360">
        <v>13500</v>
      </c>
      <c r="H297" s="360">
        <v>15000</v>
      </c>
      <c r="I297" s="361"/>
      <c r="J297" s="362">
        <f t="shared" si="51"/>
        <v>0</v>
      </c>
      <c r="K297" s="362">
        <f t="shared" si="52"/>
        <v>0</v>
      </c>
      <c r="L297" s="363">
        <f t="shared" si="53"/>
        <v>148500</v>
      </c>
      <c r="M297" s="348">
        <f t="shared" si="54"/>
        <v>165000</v>
      </c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 spans="1:26" ht="14.4">
      <c r="A298" s="672"/>
      <c r="B298" s="230" t="s">
        <v>390</v>
      </c>
      <c r="C298" s="227">
        <v>4</v>
      </c>
      <c r="D298" s="201"/>
      <c r="E298" s="321"/>
      <c r="F298" s="202">
        <f t="shared" si="50"/>
        <v>4</v>
      </c>
      <c r="G298" s="203">
        <v>26000</v>
      </c>
      <c r="H298" s="203">
        <v>30000</v>
      </c>
      <c r="I298" s="204"/>
      <c r="J298" s="205">
        <f t="shared" si="51"/>
        <v>0</v>
      </c>
      <c r="K298" s="205">
        <f t="shared" si="52"/>
        <v>0</v>
      </c>
      <c r="L298" s="323">
        <f t="shared" si="53"/>
        <v>104000</v>
      </c>
      <c r="M298" s="348">
        <f t="shared" si="54"/>
        <v>120000</v>
      </c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 spans="1:26" ht="14.4">
      <c r="A299" s="672"/>
      <c r="B299" s="230" t="s">
        <v>391</v>
      </c>
      <c r="C299" s="229">
        <v>3</v>
      </c>
      <c r="D299" s="201"/>
      <c r="E299" s="321"/>
      <c r="F299" s="202">
        <f t="shared" si="50"/>
        <v>3</v>
      </c>
      <c r="G299" s="203">
        <v>32000</v>
      </c>
      <c r="H299" s="203">
        <v>35000</v>
      </c>
      <c r="I299" s="204"/>
      <c r="J299" s="205">
        <f t="shared" si="51"/>
        <v>0</v>
      </c>
      <c r="K299" s="205">
        <f t="shared" si="52"/>
        <v>0</v>
      </c>
      <c r="L299" s="323">
        <f t="shared" si="53"/>
        <v>96000</v>
      </c>
      <c r="M299" s="348">
        <f t="shared" si="54"/>
        <v>105000</v>
      </c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 spans="1:26" ht="14.4">
      <c r="A300" s="672"/>
      <c r="B300" s="211" t="s">
        <v>392</v>
      </c>
      <c r="C300" s="229">
        <v>4</v>
      </c>
      <c r="D300" s="201"/>
      <c r="E300" s="321"/>
      <c r="F300" s="202">
        <f t="shared" si="50"/>
        <v>4</v>
      </c>
      <c r="G300" s="203">
        <v>22000</v>
      </c>
      <c r="H300" s="203">
        <v>25000</v>
      </c>
      <c r="I300" s="204"/>
      <c r="J300" s="205">
        <f>+I300*F115</f>
        <v>0</v>
      </c>
      <c r="K300" s="205">
        <f t="shared" si="52"/>
        <v>0</v>
      </c>
      <c r="L300" s="323">
        <f t="shared" si="53"/>
        <v>88000</v>
      </c>
      <c r="M300" s="348">
        <f t="shared" si="54"/>
        <v>100000</v>
      </c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 spans="1:26" ht="14.4">
      <c r="A301" s="672"/>
      <c r="B301" s="230" t="s">
        <v>393</v>
      </c>
      <c r="C301" s="227"/>
      <c r="D301" s="201"/>
      <c r="E301" s="321"/>
      <c r="F301" s="202">
        <f t="shared" si="50"/>
        <v>0</v>
      </c>
      <c r="G301" s="203">
        <v>22000</v>
      </c>
      <c r="H301" s="203">
        <v>25000</v>
      </c>
      <c r="I301" s="204"/>
      <c r="J301" s="205">
        <f t="shared" ref="J301:J306" si="55">+I301*H301</f>
        <v>0</v>
      </c>
      <c r="K301" s="205">
        <f t="shared" si="52"/>
        <v>0</v>
      </c>
      <c r="L301" s="323">
        <f t="shared" si="53"/>
        <v>0</v>
      </c>
      <c r="M301" s="348">
        <f t="shared" si="54"/>
        <v>0</v>
      </c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 spans="1:26" ht="14.4">
      <c r="A302" s="672"/>
      <c r="B302" s="230" t="s">
        <v>394</v>
      </c>
      <c r="C302" s="227">
        <v>3</v>
      </c>
      <c r="D302" s="201"/>
      <c r="E302" s="321"/>
      <c r="F302" s="202">
        <f t="shared" si="50"/>
        <v>3</v>
      </c>
      <c r="G302" s="203">
        <v>13500</v>
      </c>
      <c r="H302" s="203">
        <v>15000</v>
      </c>
      <c r="I302" s="204"/>
      <c r="J302" s="205">
        <f t="shared" si="55"/>
        <v>0</v>
      </c>
      <c r="K302" s="205">
        <f t="shared" si="52"/>
        <v>0</v>
      </c>
      <c r="L302" s="323">
        <f t="shared" si="53"/>
        <v>40500</v>
      </c>
      <c r="M302" s="348">
        <f t="shared" si="54"/>
        <v>45000</v>
      </c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 spans="1:26" ht="14.4">
      <c r="A303" s="672"/>
      <c r="B303" s="230" t="s">
        <v>395</v>
      </c>
      <c r="C303" s="227">
        <v>13</v>
      </c>
      <c r="D303" s="201"/>
      <c r="E303" s="321"/>
      <c r="F303" s="202">
        <f t="shared" si="50"/>
        <v>13</v>
      </c>
      <c r="G303" s="203">
        <v>31300</v>
      </c>
      <c r="H303" s="203">
        <v>35000</v>
      </c>
      <c r="I303" s="204"/>
      <c r="J303" s="205">
        <f t="shared" si="55"/>
        <v>0</v>
      </c>
      <c r="K303" s="205">
        <f t="shared" si="52"/>
        <v>0</v>
      </c>
      <c r="L303" s="323">
        <f t="shared" si="53"/>
        <v>406900</v>
      </c>
      <c r="M303" s="348">
        <f t="shared" si="54"/>
        <v>455000</v>
      </c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 spans="1:26" ht="14.4">
      <c r="A304" s="672"/>
      <c r="B304" s="230" t="s">
        <v>396</v>
      </c>
      <c r="C304" s="229">
        <v>3</v>
      </c>
      <c r="D304" s="201"/>
      <c r="E304" s="321"/>
      <c r="F304" s="202">
        <f t="shared" si="50"/>
        <v>3</v>
      </c>
      <c r="G304" s="203">
        <v>17000</v>
      </c>
      <c r="H304" s="203">
        <v>18700</v>
      </c>
      <c r="I304" s="204"/>
      <c r="J304" s="205">
        <f t="shared" si="55"/>
        <v>0</v>
      </c>
      <c r="K304" s="205">
        <f t="shared" si="52"/>
        <v>0</v>
      </c>
      <c r="L304" s="323">
        <f t="shared" si="53"/>
        <v>51000</v>
      </c>
      <c r="M304" s="348">
        <f t="shared" si="54"/>
        <v>56100</v>
      </c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 spans="1:26" ht="14.4">
      <c r="A305" s="672"/>
      <c r="B305" s="230" t="s">
        <v>397</v>
      </c>
      <c r="C305" s="229">
        <v>4</v>
      </c>
      <c r="D305" s="201"/>
      <c r="E305" s="321"/>
      <c r="F305" s="202">
        <f t="shared" si="50"/>
        <v>4</v>
      </c>
      <c r="G305" s="203">
        <v>11000</v>
      </c>
      <c r="H305" s="203">
        <v>12000</v>
      </c>
      <c r="I305" s="204"/>
      <c r="J305" s="205">
        <f t="shared" si="55"/>
        <v>0</v>
      </c>
      <c r="K305" s="205">
        <f t="shared" si="52"/>
        <v>0</v>
      </c>
      <c r="L305" s="323">
        <f t="shared" si="53"/>
        <v>44000</v>
      </c>
      <c r="M305" s="348">
        <f t="shared" si="54"/>
        <v>48000</v>
      </c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 spans="1:26" ht="14.4">
      <c r="A306" s="672"/>
      <c r="B306" s="230" t="s">
        <v>398</v>
      </c>
      <c r="C306" s="229">
        <v>2</v>
      </c>
      <c r="D306" s="201"/>
      <c r="E306" s="321"/>
      <c r="F306" s="202">
        <f t="shared" si="50"/>
        <v>2</v>
      </c>
      <c r="G306" s="203">
        <v>31300</v>
      </c>
      <c r="H306" s="203">
        <v>35000</v>
      </c>
      <c r="I306" s="204"/>
      <c r="J306" s="205">
        <f t="shared" si="55"/>
        <v>0</v>
      </c>
      <c r="K306" s="205">
        <f t="shared" si="52"/>
        <v>0</v>
      </c>
      <c r="L306" s="323">
        <f t="shared" si="53"/>
        <v>62600</v>
      </c>
      <c r="M306" s="348">
        <f t="shared" si="54"/>
        <v>70000</v>
      </c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 spans="1:26" ht="14.4">
      <c r="A307" s="673"/>
      <c r="B307" s="364"/>
      <c r="C307" s="365"/>
      <c r="D307" s="365"/>
      <c r="E307" s="366">
        <f>SUM(E245:E302)</f>
        <v>0</v>
      </c>
      <c r="F307" s="367">
        <f t="shared" si="50"/>
        <v>0</v>
      </c>
      <c r="G307" s="368">
        <f t="shared" ref="G307:H307" si="56">SUM(G245:G302)</f>
        <v>1328787</v>
      </c>
      <c r="H307" s="369">
        <f t="shared" si="56"/>
        <v>1501100</v>
      </c>
      <c r="I307" s="370"/>
      <c r="J307" s="371">
        <f>SUM(J245:J306)</f>
        <v>0</v>
      </c>
      <c r="K307" s="371">
        <f>SUM(K245:K302)</f>
        <v>0</v>
      </c>
      <c r="L307" s="372">
        <f t="shared" ref="L307:M307" si="57">SUM(L245:L306)</f>
        <v>23443766</v>
      </c>
      <c r="M307" s="372">
        <f t="shared" si="57"/>
        <v>27003600</v>
      </c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 spans="1:26" ht="14.4">
      <c r="A308" s="674" t="s">
        <v>399</v>
      </c>
      <c r="B308" s="211" t="s">
        <v>105</v>
      </c>
      <c r="C308" s="238">
        <v>181</v>
      </c>
      <c r="D308" s="321"/>
      <c r="E308" s="321"/>
      <c r="F308" s="373">
        <f t="shared" si="50"/>
        <v>181</v>
      </c>
      <c r="G308" s="203">
        <v>5750</v>
      </c>
      <c r="H308" s="203">
        <v>6200</v>
      </c>
      <c r="I308" s="224"/>
      <c r="J308" s="205">
        <f t="shared" ref="J308:J324" si="58">+H308*I308</f>
        <v>0</v>
      </c>
      <c r="K308" s="205">
        <f t="shared" ref="K308:K324" si="59">+(H308-G308)*I308</f>
        <v>0</v>
      </c>
      <c r="L308" s="374">
        <f t="shared" ref="L308:L324" si="60">+G308*F308</f>
        <v>1040750</v>
      </c>
      <c r="M308" s="375">
        <f t="shared" ref="M308:M324" si="61">F308*H308</f>
        <v>1122200</v>
      </c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 spans="1:26" ht="14.4">
      <c r="A309" s="675"/>
      <c r="B309" s="211" t="s">
        <v>106</v>
      </c>
      <c r="C309" s="227">
        <v>31</v>
      </c>
      <c r="D309" s="321"/>
      <c r="E309" s="321"/>
      <c r="F309" s="373">
        <f t="shared" si="50"/>
        <v>31</v>
      </c>
      <c r="G309" s="203">
        <v>11500</v>
      </c>
      <c r="H309" s="203">
        <v>11300</v>
      </c>
      <c r="I309" s="204"/>
      <c r="J309" s="205">
        <f t="shared" si="58"/>
        <v>0</v>
      </c>
      <c r="K309" s="205">
        <f t="shared" si="59"/>
        <v>0</v>
      </c>
      <c r="L309" s="374">
        <f t="shared" si="60"/>
        <v>356500</v>
      </c>
      <c r="M309" s="375">
        <f t="shared" si="61"/>
        <v>350300</v>
      </c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 spans="1:26" ht="14.4">
      <c r="A310" s="675"/>
      <c r="B310" s="211" t="s">
        <v>400</v>
      </c>
      <c r="C310" s="229"/>
      <c r="D310" s="321"/>
      <c r="E310" s="321"/>
      <c r="F310" s="373">
        <f t="shared" si="50"/>
        <v>0</v>
      </c>
      <c r="G310" s="203">
        <v>8800</v>
      </c>
      <c r="H310" s="203">
        <v>8000</v>
      </c>
      <c r="I310" s="204"/>
      <c r="J310" s="205">
        <f t="shared" si="58"/>
        <v>0</v>
      </c>
      <c r="K310" s="205">
        <f t="shared" si="59"/>
        <v>0</v>
      </c>
      <c r="L310" s="374">
        <f t="shared" si="60"/>
        <v>0</v>
      </c>
      <c r="M310" s="375">
        <f t="shared" si="61"/>
        <v>0</v>
      </c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 spans="1:26" ht="14.4">
      <c r="A311" s="675"/>
      <c r="B311" s="211" t="s">
        <v>401</v>
      </c>
      <c r="C311" s="227">
        <v>29</v>
      </c>
      <c r="D311" s="321"/>
      <c r="E311" s="321"/>
      <c r="F311" s="373">
        <f t="shared" si="50"/>
        <v>29</v>
      </c>
      <c r="G311" s="203">
        <v>4400</v>
      </c>
      <c r="H311" s="203">
        <v>4700</v>
      </c>
      <c r="I311" s="204"/>
      <c r="J311" s="205">
        <f t="shared" si="58"/>
        <v>0</v>
      </c>
      <c r="K311" s="205">
        <f t="shared" si="59"/>
        <v>0</v>
      </c>
      <c r="L311" s="374">
        <f t="shared" si="60"/>
        <v>127600</v>
      </c>
      <c r="M311" s="375">
        <f t="shared" si="61"/>
        <v>136300</v>
      </c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 spans="1:26" ht="14.4">
      <c r="A312" s="675"/>
      <c r="B312" s="211" t="s">
        <v>402</v>
      </c>
      <c r="C312" s="227">
        <v>35</v>
      </c>
      <c r="D312" s="321"/>
      <c r="E312" s="321"/>
      <c r="F312" s="373">
        <f t="shared" si="50"/>
        <v>35</v>
      </c>
      <c r="G312" s="203">
        <v>4400</v>
      </c>
      <c r="H312" s="203">
        <v>4700</v>
      </c>
      <c r="I312" s="204"/>
      <c r="J312" s="205">
        <f t="shared" si="58"/>
        <v>0</v>
      </c>
      <c r="K312" s="205">
        <f t="shared" si="59"/>
        <v>0</v>
      </c>
      <c r="L312" s="374">
        <f t="shared" si="60"/>
        <v>154000</v>
      </c>
      <c r="M312" s="375">
        <f t="shared" si="61"/>
        <v>164500</v>
      </c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 spans="1:26" ht="14.4">
      <c r="A313" s="675"/>
      <c r="B313" s="211" t="s">
        <v>661</v>
      </c>
      <c r="C313" s="238">
        <v>22</v>
      </c>
      <c r="D313" s="321"/>
      <c r="E313" s="321"/>
      <c r="F313" s="373">
        <f t="shared" si="50"/>
        <v>22</v>
      </c>
      <c r="G313" s="203">
        <v>4400</v>
      </c>
      <c r="H313" s="203">
        <v>4700</v>
      </c>
      <c r="I313" s="204"/>
      <c r="J313" s="205">
        <f t="shared" si="58"/>
        <v>0</v>
      </c>
      <c r="K313" s="205">
        <f t="shared" si="59"/>
        <v>0</v>
      </c>
      <c r="L313" s="374">
        <f t="shared" si="60"/>
        <v>96800</v>
      </c>
      <c r="M313" s="375">
        <f t="shared" si="61"/>
        <v>103400</v>
      </c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 spans="1:26" ht="14.4">
      <c r="A314" s="675"/>
      <c r="B314" s="211" t="s">
        <v>403</v>
      </c>
      <c r="C314" s="238">
        <v>245</v>
      </c>
      <c r="D314" s="321"/>
      <c r="E314" s="321"/>
      <c r="F314" s="373">
        <f t="shared" si="50"/>
        <v>245</v>
      </c>
      <c r="G314" s="203">
        <v>6800</v>
      </c>
      <c r="H314" s="203">
        <v>7200</v>
      </c>
      <c r="I314" s="204"/>
      <c r="J314" s="205">
        <f t="shared" si="58"/>
        <v>0</v>
      </c>
      <c r="K314" s="205">
        <f t="shared" si="59"/>
        <v>0</v>
      </c>
      <c r="L314" s="374">
        <f t="shared" si="60"/>
        <v>1666000</v>
      </c>
      <c r="M314" s="375">
        <f t="shared" si="61"/>
        <v>1764000</v>
      </c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 spans="1:26" ht="14.4">
      <c r="A315" s="675"/>
      <c r="B315" s="211" t="s">
        <v>404</v>
      </c>
      <c r="C315" s="227">
        <v>13</v>
      </c>
      <c r="D315" s="321"/>
      <c r="E315" s="321"/>
      <c r="F315" s="373">
        <f t="shared" si="50"/>
        <v>13</v>
      </c>
      <c r="G315" s="203">
        <v>13600</v>
      </c>
      <c r="H315" s="203">
        <v>14400</v>
      </c>
      <c r="I315" s="204"/>
      <c r="J315" s="205">
        <f t="shared" si="58"/>
        <v>0</v>
      </c>
      <c r="K315" s="205">
        <f t="shared" si="59"/>
        <v>0</v>
      </c>
      <c r="L315" s="374">
        <f t="shared" si="60"/>
        <v>176800</v>
      </c>
      <c r="M315" s="375">
        <f t="shared" si="61"/>
        <v>187200</v>
      </c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 spans="1:26" ht="14.4">
      <c r="A316" s="675"/>
      <c r="B316" s="230" t="s">
        <v>405</v>
      </c>
      <c r="C316" s="238">
        <v>65</v>
      </c>
      <c r="D316" s="321"/>
      <c r="E316" s="321"/>
      <c r="F316" s="373">
        <f t="shared" si="50"/>
        <v>65</v>
      </c>
      <c r="G316" s="203">
        <v>3571</v>
      </c>
      <c r="H316" s="203">
        <v>4000</v>
      </c>
      <c r="I316" s="204"/>
      <c r="J316" s="205">
        <f t="shared" si="58"/>
        <v>0</v>
      </c>
      <c r="K316" s="205">
        <f t="shared" si="59"/>
        <v>0</v>
      </c>
      <c r="L316" s="374">
        <f t="shared" si="60"/>
        <v>232115</v>
      </c>
      <c r="M316" s="375">
        <f t="shared" si="61"/>
        <v>260000</v>
      </c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 spans="1:26" ht="14.4">
      <c r="A317" s="675"/>
      <c r="B317" s="230" t="s">
        <v>406</v>
      </c>
      <c r="C317" s="227">
        <v>13</v>
      </c>
      <c r="D317" s="321"/>
      <c r="E317" s="321"/>
      <c r="F317" s="373">
        <f t="shared" si="50"/>
        <v>13</v>
      </c>
      <c r="G317" s="203">
        <v>7141</v>
      </c>
      <c r="H317" s="203">
        <v>8000</v>
      </c>
      <c r="I317" s="204"/>
      <c r="J317" s="205">
        <f t="shared" si="58"/>
        <v>0</v>
      </c>
      <c r="K317" s="205">
        <f t="shared" si="59"/>
        <v>0</v>
      </c>
      <c r="L317" s="374">
        <f t="shared" si="60"/>
        <v>92833</v>
      </c>
      <c r="M317" s="375">
        <f t="shared" si="61"/>
        <v>104000</v>
      </c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 spans="1:26" ht="14.4">
      <c r="A318" s="675"/>
      <c r="B318" s="230" t="s">
        <v>407</v>
      </c>
      <c r="C318" s="238">
        <v>97</v>
      </c>
      <c r="D318" s="321"/>
      <c r="E318" s="321"/>
      <c r="F318" s="373">
        <f t="shared" si="50"/>
        <v>97</v>
      </c>
      <c r="G318" s="203">
        <v>5251</v>
      </c>
      <c r="H318" s="203">
        <v>5800</v>
      </c>
      <c r="I318" s="204"/>
      <c r="J318" s="205">
        <f t="shared" si="58"/>
        <v>0</v>
      </c>
      <c r="K318" s="205">
        <f t="shared" si="59"/>
        <v>0</v>
      </c>
      <c r="L318" s="374">
        <f t="shared" si="60"/>
        <v>509347</v>
      </c>
      <c r="M318" s="375">
        <f t="shared" si="61"/>
        <v>562600</v>
      </c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 spans="1:26" ht="14.4">
      <c r="A319" s="675"/>
      <c r="B319" s="230" t="s">
        <v>408</v>
      </c>
      <c r="C319" s="238">
        <v>17</v>
      </c>
      <c r="D319" s="321"/>
      <c r="E319" s="321"/>
      <c r="F319" s="373">
        <f t="shared" si="50"/>
        <v>17</v>
      </c>
      <c r="G319" s="203">
        <v>10521</v>
      </c>
      <c r="H319" s="203">
        <v>11600</v>
      </c>
      <c r="I319" s="204"/>
      <c r="J319" s="205">
        <f t="shared" si="58"/>
        <v>0</v>
      </c>
      <c r="K319" s="205">
        <f t="shared" si="59"/>
        <v>0</v>
      </c>
      <c r="L319" s="374">
        <f t="shared" si="60"/>
        <v>178857</v>
      </c>
      <c r="M319" s="375">
        <f t="shared" si="61"/>
        <v>197200</v>
      </c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 spans="1:26" ht="14.4">
      <c r="A320" s="675"/>
      <c r="B320" s="230" t="s">
        <v>409</v>
      </c>
      <c r="C320" s="227"/>
      <c r="D320" s="321"/>
      <c r="E320" s="321"/>
      <c r="F320" s="373">
        <f t="shared" si="50"/>
        <v>0</v>
      </c>
      <c r="G320" s="203">
        <v>7552</v>
      </c>
      <c r="H320" s="203">
        <v>8000</v>
      </c>
      <c r="I320" s="224"/>
      <c r="J320" s="205">
        <f t="shared" si="58"/>
        <v>0</v>
      </c>
      <c r="K320" s="205">
        <f t="shared" si="59"/>
        <v>0</v>
      </c>
      <c r="L320" s="374">
        <f t="shared" si="60"/>
        <v>0</v>
      </c>
      <c r="M320" s="375">
        <f t="shared" si="61"/>
        <v>0</v>
      </c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 spans="1:26" ht="14.4">
      <c r="A321" s="675"/>
      <c r="B321" s="230" t="s">
        <v>410</v>
      </c>
      <c r="C321" s="238">
        <v>16</v>
      </c>
      <c r="D321" s="321"/>
      <c r="E321" s="321"/>
      <c r="F321" s="373">
        <f t="shared" si="50"/>
        <v>16</v>
      </c>
      <c r="G321" s="203">
        <v>7521</v>
      </c>
      <c r="H321" s="203">
        <v>8000</v>
      </c>
      <c r="I321" s="204"/>
      <c r="J321" s="205">
        <f t="shared" si="58"/>
        <v>0</v>
      </c>
      <c r="K321" s="205">
        <f t="shared" si="59"/>
        <v>0</v>
      </c>
      <c r="L321" s="374">
        <f t="shared" si="60"/>
        <v>120336</v>
      </c>
      <c r="M321" s="375">
        <f t="shared" si="61"/>
        <v>128000</v>
      </c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 spans="1:26" ht="14.4">
      <c r="A322" s="675"/>
      <c r="B322" s="230" t="s">
        <v>411</v>
      </c>
      <c r="C322" s="227">
        <v>43</v>
      </c>
      <c r="D322" s="321"/>
      <c r="E322" s="321"/>
      <c r="F322" s="373">
        <f t="shared" si="50"/>
        <v>43</v>
      </c>
      <c r="G322" s="203">
        <v>800</v>
      </c>
      <c r="H322" s="203">
        <v>1200</v>
      </c>
      <c r="I322" s="204"/>
      <c r="J322" s="205">
        <f t="shared" si="58"/>
        <v>0</v>
      </c>
      <c r="K322" s="205">
        <f t="shared" si="59"/>
        <v>0</v>
      </c>
      <c r="L322" s="374">
        <f t="shared" si="60"/>
        <v>34400</v>
      </c>
      <c r="M322" s="375">
        <f t="shared" si="61"/>
        <v>51600</v>
      </c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 spans="1:26" ht="14.4">
      <c r="A323" s="675"/>
      <c r="B323" s="230" t="s">
        <v>412</v>
      </c>
      <c r="C323" s="227"/>
      <c r="D323" s="321"/>
      <c r="E323" s="321"/>
      <c r="F323" s="373">
        <f t="shared" si="50"/>
        <v>0</v>
      </c>
      <c r="G323" s="203">
        <v>2480</v>
      </c>
      <c r="H323" s="203">
        <v>3000</v>
      </c>
      <c r="I323" s="204"/>
      <c r="J323" s="205">
        <f t="shared" si="58"/>
        <v>0</v>
      </c>
      <c r="K323" s="205">
        <f t="shared" si="59"/>
        <v>0</v>
      </c>
      <c r="L323" s="374">
        <f t="shared" si="60"/>
        <v>0</v>
      </c>
      <c r="M323" s="375">
        <f t="shared" si="61"/>
        <v>0</v>
      </c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 spans="1:26" ht="14.4">
      <c r="A324" s="675"/>
      <c r="B324" s="230" t="s">
        <v>413</v>
      </c>
      <c r="C324" s="227">
        <v>34</v>
      </c>
      <c r="D324" s="321"/>
      <c r="E324" s="321"/>
      <c r="F324" s="373">
        <f t="shared" si="50"/>
        <v>34</v>
      </c>
      <c r="G324" s="239">
        <v>2100</v>
      </c>
      <c r="H324" s="239">
        <v>2500</v>
      </c>
      <c r="I324" s="213"/>
      <c r="J324" s="205">
        <f t="shared" si="58"/>
        <v>0</v>
      </c>
      <c r="K324" s="205">
        <f t="shared" si="59"/>
        <v>0</v>
      </c>
      <c r="L324" s="374">
        <f t="shared" si="60"/>
        <v>71400</v>
      </c>
      <c r="M324" s="375">
        <f t="shared" si="61"/>
        <v>85000</v>
      </c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 spans="1:26" ht="14.4">
      <c r="A325" s="676"/>
      <c r="B325" s="376"/>
      <c r="C325" s="377">
        <f t="shared" ref="C325:I325" si="62">SUM(C308:C321)</f>
        <v>764</v>
      </c>
      <c r="D325" s="378">
        <f t="shared" si="62"/>
        <v>0</v>
      </c>
      <c r="E325" s="379">
        <f t="shared" si="62"/>
        <v>0</v>
      </c>
      <c r="F325" s="379">
        <f t="shared" si="62"/>
        <v>764</v>
      </c>
      <c r="G325" s="380">
        <f t="shared" si="62"/>
        <v>101207</v>
      </c>
      <c r="H325" s="380">
        <f t="shared" si="62"/>
        <v>106600</v>
      </c>
      <c r="I325" s="381">
        <f t="shared" si="62"/>
        <v>0</v>
      </c>
      <c r="J325" s="382">
        <f>SUM(J308:J324)</f>
        <v>0</v>
      </c>
      <c r="K325" s="382">
        <f>SUM(K308:K321)</f>
        <v>0</v>
      </c>
      <c r="L325" s="382">
        <f t="shared" ref="L325:M325" si="63">SUM(L308:L324)</f>
        <v>4857738</v>
      </c>
      <c r="M325" s="382">
        <f t="shared" si="63"/>
        <v>5216300</v>
      </c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 spans="1:26" ht="14.4">
      <c r="A326" s="191"/>
      <c r="B326" s="383"/>
      <c r="C326" s="384"/>
      <c r="D326" s="191"/>
      <c r="E326" s="191"/>
      <c r="F326" s="191"/>
      <c r="G326" s="386"/>
      <c r="H326" s="386"/>
      <c r="I326" s="386"/>
      <c r="J326" s="387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 spans="1:26" ht="14.4">
      <c r="A327" s="191"/>
      <c r="B327" s="387"/>
      <c r="C327" s="201"/>
      <c r="D327" s="390" t="s">
        <v>118</v>
      </c>
      <c r="E327" s="390" t="s">
        <v>131</v>
      </c>
      <c r="F327" s="390" t="s">
        <v>414</v>
      </c>
      <c r="G327" s="386"/>
      <c r="H327" s="677" t="s">
        <v>415</v>
      </c>
      <c r="I327" s="678"/>
      <c r="J327" s="387"/>
      <c r="K327" s="677" t="s">
        <v>416</v>
      </c>
      <c r="L327" s="678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 spans="1:26" ht="14.4">
      <c r="A328" s="191"/>
      <c r="B328" s="390" t="s">
        <v>3</v>
      </c>
      <c r="C328" s="391"/>
      <c r="D328" s="392">
        <f t="shared" ref="D328:F328" si="64">+J22</f>
        <v>0</v>
      </c>
      <c r="E328" s="392">
        <f t="shared" si="64"/>
        <v>0</v>
      </c>
      <c r="F328" s="464">
        <f t="shared" si="64"/>
        <v>41087398</v>
      </c>
      <c r="G328" s="386"/>
      <c r="H328" s="393" t="s">
        <v>120</v>
      </c>
      <c r="I328" s="394">
        <v>180000000</v>
      </c>
      <c r="J328" s="387"/>
      <c r="K328" s="393" t="s">
        <v>417</v>
      </c>
      <c r="L328" s="394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 spans="1:26" ht="14.4">
      <c r="A329" s="191"/>
      <c r="B329" s="390" t="s">
        <v>418</v>
      </c>
      <c r="C329" s="391"/>
      <c r="D329" s="392">
        <f t="shared" ref="D329:F329" si="65">+J60</f>
        <v>0</v>
      </c>
      <c r="E329" s="392">
        <f t="shared" si="65"/>
        <v>0</v>
      </c>
      <c r="F329" s="464">
        <f t="shared" si="65"/>
        <v>99367222.5</v>
      </c>
      <c r="G329" s="386"/>
      <c r="H329" s="395" t="s">
        <v>419</v>
      </c>
      <c r="I329" s="396">
        <v>20000000</v>
      </c>
      <c r="J329" s="387" t="s">
        <v>683</v>
      </c>
      <c r="K329" s="395" t="s">
        <v>421</v>
      </c>
      <c r="L329" s="396">
        <v>460000</v>
      </c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 spans="1:26" ht="14.4">
      <c r="A330" s="191"/>
      <c r="B330" s="390" t="s">
        <v>422</v>
      </c>
      <c r="C330" s="391"/>
      <c r="D330" s="392">
        <f t="shared" ref="D330:F330" si="66">+J87</f>
        <v>0</v>
      </c>
      <c r="E330" s="392">
        <f t="shared" si="66"/>
        <v>0</v>
      </c>
      <c r="F330" s="464">
        <f t="shared" si="66"/>
        <v>23231511.25</v>
      </c>
      <c r="G330" s="386"/>
      <c r="H330" s="395" t="s">
        <v>423</v>
      </c>
      <c r="I330" s="396">
        <f>39517417-25000000-1545000</f>
        <v>12972417</v>
      </c>
      <c r="J330" s="387"/>
      <c r="K330" s="395"/>
      <c r="L330" s="396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 spans="1:26" ht="14.4">
      <c r="A331" s="191"/>
      <c r="B331" s="390" t="s">
        <v>424</v>
      </c>
      <c r="C331" s="391"/>
      <c r="D331" s="392">
        <f t="shared" ref="D331:F331" si="67">+J147</f>
        <v>0</v>
      </c>
      <c r="E331" s="392">
        <f t="shared" si="67"/>
        <v>0</v>
      </c>
      <c r="F331" s="464">
        <f t="shared" si="67"/>
        <v>7669179</v>
      </c>
      <c r="G331" s="386"/>
      <c r="H331" s="395" t="s">
        <v>662</v>
      </c>
      <c r="I331" s="396">
        <v>20000000</v>
      </c>
      <c r="J331" s="387"/>
      <c r="K331" s="395"/>
      <c r="L331" s="396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 spans="1:26" ht="14.4">
      <c r="A332" s="191"/>
      <c r="B332" s="390" t="s">
        <v>425</v>
      </c>
      <c r="C332" s="391"/>
      <c r="D332" s="392">
        <f t="shared" ref="D332:F332" si="68">+J159</f>
        <v>0</v>
      </c>
      <c r="E332" s="392">
        <f t="shared" si="68"/>
        <v>0</v>
      </c>
      <c r="F332" s="464">
        <f t="shared" si="68"/>
        <v>17294700</v>
      </c>
      <c r="G332" s="386"/>
      <c r="H332" s="395"/>
      <c r="I332" s="396"/>
      <c r="J332" s="387"/>
      <c r="K332" s="395"/>
      <c r="L332" s="396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 spans="1:26" ht="14.4">
      <c r="A333" s="191"/>
      <c r="B333" s="390" t="s">
        <v>426</v>
      </c>
      <c r="C333" s="391"/>
      <c r="D333" s="392">
        <f t="shared" ref="D333:E333" si="69">+J244</f>
        <v>0</v>
      </c>
      <c r="E333" s="392">
        <f t="shared" si="69"/>
        <v>0</v>
      </c>
      <c r="F333" s="464">
        <f>+L244+L183</f>
        <v>20428250</v>
      </c>
      <c r="G333" s="386"/>
      <c r="H333" s="395"/>
      <c r="I333" s="396"/>
      <c r="J333" s="387"/>
      <c r="K333" s="395"/>
      <c r="L333" s="396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 spans="1:26" ht="14.4">
      <c r="A334" s="191"/>
      <c r="B334" s="390" t="s">
        <v>427</v>
      </c>
      <c r="C334" s="391"/>
      <c r="D334" s="392">
        <f t="shared" ref="D334:E334" si="70">+J307</f>
        <v>0</v>
      </c>
      <c r="E334" s="392">
        <f t="shared" si="70"/>
        <v>0</v>
      </c>
      <c r="F334" s="465">
        <f>L307</f>
        <v>23443766</v>
      </c>
      <c r="G334" s="386"/>
      <c r="H334" s="395"/>
      <c r="I334" s="396"/>
      <c r="J334" s="387"/>
      <c r="K334" s="395"/>
      <c r="L334" s="396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 spans="1:26" ht="14.4">
      <c r="A335" s="191"/>
      <c r="B335" s="390" t="s">
        <v>663</v>
      </c>
      <c r="C335" s="391"/>
      <c r="D335" s="392">
        <f t="shared" ref="D335:E335" si="71">+J308</f>
        <v>0</v>
      </c>
      <c r="E335" s="392">
        <f t="shared" si="71"/>
        <v>0</v>
      </c>
      <c r="F335" s="465">
        <f>L183</f>
        <v>1980950</v>
      </c>
      <c r="G335" s="386"/>
      <c r="H335" s="395"/>
      <c r="I335" s="396"/>
      <c r="J335" s="387"/>
      <c r="K335" s="395"/>
      <c r="L335" s="396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 spans="1:26" ht="14.4">
      <c r="A336" s="191"/>
      <c r="B336" s="390" t="s">
        <v>428</v>
      </c>
      <c r="C336" s="391"/>
      <c r="D336" s="392">
        <f t="shared" ref="D336:F336" si="72">+J325</f>
        <v>0</v>
      </c>
      <c r="E336" s="392">
        <f t="shared" si="72"/>
        <v>0</v>
      </c>
      <c r="F336" s="464">
        <f t="shared" si="72"/>
        <v>4857738</v>
      </c>
      <c r="G336" s="386"/>
      <c r="H336" s="395"/>
      <c r="I336" s="396"/>
      <c r="J336" s="387"/>
      <c r="K336" s="395"/>
      <c r="L336" s="396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 spans="1:26" ht="14.4">
      <c r="A337" s="191"/>
      <c r="B337" s="390" t="s">
        <v>429</v>
      </c>
      <c r="C337" s="391"/>
      <c r="D337" s="392">
        <f t="shared" ref="D337:F337" si="73">J576</f>
        <v>0</v>
      </c>
      <c r="E337" s="392">
        <f t="shared" si="73"/>
        <v>0</v>
      </c>
      <c r="F337" s="464">
        <f t="shared" si="73"/>
        <v>31473546.75</v>
      </c>
      <c r="G337" s="386"/>
      <c r="H337" s="395"/>
      <c r="I337" s="396"/>
      <c r="J337" s="387"/>
      <c r="K337" s="395"/>
      <c r="L337" s="396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 spans="1:26" ht="15.6">
      <c r="A338" s="191"/>
      <c r="B338" s="398" t="s">
        <v>430</v>
      </c>
      <c r="C338" s="399"/>
      <c r="D338" s="400">
        <f t="shared" ref="D338:F338" si="74">SUM(D328:D337)</f>
        <v>0</v>
      </c>
      <c r="E338" s="400">
        <f t="shared" si="74"/>
        <v>0</v>
      </c>
      <c r="F338" s="401">
        <f t="shared" si="74"/>
        <v>270834261.5</v>
      </c>
      <c r="G338" s="386"/>
      <c r="H338" s="395" t="s">
        <v>431</v>
      </c>
      <c r="I338" s="396"/>
      <c r="J338" s="387"/>
      <c r="K338" s="395"/>
      <c r="L338" s="396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 spans="1:26" ht="15.6">
      <c r="A339" s="191"/>
      <c r="B339" s="402" t="s">
        <v>432</v>
      </c>
      <c r="C339" s="403"/>
      <c r="D339" s="404"/>
      <c r="E339" s="405"/>
      <c r="F339" s="406">
        <v>3823000</v>
      </c>
      <c r="G339" s="386"/>
      <c r="H339" s="395" t="s">
        <v>433</v>
      </c>
      <c r="I339" s="407"/>
      <c r="J339" s="387"/>
      <c r="K339" s="395"/>
      <c r="L339" s="407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 spans="1:26" ht="14.4">
      <c r="A340" s="191"/>
      <c r="B340" s="408" t="s">
        <v>112</v>
      </c>
      <c r="C340" s="409"/>
      <c r="D340" s="410"/>
      <c r="E340" s="411"/>
      <c r="F340" s="412">
        <v>27300000</v>
      </c>
      <c r="G340" s="386"/>
      <c r="H340" s="386"/>
      <c r="I340" s="413">
        <f>SUM(I328:I339)</f>
        <v>232972417</v>
      </c>
      <c r="J340" s="387"/>
      <c r="K340" s="386"/>
      <c r="L340" s="413">
        <f>SUM(L328:L339)</f>
        <v>460000</v>
      </c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 spans="1:26" ht="17.399999999999999">
      <c r="A341" s="191"/>
      <c r="B341" s="414" t="s">
        <v>430</v>
      </c>
      <c r="C341" s="415"/>
      <c r="D341" s="416"/>
      <c r="E341" s="411"/>
      <c r="F341" s="466">
        <f>F338+F339+F340</f>
        <v>301957261.5</v>
      </c>
      <c r="G341" s="467" t="s">
        <v>435</v>
      </c>
      <c r="H341" s="419">
        <f>F341-I340+L340</f>
        <v>69444844.5</v>
      </c>
      <c r="I341" s="387"/>
      <c r="J341" s="387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 spans="1:26" ht="14.4">
      <c r="A342" s="420"/>
      <c r="B342" s="420"/>
      <c r="C342" s="20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 spans="1:26" ht="14.4">
      <c r="A343" s="420"/>
      <c r="B343" s="420"/>
      <c r="C343" s="20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 spans="1:26" ht="28.8">
      <c r="A344" s="679">
        <v>24</v>
      </c>
      <c r="B344" s="680"/>
      <c r="C344" s="421" t="s">
        <v>125</v>
      </c>
      <c r="D344" s="422" t="s">
        <v>126</v>
      </c>
      <c r="E344" s="422" t="s">
        <v>127</v>
      </c>
      <c r="F344" s="423" t="s">
        <v>0</v>
      </c>
      <c r="G344" s="424" t="s">
        <v>436</v>
      </c>
      <c r="H344" s="425" t="s">
        <v>437</v>
      </c>
      <c r="I344" s="426" t="s">
        <v>438</v>
      </c>
      <c r="J344" s="422" t="s">
        <v>130</v>
      </c>
      <c r="K344" s="422" t="s">
        <v>131</v>
      </c>
      <c r="L344" s="422" t="s">
        <v>2</v>
      </c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spans="1:26" ht="14.4">
      <c r="A345" s="427"/>
      <c r="B345" s="428" t="s">
        <v>439</v>
      </c>
      <c r="C345" s="321"/>
      <c r="D345" s="321"/>
      <c r="E345" s="321"/>
      <c r="F345" s="429">
        <f t="shared" ref="F345:F422" si="75">+C345+D345-E345</f>
        <v>0</v>
      </c>
      <c r="G345" s="203">
        <v>213600</v>
      </c>
      <c r="H345" s="203">
        <v>220000</v>
      </c>
      <c r="I345" s="204"/>
      <c r="J345" s="205">
        <f t="shared" ref="J345:J365" si="76">+H345*I345</f>
        <v>0</v>
      </c>
      <c r="K345" s="205">
        <f t="shared" ref="K345:K422" si="77">+(H345-G345)*I345</f>
        <v>0</v>
      </c>
      <c r="L345" s="430">
        <f t="shared" ref="L345:L422" si="78">+G345*F345</f>
        <v>0</v>
      </c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spans="1:26" ht="14.4">
      <c r="A346" s="427"/>
      <c r="B346" s="428" t="s">
        <v>440</v>
      </c>
      <c r="C346" s="431">
        <v>3</v>
      </c>
      <c r="D346" s="321"/>
      <c r="E346" s="321"/>
      <c r="F346" s="429">
        <f t="shared" si="75"/>
        <v>3</v>
      </c>
      <c r="G346" s="203">
        <v>166772</v>
      </c>
      <c r="H346" s="203">
        <v>180000</v>
      </c>
      <c r="I346" s="204"/>
      <c r="J346" s="205">
        <f t="shared" si="76"/>
        <v>0</v>
      </c>
      <c r="K346" s="205">
        <f t="shared" si="77"/>
        <v>0</v>
      </c>
      <c r="L346" s="430">
        <f t="shared" si="78"/>
        <v>500316</v>
      </c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spans="1:26" ht="14.4">
      <c r="A347" s="427"/>
      <c r="B347" s="428" t="s">
        <v>441</v>
      </c>
      <c r="C347" s="431">
        <v>1</v>
      </c>
      <c r="D347" s="321"/>
      <c r="E347" s="321"/>
      <c r="F347" s="429">
        <f t="shared" si="75"/>
        <v>1</v>
      </c>
      <c r="G347" s="203">
        <v>176484</v>
      </c>
      <c r="H347" s="203">
        <v>190000</v>
      </c>
      <c r="I347" s="204"/>
      <c r="J347" s="205">
        <f t="shared" si="76"/>
        <v>0</v>
      </c>
      <c r="K347" s="205">
        <f t="shared" si="77"/>
        <v>0</v>
      </c>
      <c r="L347" s="430">
        <f t="shared" si="78"/>
        <v>176484</v>
      </c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spans="1:26" ht="14.4">
      <c r="A348" s="427"/>
      <c r="B348" s="428" t="s">
        <v>442</v>
      </c>
      <c r="C348" s="431">
        <v>3</v>
      </c>
      <c r="D348" s="321"/>
      <c r="E348" s="321"/>
      <c r="F348" s="429">
        <f t="shared" si="75"/>
        <v>3</v>
      </c>
      <c r="G348" s="203">
        <v>181000</v>
      </c>
      <c r="H348" s="203">
        <v>196000</v>
      </c>
      <c r="I348" s="204"/>
      <c r="J348" s="205">
        <f t="shared" si="76"/>
        <v>0</v>
      </c>
      <c r="K348" s="205">
        <f t="shared" si="77"/>
        <v>0</v>
      </c>
      <c r="L348" s="430">
        <f t="shared" si="78"/>
        <v>543000</v>
      </c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spans="1:26" ht="14.4">
      <c r="A349" s="427"/>
      <c r="B349" s="428" t="s">
        <v>443</v>
      </c>
      <c r="C349" s="431">
        <v>9</v>
      </c>
      <c r="D349" s="321"/>
      <c r="E349" s="321"/>
      <c r="F349" s="429">
        <f t="shared" si="75"/>
        <v>9</v>
      </c>
      <c r="G349" s="203">
        <v>141931</v>
      </c>
      <c r="H349" s="203">
        <v>155000</v>
      </c>
      <c r="I349" s="204"/>
      <c r="J349" s="205">
        <f t="shared" si="76"/>
        <v>0</v>
      </c>
      <c r="K349" s="205">
        <f t="shared" si="77"/>
        <v>0</v>
      </c>
      <c r="L349" s="430">
        <f t="shared" si="78"/>
        <v>1277379</v>
      </c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spans="1:26" ht="14.4">
      <c r="A350" s="427"/>
      <c r="B350" s="428" t="s">
        <v>444</v>
      </c>
      <c r="C350" s="321">
        <v>2</v>
      </c>
      <c r="D350" s="321"/>
      <c r="E350" s="321"/>
      <c r="F350" s="429">
        <f t="shared" si="75"/>
        <v>2</v>
      </c>
      <c r="G350" s="203">
        <v>81350</v>
      </c>
      <c r="H350" s="203">
        <v>93000</v>
      </c>
      <c r="I350" s="204"/>
      <c r="J350" s="205">
        <f t="shared" si="76"/>
        <v>0</v>
      </c>
      <c r="K350" s="205">
        <f t="shared" si="77"/>
        <v>0</v>
      </c>
      <c r="L350" s="430">
        <f t="shared" si="78"/>
        <v>162700</v>
      </c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spans="1:26" ht="14.4">
      <c r="A351" s="427"/>
      <c r="B351" s="428" t="s">
        <v>445</v>
      </c>
      <c r="C351" s="321">
        <v>4</v>
      </c>
      <c r="D351" s="321"/>
      <c r="E351" s="321"/>
      <c r="F351" s="429">
        <f t="shared" si="75"/>
        <v>4</v>
      </c>
      <c r="G351" s="203">
        <v>41000</v>
      </c>
      <c r="H351" s="203">
        <v>43000</v>
      </c>
      <c r="I351" s="204"/>
      <c r="J351" s="205">
        <f t="shared" si="76"/>
        <v>0</v>
      </c>
      <c r="K351" s="205">
        <f t="shared" si="77"/>
        <v>0</v>
      </c>
      <c r="L351" s="430">
        <f t="shared" si="78"/>
        <v>164000</v>
      </c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spans="1:26" ht="14.4">
      <c r="A352" s="427"/>
      <c r="B352" s="428" t="s">
        <v>446</v>
      </c>
      <c r="C352" s="431">
        <v>1</v>
      </c>
      <c r="D352" s="321"/>
      <c r="E352" s="321"/>
      <c r="F352" s="429">
        <f t="shared" si="75"/>
        <v>1</v>
      </c>
      <c r="G352" s="203">
        <v>160857</v>
      </c>
      <c r="H352" s="203">
        <v>170000</v>
      </c>
      <c r="I352" s="204"/>
      <c r="J352" s="205">
        <f t="shared" si="76"/>
        <v>0</v>
      </c>
      <c r="K352" s="205">
        <f t="shared" si="77"/>
        <v>0</v>
      </c>
      <c r="L352" s="430">
        <f t="shared" si="78"/>
        <v>160857</v>
      </c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spans="1:26" ht="14.4">
      <c r="A353" s="427"/>
      <c r="B353" s="428" t="s">
        <v>447</v>
      </c>
      <c r="C353" s="431">
        <v>1</v>
      </c>
      <c r="D353" s="321"/>
      <c r="E353" s="321"/>
      <c r="F353" s="429">
        <f t="shared" si="75"/>
        <v>1</v>
      </c>
      <c r="G353" s="203">
        <v>128000</v>
      </c>
      <c r="H353" s="203">
        <v>140000</v>
      </c>
      <c r="I353" s="204"/>
      <c r="J353" s="205">
        <f t="shared" si="76"/>
        <v>0</v>
      </c>
      <c r="K353" s="205">
        <f t="shared" si="77"/>
        <v>0</v>
      </c>
      <c r="L353" s="430">
        <f t="shared" si="78"/>
        <v>128000</v>
      </c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 spans="1:26" ht="14.4">
      <c r="A354" s="427"/>
      <c r="B354" s="428" t="s">
        <v>448</v>
      </c>
      <c r="C354" s="431"/>
      <c r="D354" s="321"/>
      <c r="E354" s="321"/>
      <c r="F354" s="429">
        <f t="shared" si="75"/>
        <v>0</v>
      </c>
      <c r="G354" s="203">
        <v>90814</v>
      </c>
      <c r="H354" s="203">
        <v>99000</v>
      </c>
      <c r="I354" s="204"/>
      <c r="J354" s="205">
        <f t="shared" si="76"/>
        <v>0</v>
      </c>
      <c r="K354" s="205">
        <f t="shared" si="77"/>
        <v>0</v>
      </c>
      <c r="L354" s="430">
        <f t="shared" si="78"/>
        <v>0</v>
      </c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 spans="1:26" ht="14.4">
      <c r="A355" s="427"/>
      <c r="B355" s="428" t="s">
        <v>449</v>
      </c>
      <c r="C355" s="431">
        <v>1</v>
      </c>
      <c r="D355" s="321"/>
      <c r="E355" s="321"/>
      <c r="F355" s="429">
        <f t="shared" si="75"/>
        <v>1</v>
      </c>
      <c r="G355" s="203">
        <v>160312</v>
      </c>
      <c r="H355" s="203">
        <v>170000</v>
      </c>
      <c r="I355" s="204"/>
      <c r="J355" s="205">
        <f t="shared" si="76"/>
        <v>0</v>
      </c>
      <c r="K355" s="205">
        <f t="shared" si="77"/>
        <v>0</v>
      </c>
      <c r="L355" s="430">
        <f t="shared" si="78"/>
        <v>160312</v>
      </c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 spans="1:26" ht="14.4">
      <c r="A356" s="427"/>
      <c r="B356" s="428" t="s">
        <v>450</v>
      </c>
      <c r="C356" s="321">
        <v>1</v>
      </c>
      <c r="D356" s="321"/>
      <c r="E356" s="321"/>
      <c r="F356" s="429">
        <f t="shared" si="75"/>
        <v>1</v>
      </c>
      <c r="G356" s="203">
        <v>166740</v>
      </c>
      <c r="H356" s="203">
        <v>172000</v>
      </c>
      <c r="I356" s="204"/>
      <c r="J356" s="205">
        <f t="shared" si="76"/>
        <v>0</v>
      </c>
      <c r="K356" s="205">
        <f t="shared" si="77"/>
        <v>0</v>
      </c>
      <c r="L356" s="430">
        <f t="shared" si="78"/>
        <v>166740</v>
      </c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 spans="1:26" ht="14.4">
      <c r="A357" s="427"/>
      <c r="B357" s="428" t="s">
        <v>451</v>
      </c>
      <c r="C357" s="431">
        <v>2</v>
      </c>
      <c r="D357" s="321"/>
      <c r="E357" s="321"/>
      <c r="F357" s="429">
        <f t="shared" si="75"/>
        <v>2</v>
      </c>
      <c r="G357" s="203">
        <v>129841</v>
      </c>
      <c r="H357" s="203">
        <v>142000</v>
      </c>
      <c r="I357" s="204"/>
      <c r="J357" s="205">
        <f t="shared" si="76"/>
        <v>0</v>
      </c>
      <c r="K357" s="205">
        <f t="shared" si="77"/>
        <v>0</v>
      </c>
      <c r="L357" s="430">
        <f t="shared" si="78"/>
        <v>259682</v>
      </c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 spans="1:26" ht="14.4">
      <c r="A358" s="427"/>
      <c r="B358" s="428" t="s">
        <v>452</v>
      </c>
      <c r="C358" s="321">
        <v>2</v>
      </c>
      <c r="D358" s="321"/>
      <c r="E358" s="321"/>
      <c r="F358" s="429">
        <f t="shared" si="75"/>
        <v>2</v>
      </c>
      <c r="G358" s="203">
        <v>69534</v>
      </c>
      <c r="H358" s="203">
        <v>72000</v>
      </c>
      <c r="I358" s="204"/>
      <c r="J358" s="205">
        <f t="shared" si="76"/>
        <v>0</v>
      </c>
      <c r="K358" s="205">
        <f t="shared" si="77"/>
        <v>0</v>
      </c>
      <c r="L358" s="430">
        <f t="shared" si="78"/>
        <v>139068</v>
      </c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 spans="1:26" ht="14.4">
      <c r="A359" s="427"/>
      <c r="B359" s="428" t="s">
        <v>453</v>
      </c>
      <c r="C359" s="431">
        <v>3</v>
      </c>
      <c r="D359" s="321"/>
      <c r="E359" s="321"/>
      <c r="F359" s="429">
        <f t="shared" si="75"/>
        <v>3</v>
      </c>
      <c r="G359" s="203">
        <v>82080</v>
      </c>
      <c r="H359" s="203">
        <v>89000</v>
      </c>
      <c r="I359" s="204"/>
      <c r="J359" s="205">
        <f t="shared" si="76"/>
        <v>0</v>
      </c>
      <c r="K359" s="205">
        <f t="shared" si="77"/>
        <v>0</v>
      </c>
      <c r="L359" s="430">
        <f t="shared" si="78"/>
        <v>246240</v>
      </c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 spans="1:26" ht="14.4">
      <c r="A360" s="427"/>
      <c r="B360" s="428" t="s">
        <v>454</v>
      </c>
      <c r="C360" s="431">
        <v>3</v>
      </c>
      <c r="D360" s="321"/>
      <c r="E360" s="321"/>
      <c r="F360" s="429">
        <f t="shared" si="75"/>
        <v>3</v>
      </c>
      <c r="G360" s="203">
        <v>62646</v>
      </c>
      <c r="H360" s="203">
        <v>69000</v>
      </c>
      <c r="I360" s="204"/>
      <c r="J360" s="205">
        <f t="shared" si="76"/>
        <v>0</v>
      </c>
      <c r="K360" s="205">
        <f t="shared" si="77"/>
        <v>0</v>
      </c>
      <c r="L360" s="430">
        <f t="shared" si="78"/>
        <v>187938</v>
      </c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 spans="1:26" ht="14.4">
      <c r="A361" s="427"/>
      <c r="B361" s="428" t="s">
        <v>455</v>
      </c>
      <c r="C361" s="321">
        <v>2</v>
      </c>
      <c r="D361" s="321"/>
      <c r="E361" s="321"/>
      <c r="F361" s="429">
        <f t="shared" si="75"/>
        <v>2</v>
      </c>
      <c r="G361" s="203">
        <v>39970</v>
      </c>
      <c r="H361" s="203">
        <v>44000</v>
      </c>
      <c r="I361" s="204"/>
      <c r="J361" s="205">
        <f t="shared" si="76"/>
        <v>0</v>
      </c>
      <c r="K361" s="205">
        <f t="shared" si="77"/>
        <v>0</v>
      </c>
      <c r="L361" s="430">
        <f t="shared" si="78"/>
        <v>79940</v>
      </c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 spans="1:26" ht="14.4">
      <c r="A362" s="427"/>
      <c r="B362" s="428" t="s">
        <v>456</v>
      </c>
      <c r="C362" s="431">
        <v>0</v>
      </c>
      <c r="D362" s="321"/>
      <c r="E362" s="321"/>
      <c r="F362" s="429">
        <f t="shared" si="75"/>
        <v>0</v>
      </c>
      <c r="G362" s="203">
        <v>18300</v>
      </c>
      <c r="H362" s="203">
        <v>21000</v>
      </c>
      <c r="I362" s="204"/>
      <c r="J362" s="205">
        <f t="shared" si="76"/>
        <v>0</v>
      </c>
      <c r="K362" s="205">
        <f t="shared" si="77"/>
        <v>0</v>
      </c>
      <c r="L362" s="430">
        <f t="shared" si="78"/>
        <v>0</v>
      </c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 spans="1:26" ht="14.4">
      <c r="A363" s="427"/>
      <c r="B363" s="428" t="s">
        <v>457</v>
      </c>
      <c r="C363" s="431">
        <v>0</v>
      </c>
      <c r="D363" s="321"/>
      <c r="E363" s="321"/>
      <c r="F363" s="429">
        <f t="shared" si="75"/>
        <v>0</v>
      </c>
      <c r="G363" s="203">
        <v>286000</v>
      </c>
      <c r="H363" s="203">
        <v>320000</v>
      </c>
      <c r="I363" s="204"/>
      <c r="J363" s="205">
        <f t="shared" si="76"/>
        <v>0</v>
      </c>
      <c r="K363" s="205">
        <f t="shared" si="77"/>
        <v>0</v>
      </c>
      <c r="L363" s="430">
        <f t="shared" si="78"/>
        <v>0</v>
      </c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 spans="1:26" ht="14.4">
      <c r="A364" s="427"/>
      <c r="B364" s="428" t="s">
        <v>458</v>
      </c>
      <c r="C364" s="431">
        <v>23</v>
      </c>
      <c r="D364" s="321"/>
      <c r="E364" s="321"/>
      <c r="F364" s="429">
        <f t="shared" si="75"/>
        <v>23</v>
      </c>
      <c r="G364" s="203">
        <v>132000</v>
      </c>
      <c r="H364" s="203">
        <v>145000</v>
      </c>
      <c r="I364" s="204"/>
      <c r="J364" s="205">
        <f t="shared" si="76"/>
        <v>0</v>
      </c>
      <c r="K364" s="205">
        <f t="shared" si="77"/>
        <v>0</v>
      </c>
      <c r="L364" s="430">
        <f t="shared" si="78"/>
        <v>3036000</v>
      </c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 spans="1:26" ht="14.4">
      <c r="A365" s="427"/>
      <c r="B365" s="428" t="s">
        <v>664</v>
      </c>
      <c r="C365" s="431">
        <v>10</v>
      </c>
      <c r="D365" s="321"/>
      <c r="E365" s="321"/>
      <c r="F365" s="429">
        <f t="shared" si="75"/>
        <v>10</v>
      </c>
      <c r="G365" s="203">
        <v>130000</v>
      </c>
      <c r="H365" s="203">
        <v>39000</v>
      </c>
      <c r="I365" s="204"/>
      <c r="J365" s="205">
        <f t="shared" si="76"/>
        <v>0</v>
      </c>
      <c r="K365" s="205">
        <f t="shared" si="77"/>
        <v>0</v>
      </c>
      <c r="L365" s="430">
        <f t="shared" si="78"/>
        <v>1300000</v>
      </c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 spans="1:26" ht="14.4">
      <c r="A366" s="427"/>
      <c r="B366" s="428" t="s">
        <v>460</v>
      </c>
      <c r="C366" s="431">
        <v>0</v>
      </c>
      <c r="D366" s="321"/>
      <c r="E366" s="321"/>
      <c r="F366" s="429">
        <f t="shared" si="75"/>
        <v>0</v>
      </c>
      <c r="G366" s="203">
        <v>75300</v>
      </c>
      <c r="H366" s="203">
        <v>78000</v>
      </c>
      <c r="I366" s="204"/>
      <c r="J366" s="205">
        <f t="shared" ref="J366:J422" si="79">+I366*H366</f>
        <v>0</v>
      </c>
      <c r="K366" s="205">
        <f t="shared" si="77"/>
        <v>0</v>
      </c>
      <c r="L366" s="430">
        <f t="shared" si="78"/>
        <v>0</v>
      </c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 spans="1:26" ht="14.4">
      <c r="A367" s="427"/>
      <c r="B367" s="428" t="s">
        <v>461</v>
      </c>
      <c r="C367" s="431"/>
      <c r="D367" s="321"/>
      <c r="E367" s="321"/>
      <c r="F367" s="429">
        <f t="shared" si="75"/>
        <v>0</v>
      </c>
      <c r="G367" s="203">
        <v>156500</v>
      </c>
      <c r="H367" s="203">
        <v>160000</v>
      </c>
      <c r="I367" s="204"/>
      <c r="J367" s="205">
        <f t="shared" si="79"/>
        <v>0</v>
      </c>
      <c r="K367" s="205">
        <f t="shared" si="77"/>
        <v>0</v>
      </c>
      <c r="L367" s="430">
        <f t="shared" si="78"/>
        <v>0</v>
      </c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 spans="1:26" ht="14.4">
      <c r="A368" s="427"/>
      <c r="B368" s="428" t="s">
        <v>462</v>
      </c>
      <c r="C368" s="431">
        <v>3</v>
      </c>
      <c r="D368" s="321"/>
      <c r="E368" s="321"/>
      <c r="F368" s="429">
        <f t="shared" si="75"/>
        <v>3</v>
      </c>
      <c r="G368" s="203">
        <v>124500</v>
      </c>
      <c r="H368" s="203">
        <v>127000</v>
      </c>
      <c r="I368" s="204"/>
      <c r="J368" s="205">
        <f t="shared" si="79"/>
        <v>0</v>
      </c>
      <c r="K368" s="205">
        <f t="shared" si="77"/>
        <v>0</v>
      </c>
      <c r="L368" s="430">
        <f t="shared" si="78"/>
        <v>373500</v>
      </c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 spans="1:26" ht="14.4">
      <c r="A369" s="427"/>
      <c r="B369" s="428" t="s">
        <v>463</v>
      </c>
      <c r="C369" s="431">
        <v>0</v>
      </c>
      <c r="D369" s="321"/>
      <c r="E369" s="321"/>
      <c r="F369" s="429">
        <f t="shared" si="75"/>
        <v>0</v>
      </c>
      <c r="G369" s="203">
        <v>74300</v>
      </c>
      <c r="H369" s="203">
        <v>78000</v>
      </c>
      <c r="I369" s="204"/>
      <c r="J369" s="205">
        <f t="shared" si="79"/>
        <v>0</v>
      </c>
      <c r="K369" s="205">
        <f t="shared" si="77"/>
        <v>0</v>
      </c>
      <c r="L369" s="430">
        <f t="shared" si="78"/>
        <v>0</v>
      </c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 spans="1:26" ht="14.4">
      <c r="A370" s="427"/>
      <c r="B370" s="428" t="s">
        <v>665</v>
      </c>
      <c r="C370" s="431">
        <v>2</v>
      </c>
      <c r="D370" s="321"/>
      <c r="E370" s="321"/>
      <c r="F370" s="429">
        <f t="shared" si="75"/>
        <v>2</v>
      </c>
      <c r="G370" s="203">
        <v>55000</v>
      </c>
      <c r="H370" s="203">
        <v>60000</v>
      </c>
      <c r="I370" s="204"/>
      <c r="J370" s="205">
        <f t="shared" si="79"/>
        <v>0</v>
      </c>
      <c r="K370" s="205">
        <f t="shared" si="77"/>
        <v>0</v>
      </c>
      <c r="L370" s="430">
        <f t="shared" si="78"/>
        <v>110000</v>
      </c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 spans="1:26" ht="14.4">
      <c r="A371" s="427"/>
      <c r="B371" s="428" t="s">
        <v>465</v>
      </c>
      <c r="C371" s="431">
        <v>2</v>
      </c>
      <c r="D371" s="321"/>
      <c r="E371" s="321"/>
      <c r="F371" s="429">
        <f t="shared" si="75"/>
        <v>2</v>
      </c>
      <c r="G371" s="203">
        <v>47725</v>
      </c>
      <c r="H371" s="203">
        <v>53000</v>
      </c>
      <c r="I371" s="204"/>
      <c r="J371" s="205">
        <f t="shared" si="79"/>
        <v>0</v>
      </c>
      <c r="K371" s="205">
        <f t="shared" si="77"/>
        <v>0</v>
      </c>
      <c r="L371" s="430">
        <f t="shared" si="78"/>
        <v>95450</v>
      </c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 spans="1:26" ht="14.4">
      <c r="A372" s="427"/>
      <c r="B372" s="428" t="s">
        <v>466</v>
      </c>
      <c r="C372" s="431">
        <v>2</v>
      </c>
      <c r="D372" s="321"/>
      <c r="E372" s="321"/>
      <c r="F372" s="429">
        <f t="shared" si="75"/>
        <v>2</v>
      </c>
      <c r="G372" s="203">
        <v>25888</v>
      </c>
      <c r="H372" s="203">
        <v>28500</v>
      </c>
      <c r="I372" s="204"/>
      <c r="J372" s="205">
        <f t="shared" si="79"/>
        <v>0</v>
      </c>
      <c r="K372" s="205">
        <f t="shared" si="77"/>
        <v>0</v>
      </c>
      <c r="L372" s="430">
        <f t="shared" si="78"/>
        <v>51776</v>
      </c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 spans="1:26" ht="14.4">
      <c r="A373" s="427"/>
      <c r="B373" s="428" t="s">
        <v>467</v>
      </c>
      <c r="C373" s="431">
        <v>1</v>
      </c>
      <c r="D373" s="321"/>
      <c r="E373" s="321"/>
      <c r="F373" s="429">
        <f t="shared" si="75"/>
        <v>1</v>
      </c>
      <c r="G373" s="203">
        <v>158300</v>
      </c>
      <c r="H373" s="203">
        <v>167000</v>
      </c>
      <c r="I373" s="204"/>
      <c r="J373" s="205">
        <f t="shared" si="79"/>
        <v>0</v>
      </c>
      <c r="K373" s="205">
        <f t="shared" si="77"/>
        <v>0</v>
      </c>
      <c r="L373" s="430">
        <f t="shared" si="78"/>
        <v>158300</v>
      </c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 spans="1:26" ht="14.4">
      <c r="A374" s="427"/>
      <c r="B374" s="428" t="s">
        <v>468</v>
      </c>
      <c r="C374" s="431">
        <v>3</v>
      </c>
      <c r="D374" s="321"/>
      <c r="E374" s="321"/>
      <c r="F374" s="429">
        <f t="shared" si="75"/>
        <v>3</v>
      </c>
      <c r="G374" s="203">
        <v>129000</v>
      </c>
      <c r="H374" s="203">
        <v>136000</v>
      </c>
      <c r="I374" s="204"/>
      <c r="J374" s="205">
        <f t="shared" si="79"/>
        <v>0</v>
      </c>
      <c r="K374" s="205">
        <f t="shared" si="77"/>
        <v>0</v>
      </c>
      <c r="L374" s="430">
        <f t="shared" si="78"/>
        <v>387000</v>
      </c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 spans="1:26" ht="14.4">
      <c r="A375" s="427"/>
      <c r="B375" s="428" t="s">
        <v>469</v>
      </c>
      <c r="C375" s="431">
        <v>3</v>
      </c>
      <c r="D375" s="321"/>
      <c r="E375" s="321"/>
      <c r="F375" s="429">
        <f t="shared" si="75"/>
        <v>3</v>
      </c>
      <c r="G375" s="203">
        <v>129000</v>
      </c>
      <c r="H375" s="203">
        <v>131000</v>
      </c>
      <c r="I375" s="204"/>
      <c r="J375" s="205">
        <f t="shared" si="79"/>
        <v>0</v>
      </c>
      <c r="K375" s="205">
        <f t="shared" si="77"/>
        <v>0</v>
      </c>
      <c r="L375" s="430">
        <f t="shared" si="78"/>
        <v>387000</v>
      </c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 spans="1:26" ht="14.4">
      <c r="A376" s="427"/>
      <c r="B376" s="428" t="s">
        <v>470</v>
      </c>
      <c r="C376" s="431">
        <v>3</v>
      </c>
      <c r="D376" s="321"/>
      <c r="E376" s="321"/>
      <c r="F376" s="429">
        <f t="shared" si="75"/>
        <v>3</v>
      </c>
      <c r="G376" s="203">
        <v>129068</v>
      </c>
      <c r="H376" s="203">
        <v>131000</v>
      </c>
      <c r="I376" s="204"/>
      <c r="J376" s="205">
        <f t="shared" si="79"/>
        <v>0</v>
      </c>
      <c r="K376" s="205">
        <f t="shared" si="77"/>
        <v>0</v>
      </c>
      <c r="L376" s="430">
        <f t="shared" si="78"/>
        <v>387204</v>
      </c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 spans="1:26" ht="14.4">
      <c r="A377" s="427"/>
      <c r="B377" s="428" t="s">
        <v>471</v>
      </c>
      <c r="C377" s="431">
        <v>4</v>
      </c>
      <c r="D377" s="321"/>
      <c r="E377" s="321"/>
      <c r="F377" s="429">
        <f t="shared" si="75"/>
        <v>4</v>
      </c>
      <c r="G377" s="203">
        <v>128936</v>
      </c>
      <c r="H377" s="203">
        <v>131000</v>
      </c>
      <c r="I377" s="204"/>
      <c r="J377" s="205">
        <f t="shared" si="79"/>
        <v>0</v>
      </c>
      <c r="K377" s="205">
        <f t="shared" si="77"/>
        <v>0</v>
      </c>
      <c r="L377" s="430">
        <f t="shared" si="78"/>
        <v>515744</v>
      </c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 spans="1:26" ht="14.4">
      <c r="A378" s="427"/>
      <c r="B378" s="428" t="s">
        <v>472</v>
      </c>
      <c r="C378" s="431">
        <v>4</v>
      </c>
      <c r="D378" s="321"/>
      <c r="E378" s="321"/>
      <c r="F378" s="429">
        <f t="shared" si="75"/>
        <v>4</v>
      </c>
      <c r="G378" s="203">
        <v>69344</v>
      </c>
      <c r="H378" s="203">
        <v>78000</v>
      </c>
      <c r="I378" s="204"/>
      <c r="J378" s="205">
        <f t="shared" si="79"/>
        <v>0</v>
      </c>
      <c r="K378" s="205">
        <f t="shared" si="77"/>
        <v>0</v>
      </c>
      <c r="L378" s="430">
        <f t="shared" si="78"/>
        <v>277376</v>
      </c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 spans="1:26" ht="14.4">
      <c r="A379" s="427"/>
      <c r="B379" s="428" t="s">
        <v>666</v>
      </c>
      <c r="C379" s="431">
        <v>1</v>
      </c>
      <c r="D379" s="321"/>
      <c r="E379" s="321"/>
      <c r="F379" s="429">
        <f t="shared" si="75"/>
        <v>1</v>
      </c>
      <c r="G379" s="203">
        <v>72000</v>
      </c>
      <c r="H379" s="203">
        <v>78000</v>
      </c>
      <c r="I379" s="204"/>
      <c r="J379" s="205">
        <f t="shared" si="79"/>
        <v>0</v>
      </c>
      <c r="K379" s="205">
        <f t="shared" si="77"/>
        <v>0</v>
      </c>
      <c r="L379" s="430">
        <f t="shared" si="78"/>
        <v>72000</v>
      </c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 spans="1:26" ht="14.4">
      <c r="A380" s="427"/>
      <c r="B380" s="428" t="s">
        <v>473</v>
      </c>
      <c r="C380" s="431">
        <v>5</v>
      </c>
      <c r="D380" s="321"/>
      <c r="E380" s="321"/>
      <c r="F380" s="429">
        <f t="shared" si="75"/>
        <v>5</v>
      </c>
      <c r="G380" s="203">
        <v>16500</v>
      </c>
      <c r="H380" s="203">
        <v>19000</v>
      </c>
      <c r="I380" s="204"/>
      <c r="J380" s="205">
        <f t="shared" si="79"/>
        <v>0</v>
      </c>
      <c r="K380" s="205">
        <f t="shared" si="77"/>
        <v>0</v>
      </c>
      <c r="L380" s="430">
        <f t="shared" si="78"/>
        <v>82500</v>
      </c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 spans="1:26" ht="14.4">
      <c r="A381" s="427"/>
      <c r="B381" s="428" t="s">
        <v>474</v>
      </c>
      <c r="C381" s="431">
        <v>2</v>
      </c>
      <c r="D381" s="321"/>
      <c r="E381" s="321"/>
      <c r="F381" s="429">
        <f t="shared" si="75"/>
        <v>2</v>
      </c>
      <c r="G381" s="203">
        <v>71500</v>
      </c>
      <c r="H381" s="203">
        <v>75500</v>
      </c>
      <c r="I381" s="204"/>
      <c r="J381" s="205">
        <f t="shared" si="79"/>
        <v>0</v>
      </c>
      <c r="K381" s="205">
        <f t="shared" si="77"/>
        <v>0</v>
      </c>
      <c r="L381" s="430">
        <f t="shared" si="78"/>
        <v>143000</v>
      </c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 spans="1:26" ht="14.4">
      <c r="A382" s="427"/>
      <c r="B382" s="428" t="s">
        <v>475</v>
      </c>
      <c r="C382" s="431">
        <v>3</v>
      </c>
      <c r="D382" s="321"/>
      <c r="E382" s="321"/>
      <c r="F382" s="429">
        <f t="shared" si="75"/>
        <v>3</v>
      </c>
      <c r="G382" s="203">
        <v>61227</v>
      </c>
      <c r="H382" s="203">
        <v>65000</v>
      </c>
      <c r="I382" s="204"/>
      <c r="J382" s="205">
        <f t="shared" si="79"/>
        <v>0</v>
      </c>
      <c r="K382" s="205">
        <f t="shared" si="77"/>
        <v>0</v>
      </c>
      <c r="L382" s="430">
        <f t="shared" si="78"/>
        <v>183681</v>
      </c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 spans="1:26" ht="14.4">
      <c r="A383" s="427"/>
      <c r="B383" s="428" t="s">
        <v>476</v>
      </c>
      <c r="C383" s="321"/>
      <c r="D383" s="321"/>
      <c r="E383" s="321"/>
      <c r="F383" s="429">
        <f t="shared" si="75"/>
        <v>0</v>
      </c>
      <c r="G383" s="203">
        <v>30000</v>
      </c>
      <c r="H383" s="203">
        <v>33000</v>
      </c>
      <c r="I383" s="204"/>
      <c r="J383" s="205">
        <f t="shared" si="79"/>
        <v>0</v>
      </c>
      <c r="K383" s="205">
        <f t="shared" si="77"/>
        <v>0</v>
      </c>
      <c r="L383" s="430">
        <f t="shared" si="78"/>
        <v>0</v>
      </c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 spans="1:26" ht="14.4">
      <c r="A384" s="427"/>
      <c r="B384" s="428" t="s">
        <v>477</v>
      </c>
      <c r="C384" s="321">
        <v>4</v>
      </c>
      <c r="D384" s="321"/>
      <c r="E384" s="321"/>
      <c r="F384" s="429">
        <f t="shared" si="75"/>
        <v>4</v>
      </c>
      <c r="G384" s="203">
        <v>18100</v>
      </c>
      <c r="H384" s="203">
        <v>20000</v>
      </c>
      <c r="I384" s="204"/>
      <c r="J384" s="205">
        <f t="shared" si="79"/>
        <v>0</v>
      </c>
      <c r="K384" s="205">
        <f t="shared" si="77"/>
        <v>0</v>
      </c>
      <c r="L384" s="430">
        <f t="shared" si="78"/>
        <v>72400</v>
      </c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 spans="1:26" ht="14.4">
      <c r="A385" s="427"/>
      <c r="B385" s="428" t="s">
        <v>478</v>
      </c>
      <c r="C385" s="431">
        <v>2</v>
      </c>
      <c r="D385" s="321"/>
      <c r="E385" s="321"/>
      <c r="F385" s="429">
        <f t="shared" si="75"/>
        <v>2</v>
      </c>
      <c r="G385" s="203">
        <v>67624</v>
      </c>
      <c r="H385" s="203">
        <v>72000</v>
      </c>
      <c r="I385" s="204"/>
      <c r="J385" s="205">
        <f t="shared" si="79"/>
        <v>0</v>
      </c>
      <c r="K385" s="205">
        <f t="shared" si="77"/>
        <v>0</v>
      </c>
      <c r="L385" s="430">
        <f t="shared" si="78"/>
        <v>135248</v>
      </c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 spans="1:26" ht="14.4">
      <c r="A386" s="427"/>
      <c r="B386" s="428" t="s">
        <v>479</v>
      </c>
      <c r="C386" s="431"/>
      <c r="D386" s="321"/>
      <c r="E386" s="321"/>
      <c r="F386" s="429">
        <f t="shared" si="75"/>
        <v>0</v>
      </c>
      <c r="G386" s="203">
        <v>90000</v>
      </c>
      <c r="H386" s="203">
        <v>99000</v>
      </c>
      <c r="I386" s="204"/>
      <c r="J386" s="205">
        <f t="shared" si="79"/>
        <v>0</v>
      </c>
      <c r="K386" s="205">
        <f t="shared" si="77"/>
        <v>0</v>
      </c>
      <c r="L386" s="430">
        <f t="shared" si="78"/>
        <v>0</v>
      </c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 spans="1:26" ht="14.4">
      <c r="A387" s="427"/>
      <c r="B387" s="428" t="s">
        <v>480</v>
      </c>
      <c r="C387" s="321">
        <v>3</v>
      </c>
      <c r="D387" s="321"/>
      <c r="E387" s="321"/>
      <c r="F387" s="429">
        <f t="shared" si="75"/>
        <v>3</v>
      </c>
      <c r="G387" s="203">
        <v>50092</v>
      </c>
      <c r="H387" s="203">
        <v>55000</v>
      </c>
      <c r="I387" s="204"/>
      <c r="J387" s="205">
        <f t="shared" si="79"/>
        <v>0</v>
      </c>
      <c r="K387" s="205">
        <f t="shared" si="77"/>
        <v>0</v>
      </c>
      <c r="L387" s="430">
        <f t="shared" si="78"/>
        <v>150276</v>
      </c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 spans="1:26" ht="14.4">
      <c r="A388" s="427"/>
      <c r="B388" s="428" t="s">
        <v>481</v>
      </c>
      <c r="C388" s="431">
        <v>3</v>
      </c>
      <c r="D388" s="321"/>
      <c r="E388" s="321"/>
      <c r="F388" s="429">
        <f t="shared" si="75"/>
        <v>3</v>
      </c>
      <c r="G388" s="203">
        <v>27239</v>
      </c>
      <c r="H388" s="203">
        <v>30000</v>
      </c>
      <c r="I388" s="204"/>
      <c r="J388" s="205">
        <f t="shared" si="79"/>
        <v>0</v>
      </c>
      <c r="K388" s="205">
        <f t="shared" si="77"/>
        <v>0</v>
      </c>
      <c r="L388" s="430">
        <f t="shared" si="78"/>
        <v>81717</v>
      </c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 spans="1:26" ht="14.4">
      <c r="A389" s="427"/>
      <c r="B389" s="428" t="s">
        <v>482</v>
      </c>
      <c r="C389" s="431">
        <v>0</v>
      </c>
      <c r="D389" s="321"/>
      <c r="E389" s="321"/>
      <c r="F389" s="429">
        <f t="shared" si="75"/>
        <v>0</v>
      </c>
      <c r="G389" s="203">
        <v>13838</v>
      </c>
      <c r="H389" s="203">
        <v>16000</v>
      </c>
      <c r="I389" s="204"/>
      <c r="J389" s="205">
        <f t="shared" si="79"/>
        <v>0</v>
      </c>
      <c r="K389" s="205">
        <f t="shared" si="77"/>
        <v>0</v>
      </c>
      <c r="L389" s="430">
        <f t="shared" si="78"/>
        <v>0</v>
      </c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 spans="1:26" ht="14.4">
      <c r="A390" s="427"/>
      <c r="B390" s="428" t="s">
        <v>483</v>
      </c>
      <c r="C390" s="321">
        <v>3</v>
      </c>
      <c r="D390" s="321"/>
      <c r="E390" s="321"/>
      <c r="F390" s="429">
        <f t="shared" si="75"/>
        <v>3</v>
      </c>
      <c r="G390" s="203">
        <v>79800</v>
      </c>
      <c r="H390" s="203">
        <v>84000</v>
      </c>
      <c r="I390" s="204"/>
      <c r="J390" s="205">
        <f t="shared" si="79"/>
        <v>0</v>
      </c>
      <c r="K390" s="205">
        <f t="shared" si="77"/>
        <v>0</v>
      </c>
      <c r="L390" s="430">
        <f t="shared" si="78"/>
        <v>239400</v>
      </c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 spans="1:26" ht="14.4">
      <c r="A391" s="427"/>
      <c r="B391" s="428" t="s">
        <v>484</v>
      </c>
      <c r="C391" s="431">
        <v>2</v>
      </c>
      <c r="D391" s="321"/>
      <c r="E391" s="321"/>
      <c r="F391" s="429">
        <f t="shared" si="75"/>
        <v>2</v>
      </c>
      <c r="G391" s="203">
        <v>60000</v>
      </c>
      <c r="H391" s="203">
        <v>65000</v>
      </c>
      <c r="I391" s="204"/>
      <c r="J391" s="205">
        <f t="shared" si="79"/>
        <v>0</v>
      </c>
      <c r="K391" s="205">
        <f t="shared" si="77"/>
        <v>0</v>
      </c>
      <c r="L391" s="430">
        <f t="shared" si="78"/>
        <v>120000</v>
      </c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 spans="1:26" ht="14.4">
      <c r="A392" s="427"/>
      <c r="B392" s="428" t="s">
        <v>485</v>
      </c>
      <c r="C392" s="431">
        <v>2</v>
      </c>
      <c r="D392" s="321"/>
      <c r="E392" s="321"/>
      <c r="F392" s="429">
        <f t="shared" si="75"/>
        <v>2</v>
      </c>
      <c r="G392" s="203">
        <v>38000</v>
      </c>
      <c r="H392" s="203">
        <v>41000</v>
      </c>
      <c r="I392" s="204"/>
      <c r="J392" s="205">
        <f t="shared" si="79"/>
        <v>0</v>
      </c>
      <c r="K392" s="205">
        <f t="shared" si="77"/>
        <v>0</v>
      </c>
      <c r="L392" s="430">
        <f t="shared" si="78"/>
        <v>76000</v>
      </c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 spans="1:26" ht="14.4">
      <c r="A393" s="427"/>
      <c r="B393" s="428" t="s">
        <v>486</v>
      </c>
      <c r="C393" s="431">
        <v>2</v>
      </c>
      <c r="D393" s="321"/>
      <c r="E393" s="321"/>
      <c r="F393" s="429">
        <f t="shared" si="75"/>
        <v>2</v>
      </c>
      <c r="G393" s="203">
        <v>19000</v>
      </c>
      <c r="H393" s="203">
        <v>22000</v>
      </c>
      <c r="I393" s="204"/>
      <c r="J393" s="205">
        <f t="shared" si="79"/>
        <v>0</v>
      </c>
      <c r="K393" s="205">
        <f t="shared" si="77"/>
        <v>0</v>
      </c>
      <c r="L393" s="430">
        <f t="shared" si="78"/>
        <v>38000</v>
      </c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 spans="1:26" ht="14.4">
      <c r="A394" s="427"/>
      <c r="B394" s="428" t="s">
        <v>487</v>
      </c>
      <c r="C394" s="431">
        <v>0</v>
      </c>
      <c r="D394" s="321"/>
      <c r="E394" s="321"/>
      <c r="F394" s="429">
        <f t="shared" si="75"/>
        <v>0</v>
      </c>
      <c r="G394" s="203">
        <v>59500</v>
      </c>
      <c r="H394" s="203">
        <v>63000</v>
      </c>
      <c r="I394" s="204"/>
      <c r="J394" s="205">
        <f t="shared" si="79"/>
        <v>0</v>
      </c>
      <c r="K394" s="205">
        <f t="shared" si="77"/>
        <v>0</v>
      </c>
      <c r="L394" s="430">
        <f t="shared" si="78"/>
        <v>0</v>
      </c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 spans="1:26" ht="14.4">
      <c r="A395" s="427"/>
      <c r="B395" s="428" t="s">
        <v>488</v>
      </c>
      <c r="C395" s="431">
        <v>3</v>
      </c>
      <c r="D395" s="321"/>
      <c r="E395" s="321"/>
      <c r="F395" s="429">
        <f t="shared" si="75"/>
        <v>3</v>
      </c>
      <c r="G395" s="203">
        <v>44800</v>
      </c>
      <c r="H395" s="203">
        <v>48000</v>
      </c>
      <c r="I395" s="204"/>
      <c r="J395" s="205">
        <f t="shared" si="79"/>
        <v>0</v>
      </c>
      <c r="K395" s="205">
        <f t="shared" si="77"/>
        <v>0</v>
      </c>
      <c r="L395" s="430">
        <f t="shared" si="78"/>
        <v>134400</v>
      </c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 spans="1:26" ht="14.4">
      <c r="A396" s="427"/>
      <c r="B396" s="428" t="s">
        <v>489</v>
      </c>
      <c r="C396" s="431"/>
      <c r="D396" s="321"/>
      <c r="E396" s="321"/>
      <c r="F396" s="429">
        <f t="shared" si="75"/>
        <v>0</v>
      </c>
      <c r="G396" s="203">
        <v>26800</v>
      </c>
      <c r="H396" s="203">
        <v>30000</v>
      </c>
      <c r="I396" s="204"/>
      <c r="J396" s="205">
        <f t="shared" si="79"/>
        <v>0</v>
      </c>
      <c r="K396" s="205">
        <f t="shared" si="77"/>
        <v>0</v>
      </c>
      <c r="L396" s="430">
        <f t="shared" si="78"/>
        <v>0</v>
      </c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 spans="1:26" ht="14.4">
      <c r="A397" s="427"/>
      <c r="B397" s="428" t="s">
        <v>490</v>
      </c>
      <c r="C397" s="431">
        <v>3</v>
      </c>
      <c r="D397" s="321"/>
      <c r="E397" s="321"/>
      <c r="F397" s="429">
        <f t="shared" si="75"/>
        <v>3</v>
      </c>
      <c r="G397" s="203">
        <v>13000</v>
      </c>
      <c r="H397" s="203">
        <v>15000</v>
      </c>
      <c r="I397" s="204"/>
      <c r="J397" s="205">
        <f t="shared" si="79"/>
        <v>0</v>
      </c>
      <c r="K397" s="205">
        <f t="shared" si="77"/>
        <v>0</v>
      </c>
      <c r="L397" s="430">
        <f t="shared" si="78"/>
        <v>39000</v>
      </c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 spans="1:26" ht="14.4">
      <c r="A398" s="427"/>
      <c r="B398" s="428" t="s">
        <v>491</v>
      </c>
      <c r="C398" s="431">
        <v>4</v>
      </c>
      <c r="D398" s="321"/>
      <c r="E398" s="321"/>
      <c r="F398" s="429">
        <f t="shared" si="75"/>
        <v>4</v>
      </c>
      <c r="G398" s="203">
        <v>39200</v>
      </c>
      <c r="H398" s="203">
        <v>45000</v>
      </c>
      <c r="I398" s="204"/>
      <c r="J398" s="205">
        <f t="shared" si="79"/>
        <v>0</v>
      </c>
      <c r="K398" s="205">
        <f t="shared" si="77"/>
        <v>0</v>
      </c>
      <c r="L398" s="430">
        <f t="shared" si="78"/>
        <v>156800</v>
      </c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 spans="1:26" ht="14.4">
      <c r="A399" s="427"/>
      <c r="B399" s="428" t="s">
        <v>492</v>
      </c>
      <c r="C399" s="431">
        <v>63</v>
      </c>
      <c r="D399" s="321"/>
      <c r="E399" s="321"/>
      <c r="F399" s="429">
        <f t="shared" si="75"/>
        <v>63</v>
      </c>
      <c r="G399" s="203">
        <v>43500</v>
      </c>
      <c r="H399" s="203">
        <v>45000</v>
      </c>
      <c r="I399" s="204"/>
      <c r="J399" s="205">
        <f t="shared" si="79"/>
        <v>0</v>
      </c>
      <c r="K399" s="205">
        <f t="shared" si="77"/>
        <v>0</v>
      </c>
      <c r="L399" s="430">
        <f t="shared" si="78"/>
        <v>2740500</v>
      </c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 spans="1:26" ht="14.4">
      <c r="A400" s="427"/>
      <c r="B400" s="428" t="s">
        <v>493</v>
      </c>
      <c r="C400" s="431">
        <v>4</v>
      </c>
      <c r="D400" s="321"/>
      <c r="E400" s="321"/>
      <c r="F400" s="429">
        <f t="shared" si="75"/>
        <v>4</v>
      </c>
      <c r="G400" s="203">
        <v>23100</v>
      </c>
      <c r="H400" s="203">
        <v>25000</v>
      </c>
      <c r="I400" s="204"/>
      <c r="J400" s="205">
        <f t="shared" si="79"/>
        <v>0</v>
      </c>
      <c r="K400" s="205">
        <f t="shared" si="77"/>
        <v>0</v>
      </c>
      <c r="L400" s="430">
        <f t="shared" si="78"/>
        <v>92400</v>
      </c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 spans="1:26" ht="14.4">
      <c r="A401" s="427"/>
      <c r="B401" s="428" t="s">
        <v>494</v>
      </c>
      <c r="C401" s="431"/>
      <c r="D401" s="321"/>
      <c r="E401" s="321"/>
      <c r="F401" s="429">
        <f t="shared" si="75"/>
        <v>0</v>
      </c>
      <c r="G401" s="203">
        <v>25400</v>
      </c>
      <c r="H401" s="203">
        <v>27000</v>
      </c>
      <c r="I401" s="204"/>
      <c r="J401" s="205">
        <f t="shared" si="79"/>
        <v>0</v>
      </c>
      <c r="K401" s="205">
        <f t="shared" si="77"/>
        <v>0</v>
      </c>
      <c r="L401" s="430">
        <f t="shared" si="78"/>
        <v>0</v>
      </c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 spans="1:26" ht="14.4">
      <c r="A402" s="427"/>
      <c r="B402" s="428" t="s">
        <v>495</v>
      </c>
      <c r="C402" s="431">
        <v>0</v>
      </c>
      <c r="D402" s="321"/>
      <c r="E402" s="321"/>
      <c r="F402" s="429">
        <f t="shared" si="75"/>
        <v>0</v>
      </c>
      <c r="G402" s="203">
        <v>47400</v>
      </c>
      <c r="H402" s="203">
        <v>48000</v>
      </c>
      <c r="I402" s="204"/>
      <c r="J402" s="205">
        <f t="shared" si="79"/>
        <v>0</v>
      </c>
      <c r="K402" s="205">
        <f t="shared" si="77"/>
        <v>0</v>
      </c>
      <c r="L402" s="430">
        <f t="shared" si="78"/>
        <v>0</v>
      </c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 spans="1:26" ht="14.4">
      <c r="A403" s="427"/>
      <c r="B403" s="428" t="s">
        <v>496</v>
      </c>
      <c r="C403" s="431">
        <v>2</v>
      </c>
      <c r="D403" s="321"/>
      <c r="E403" s="321"/>
      <c r="F403" s="429">
        <f t="shared" si="75"/>
        <v>2</v>
      </c>
      <c r="G403" s="203">
        <v>93900</v>
      </c>
      <c r="H403" s="203">
        <v>98000</v>
      </c>
      <c r="I403" s="204"/>
      <c r="J403" s="205">
        <f t="shared" si="79"/>
        <v>0</v>
      </c>
      <c r="K403" s="205">
        <f t="shared" si="77"/>
        <v>0</v>
      </c>
      <c r="L403" s="430">
        <f t="shared" si="78"/>
        <v>187800</v>
      </c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 spans="1:26" ht="14.4">
      <c r="A404" s="427"/>
      <c r="B404" s="428" t="s">
        <v>497</v>
      </c>
      <c r="C404" s="431">
        <v>1</v>
      </c>
      <c r="D404" s="321"/>
      <c r="E404" s="321"/>
      <c r="F404" s="429">
        <f t="shared" si="75"/>
        <v>1</v>
      </c>
      <c r="G404" s="203">
        <v>45400</v>
      </c>
      <c r="H404" s="203">
        <v>50000</v>
      </c>
      <c r="I404" s="204"/>
      <c r="J404" s="205">
        <f t="shared" si="79"/>
        <v>0</v>
      </c>
      <c r="K404" s="205">
        <f t="shared" si="77"/>
        <v>0</v>
      </c>
      <c r="L404" s="430">
        <f t="shared" si="78"/>
        <v>45400</v>
      </c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 spans="1:26" ht="14.4">
      <c r="A405" s="427"/>
      <c r="B405" s="428" t="s">
        <v>498</v>
      </c>
      <c r="C405" s="431">
        <v>1</v>
      </c>
      <c r="D405" s="321"/>
      <c r="E405" s="321"/>
      <c r="F405" s="429">
        <f t="shared" si="75"/>
        <v>1</v>
      </c>
      <c r="G405" s="203">
        <v>42800</v>
      </c>
      <c r="H405" s="203">
        <v>46000</v>
      </c>
      <c r="I405" s="204"/>
      <c r="J405" s="205">
        <f t="shared" si="79"/>
        <v>0</v>
      </c>
      <c r="K405" s="205">
        <f t="shared" si="77"/>
        <v>0</v>
      </c>
      <c r="L405" s="430">
        <f t="shared" si="78"/>
        <v>42800</v>
      </c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 spans="1:26" ht="14.4">
      <c r="A406" s="427"/>
      <c r="B406" s="428" t="s">
        <v>499</v>
      </c>
      <c r="C406" s="431">
        <v>1</v>
      </c>
      <c r="D406" s="321"/>
      <c r="E406" s="321"/>
      <c r="F406" s="429">
        <f t="shared" si="75"/>
        <v>1</v>
      </c>
      <c r="G406" s="203">
        <v>28000</v>
      </c>
      <c r="H406" s="203">
        <v>30000</v>
      </c>
      <c r="I406" s="204"/>
      <c r="J406" s="205">
        <f t="shared" si="79"/>
        <v>0</v>
      </c>
      <c r="K406" s="205">
        <f t="shared" si="77"/>
        <v>0</v>
      </c>
      <c r="L406" s="430">
        <f t="shared" si="78"/>
        <v>28000</v>
      </c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 spans="1:26" ht="14.4">
      <c r="A407" s="427"/>
      <c r="B407" s="428" t="s">
        <v>500</v>
      </c>
      <c r="C407" s="431">
        <v>3</v>
      </c>
      <c r="D407" s="321"/>
      <c r="E407" s="321"/>
      <c r="F407" s="429">
        <f t="shared" si="75"/>
        <v>3</v>
      </c>
      <c r="G407" s="203">
        <v>34400</v>
      </c>
      <c r="H407" s="203">
        <v>37000</v>
      </c>
      <c r="I407" s="204"/>
      <c r="J407" s="205">
        <f t="shared" si="79"/>
        <v>0</v>
      </c>
      <c r="K407" s="205">
        <f t="shared" si="77"/>
        <v>0</v>
      </c>
      <c r="L407" s="430">
        <f t="shared" si="78"/>
        <v>103200</v>
      </c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 spans="1:26" ht="14.4">
      <c r="A408" s="427"/>
      <c r="B408" s="428" t="s">
        <v>501</v>
      </c>
      <c r="C408" s="431">
        <v>6</v>
      </c>
      <c r="D408" s="321"/>
      <c r="E408" s="321"/>
      <c r="F408" s="429">
        <f t="shared" si="75"/>
        <v>6</v>
      </c>
      <c r="G408" s="203">
        <v>148207</v>
      </c>
      <c r="H408" s="203">
        <v>135000</v>
      </c>
      <c r="I408" s="204"/>
      <c r="J408" s="205">
        <f t="shared" si="79"/>
        <v>0</v>
      </c>
      <c r="K408" s="205">
        <f t="shared" si="77"/>
        <v>0</v>
      </c>
      <c r="L408" s="430">
        <f t="shared" si="78"/>
        <v>889242</v>
      </c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 spans="1:26" ht="14.4">
      <c r="A409" s="427"/>
      <c r="B409" s="428" t="s">
        <v>502</v>
      </c>
      <c r="C409" s="321">
        <v>6</v>
      </c>
      <c r="D409" s="321"/>
      <c r="E409" s="321"/>
      <c r="F409" s="429">
        <f t="shared" si="75"/>
        <v>6</v>
      </c>
      <c r="G409" s="203">
        <v>87472</v>
      </c>
      <c r="H409" s="203">
        <v>84000</v>
      </c>
      <c r="I409" s="213"/>
      <c r="J409" s="205">
        <f t="shared" si="79"/>
        <v>0</v>
      </c>
      <c r="K409" s="205">
        <f t="shared" si="77"/>
        <v>0</v>
      </c>
      <c r="L409" s="430">
        <f t="shared" si="78"/>
        <v>524832</v>
      </c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 spans="1:26" ht="14.4">
      <c r="A410" s="427"/>
      <c r="B410" s="428" t="s">
        <v>503</v>
      </c>
      <c r="C410" s="431">
        <v>12</v>
      </c>
      <c r="D410" s="321"/>
      <c r="E410" s="321"/>
      <c r="F410" s="429">
        <f t="shared" si="75"/>
        <v>12</v>
      </c>
      <c r="G410" s="203">
        <v>65456</v>
      </c>
      <c r="H410" s="432">
        <v>63000</v>
      </c>
      <c r="I410" s="433"/>
      <c r="J410" s="205">
        <f t="shared" si="79"/>
        <v>0</v>
      </c>
      <c r="K410" s="205">
        <f t="shared" si="77"/>
        <v>0</v>
      </c>
      <c r="L410" s="430">
        <f t="shared" si="78"/>
        <v>785472</v>
      </c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 spans="1:26" ht="14.4">
      <c r="A411" s="427"/>
      <c r="B411" s="428" t="s">
        <v>504</v>
      </c>
      <c r="C411" s="431">
        <v>3</v>
      </c>
      <c r="D411" s="321"/>
      <c r="E411" s="321"/>
      <c r="F411" s="429">
        <f t="shared" si="75"/>
        <v>3</v>
      </c>
      <c r="G411" s="203">
        <v>36476</v>
      </c>
      <c r="H411" s="203">
        <v>34000</v>
      </c>
      <c r="I411" s="224"/>
      <c r="J411" s="205">
        <f t="shared" si="79"/>
        <v>0</v>
      </c>
      <c r="K411" s="205">
        <f t="shared" si="77"/>
        <v>0</v>
      </c>
      <c r="L411" s="430">
        <f t="shared" si="78"/>
        <v>109428</v>
      </c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 spans="1:26" ht="14.4">
      <c r="A412" s="427"/>
      <c r="B412" s="428" t="s">
        <v>505</v>
      </c>
      <c r="C412" s="431">
        <v>5</v>
      </c>
      <c r="D412" s="321"/>
      <c r="E412" s="321"/>
      <c r="F412" s="429">
        <f t="shared" si="75"/>
        <v>5</v>
      </c>
      <c r="G412" s="203">
        <v>23503</v>
      </c>
      <c r="H412" s="203">
        <v>22000</v>
      </c>
      <c r="I412" s="204"/>
      <c r="J412" s="205">
        <f t="shared" si="79"/>
        <v>0</v>
      </c>
      <c r="K412" s="205">
        <f t="shared" si="77"/>
        <v>0</v>
      </c>
      <c r="L412" s="430">
        <f t="shared" si="78"/>
        <v>117515</v>
      </c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 spans="1:26" ht="14.4">
      <c r="A413" s="427"/>
      <c r="B413" s="428" t="s">
        <v>506</v>
      </c>
      <c r="C413" s="431">
        <v>1</v>
      </c>
      <c r="D413" s="321"/>
      <c r="E413" s="321"/>
      <c r="F413" s="429">
        <f t="shared" si="75"/>
        <v>1</v>
      </c>
      <c r="G413" s="203">
        <v>139000</v>
      </c>
      <c r="H413" s="203">
        <v>145000</v>
      </c>
      <c r="I413" s="204"/>
      <c r="J413" s="205">
        <f t="shared" si="79"/>
        <v>0</v>
      </c>
      <c r="K413" s="205">
        <f t="shared" si="77"/>
        <v>0</v>
      </c>
      <c r="L413" s="430">
        <f t="shared" si="78"/>
        <v>139000</v>
      </c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 spans="1:26" ht="14.4">
      <c r="A414" s="427"/>
      <c r="B414" s="428" t="s">
        <v>507</v>
      </c>
      <c r="C414" s="431"/>
      <c r="D414" s="321"/>
      <c r="E414" s="321"/>
      <c r="F414" s="429">
        <f t="shared" si="75"/>
        <v>0</v>
      </c>
      <c r="G414" s="203">
        <v>60000</v>
      </c>
      <c r="H414" s="203">
        <v>65000</v>
      </c>
      <c r="I414" s="204"/>
      <c r="J414" s="205">
        <f t="shared" si="79"/>
        <v>0</v>
      </c>
      <c r="K414" s="205">
        <f t="shared" si="77"/>
        <v>0</v>
      </c>
      <c r="L414" s="430">
        <f t="shared" si="78"/>
        <v>0</v>
      </c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 spans="1:26" ht="14.4">
      <c r="A415" s="427"/>
      <c r="B415" s="428" t="s">
        <v>508</v>
      </c>
      <c r="C415" s="431">
        <v>0</v>
      </c>
      <c r="D415" s="321"/>
      <c r="E415" s="321"/>
      <c r="F415" s="429">
        <f t="shared" si="75"/>
        <v>0</v>
      </c>
      <c r="G415" s="203">
        <v>40300</v>
      </c>
      <c r="H415" s="203">
        <v>43000</v>
      </c>
      <c r="I415" s="204"/>
      <c r="J415" s="205">
        <f t="shared" si="79"/>
        <v>0</v>
      </c>
      <c r="K415" s="205">
        <f t="shared" si="77"/>
        <v>0</v>
      </c>
      <c r="L415" s="430">
        <f t="shared" si="78"/>
        <v>0</v>
      </c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 spans="1:26" ht="14.4">
      <c r="A416" s="427"/>
      <c r="B416" s="428" t="s">
        <v>509</v>
      </c>
      <c r="C416" s="431">
        <v>2</v>
      </c>
      <c r="D416" s="321"/>
      <c r="E416" s="321"/>
      <c r="F416" s="429">
        <f t="shared" si="75"/>
        <v>2</v>
      </c>
      <c r="G416" s="203">
        <v>40300</v>
      </c>
      <c r="H416" s="203">
        <v>43000</v>
      </c>
      <c r="I416" s="204"/>
      <c r="J416" s="205">
        <f t="shared" si="79"/>
        <v>0</v>
      </c>
      <c r="K416" s="205">
        <f t="shared" si="77"/>
        <v>0</v>
      </c>
      <c r="L416" s="430">
        <f t="shared" si="78"/>
        <v>80600</v>
      </c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 spans="1:26" ht="14.4">
      <c r="A417" s="427"/>
      <c r="B417" s="428" t="s">
        <v>667</v>
      </c>
      <c r="C417" s="431">
        <v>2</v>
      </c>
      <c r="D417" s="321"/>
      <c r="E417" s="321"/>
      <c r="F417" s="429">
        <f t="shared" si="75"/>
        <v>2</v>
      </c>
      <c r="G417" s="203">
        <v>40300</v>
      </c>
      <c r="H417" s="203">
        <v>43000</v>
      </c>
      <c r="I417" s="204"/>
      <c r="J417" s="205">
        <f t="shared" si="79"/>
        <v>0</v>
      </c>
      <c r="K417" s="205">
        <f t="shared" si="77"/>
        <v>0</v>
      </c>
      <c r="L417" s="430">
        <f t="shared" si="78"/>
        <v>80600</v>
      </c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 spans="1:26" ht="14.4">
      <c r="A418" s="427"/>
      <c r="B418" s="428" t="s">
        <v>668</v>
      </c>
      <c r="C418" s="431">
        <v>2</v>
      </c>
      <c r="D418" s="321"/>
      <c r="E418" s="321"/>
      <c r="F418" s="429">
        <f t="shared" si="75"/>
        <v>2</v>
      </c>
      <c r="G418" s="203">
        <v>35900</v>
      </c>
      <c r="H418" s="203">
        <v>40000</v>
      </c>
      <c r="I418" s="204"/>
      <c r="J418" s="205">
        <f t="shared" si="79"/>
        <v>0</v>
      </c>
      <c r="K418" s="205">
        <f t="shared" si="77"/>
        <v>0</v>
      </c>
      <c r="L418" s="430">
        <f t="shared" si="78"/>
        <v>71800</v>
      </c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 spans="1:26" ht="14.4">
      <c r="A419" s="427"/>
      <c r="B419" s="428" t="s">
        <v>510</v>
      </c>
      <c r="C419" s="431">
        <v>2</v>
      </c>
      <c r="D419" s="321"/>
      <c r="E419" s="321"/>
      <c r="F419" s="429">
        <f t="shared" si="75"/>
        <v>2</v>
      </c>
      <c r="G419" s="203">
        <v>36431</v>
      </c>
      <c r="H419" s="203">
        <v>37000</v>
      </c>
      <c r="I419" s="204"/>
      <c r="J419" s="205">
        <f t="shared" si="79"/>
        <v>0</v>
      </c>
      <c r="K419" s="205">
        <f t="shared" si="77"/>
        <v>0</v>
      </c>
      <c r="L419" s="430">
        <f t="shared" si="78"/>
        <v>72862</v>
      </c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 spans="1:26" ht="14.4">
      <c r="A420" s="427"/>
      <c r="B420" s="434" t="s">
        <v>511</v>
      </c>
      <c r="C420" s="431">
        <v>3</v>
      </c>
      <c r="D420" s="321"/>
      <c r="E420" s="321"/>
      <c r="F420" s="429">
        <f t="shared" si="75"/>
        <v>3</v>
      </c>
      <c r="G420" s="203">
        <v>5500</v>
      </c>
      <c r="H420" s="203">
        <v>6000</v>
      </c>
      <c r="I420" s="204"/>
      <c r="J420" s="205">
        <f t="shared" si="79"/>
        <v>0</v>
      </c>
      <c r="K420" s="205">
        <f t="shared" si="77"/>
        <v>0</v>
      </c>
      <c r="L420" s="430">
        <f t="shared" si="78"/>
        <v>16500</v>
      </c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 spans="1:26" ht="14.4">
      <c r="A421" s="427"/>
      <c r="B421" s="434" t="s">
        <v>512</v>
      </c>
      <c r="C421" s="431">
        <v>3</v>
      </c>
      <c r="D421" s="321"/>
      <c r="E421" s="321"/>
      <c r="F421" s="429">
        <f t="shared" si="75"/>
        <v>3</v>
      </c>
      <c r="G421" s="239">
        <v>65000</v>
      </c>
      <c r="H421" s="239">
        <v>70000</v>
      </c>
      <c r="I421" s="204"/>
      <c r="J421" s="205">
        <f t="shared" si="79"/>
        <v>0</v>
      </c>
      <c r="K421" s="205">
        <f t="shared" si="77"/>
        <v>0</v>
      </c>
      <c r="L421" s="430">
        <f t="shared" si="78"/>
        <v>195000</v>
      </c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 spans="1:26" ht="14.4">
      <c r="A422" s="427"/>
      <c r="B422" s="434" t="s">
        <v>513</v>
      </c>
      <c r="C422" s="431"/>
      <c r="D422" s="435"/>
      <c r="E422" s="435"/>
      <c r="F422" s="429">
        <f t="shared" si="75"/>
        <v>0</v>
      </c>
      <c r="G422" s="298">
        <v>109000</v>
      </c>
      <c r="H422" s="298">
        <v>118000</v>
      </c>
      <c r="I422" s="299"/>
      <c r="J422" s="300">
        <f t="shared" si="79"/>
        <v>0</v>
      </c>
      <c r="K422" s="300">
        <f t="shared" si="77"/>
        <v>0</v>
      </c>
      <c r="L422" s="436">
        <f t="shared" si="78"/>
        <v>0</v>
      </c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 spans="1:26" ht="14.4">
      <c r="A423" s="437"/>
      <c r="B423" s="438"/>
      <c r="C423" s="439">
        <f t="shared" ref="C423:F423" si="80">+SUM(C345:C415)</f>
        <v>248</v>
      </c>
      <c r="D423" s="440">
        <f t="shared" si="80"/>
        <v>0</v>
      </c>
      <c r="E423" s="440">
        <f t="shared" si="80"/>
        <v>0</v>
      </c>
      <c r="F423" s="439">
        <f t="shared" si="80"/>
        <v>248</v>
      </c>
      <c r="G423" s="441">
        <f t="shared" ref="G423:L423" si="81">+SUM(G345:G422)</f>
        <v>6177057</v>
      </c>
      <c r="H423" s="441">
        <f t="shared" si="81"/>
        <v>6457000</v>
      </c>
      <c r="I423" s="442">
        <f t="shared" si="81"/>
        <v>0</v>
      </c>
      <c r="J423" s="441">
        <f t="shared" si="81"/>
        <v>0</v>
      </c>
      <c r="K423" s="441">
        <f t="shared" si="81"/>
        <v>0</v>
      </c>
      <c r="L423" s="441">
        <f t="shared" si="81"/>
        <v>19479379</v>
      </c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 spans="1:26" ht="14.4">
      <c r="A424" s="427"/>
      <c r="B424" s="428" t="s">
        <v>514</v>
      </c>
      <c r="C424" s="431">
        <v>5</v>
      </c>
      <c r="D424" s="321"/>
      <c r="E424" s="321"/>
      <c r="F424" s="429">
        <f t="shared" ref="F424:F435" si="82">+C424+D424-E424</f>
        <v>5</v>
      </c>
      <c r="G424" s="203">
        <v>43421</v>
      </c>
      <c r="H424" s="203">
        <v>50000</v>
      </c>
      <c r="I424" s="204"/>
      <c r="J424" s="205">
        <f t="shared" ref="J424:J435" si="83">+I424*H424</f>
        <v>0</v>
      </c>
      <c r="K424" s="205">
        <f t="shared" ref="K424:K435" si="84">+(H424-G424)*I424</f>
        <v>0</v>
      </c>
      <c r="L424" s="430">
        <f t="shared" ref="L424:L435" si="85">+G424*F424</f>
        <v>217105</v>
      </c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 spans="1:26" ht="14.4">
      <c r="A425" s="427"/>
      <c r="B425" s="428" t="s">
        <v>515</v>
      </c>
      <c r="C425" s="431"/>
      <c r="D425" s="321"/>
      <c r="E425" s="321"/>
      <c r="F425" s="429">
        <f t="shared" si="82"/>
        <v>0</v>
      </c>
      <c r="G425" s="203">
        <v>44748</v>
      </c>
      <c r="H425" s="203">
        <v>44000</v>
      </c>
      <c r="I425" s="204"/>
      <c r="J425" s="205">
        <f t="shared" si="83"/>
        <v>0</v>
      </c>
      <c r="K425" s="205">
        <f t="shared" si="84"/>
        <v>0</v>
      </c>
      <c r="L425" s="430">
        <f t="shared" si="85"/>
        <v>0</v>
      </c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 spans="1:26" ht="14.4">
      <c r="A426" s="427"/>
      <c r="B426" s="428" t="s">
        <v>516</v>
      </c>
      <c r="C426" s="431">
        <v>4</v>
      </c>
      <c r="D426" s="321"/>
      <c r="E426" s="321"/>
      <c r="F426" s="429">
        <f t="shared" si="82"/>
        <v>4</v>
      </c>
      <c r="G426" s="203">
        <v>40111</v>
      </c>
      <c r="H426" s="203">
        <v>38000</v>
      </c>
      <c r="I426" s="204"/>
      <c r="J426" s="205">
        <f t="shared" si="83"/>
        <v>0</v>
      </c>
      <c r="K426" s="205">
        <f t="shared" si="84"/>
        <v>0</v>
      </c>
      <c r="L426" s="430">
        <f t="shared" si="85"/>
        <v>160444</v>
      </c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 spans="1:26" ht="14.4">
      <c r="A427" s="427"/>
      <c r="B427" s="428" t="s">
        <v>517</v>
      </c>
      <c r="C427" s="431">
        <v>2</v>
      </c>
      <c r="D427" s="321"/>
      <c r="E427" s="321"/>
      <c r="F427" s="429">
        <f t="shared" si="82"/>
        <v>2</v>
      </c>
      <c r="G427" s="203">
        <v>19662</v>
      </c>
      <c r="H427" s="203">
        <v>22000</v>
      </c>
      <c r="I427" s="204"/>
      <c r="J427" s="205">
        <f t="shared" si="83"/>
        <v>0</v>
      </c>
      <c r="K427" s="205">
        <f t="shared" si="84"/>
        <v>0</v>
      </c>
      <c r="L427" s="430">
        <f t="shared" si="85"/>
        <v>39324</v>
      </c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 spans="1:26" ht="14.4">
      <c r="A428" s="427"/>
      <c r="B428" s="428" t="s">
        <v>518</v>
      </c>
      <c r="C428" s="431"/>
      <c r="D428" s="321"/>
      <c r="E428" s="321"/>
      <c r="F428" s="429">
        <f t="shared" si="82"/>
        <v>0</v>
      </c>
      <c r="G428" s="203">
        <v>72900</v>
      </c>
      <c r="H428" s="203">
        <v>76000</v>
      </c>
      <c r="I428" s="204"/>
      <c r="J428" s="205">
        <f t="shared" si="83"/>
        <v>0</v>
      </c>
      <c r="K428" s="205">
        <f t="shared" si="84"/>
        <v>0</v>
      </c>
      <c r="L428" s="430">
        <f t="shared" si="85"/>
        <v>0</v>
      </c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 spans="1:26" ht="14.4">
      <c r="A429" s="427"/>
      <c r="B429" s="428" t="s">
        <v>519</v>
      </c>
      <c r="C429" s="431"/>
      <c r="D429" s="321"/>
      <c r="E429" s="321"/>
      <c r="F429" s="429">
        <f t="shared" si="82"/>
        <v>0</v>
      </c>
      <c r="G429" s="203">
        <v>45300</v>
      </c>
      <c r="H429" s="203">
        <v>48000</v>
      </c>
      <c r="I429" s="204"/>
      <c r="J429" s="205">
        <f t="shared" si="83"/>
        <v>0</v>
      </c>
      <c r="K429" s="205">
        <f t="shared" si="84"/>
        <v>0</v>
      </c>
      <c r="L429" s="430">
        <f t="shared" si="85"/>
        <v>0</v>
      </c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 spans="1:26" ht="14.4">
      <c r="A430" s="443"/>
      <c r="B430" s="444" t="s">
        <v>520</v>
      </c>
      <c r="C430" s="431">
        <v>18</v>
      </c>
      <c r="D430" s="321"/>
      <c r="E430" s="321"/>
      <c r="F430" s="429">
        <f t="shared" si="82"/>
        <v>18</v>
      </c>
      <c r="G430" s="239">
        <v>6465</v>
      </c>
      <c r="H430" s="239">
        <v>7000</v>
      </c>
      <c r="I430" s="204"/>
      <c r="J430" s="205">
        <f t="shared" si="83"/>
        <v>0</v>
      </c>
      <c r="K430" s="205">
        <f t="shared" si="84"/>
        <v>0</v>
      </c>
      <c r="L430" s="430">
        <f t="shared" si="85"/>
        <v>116370</v>
      </c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 spans="1:26" ht="14.4">
      <c r="A431" s="443"/>
      <c r="B431" s="444" t="s">
        <v>521</v>
      </c>
      <c r="C431" s="431">
        <v>26</v>
      </c>
      <c r="D431" s="321"/>
      <c r="E431" s="321"/>
      <c r="F431" s="431">
        <f t="shared" si="82"/>
        <v>26</v>
      </c>
      <c r="G431" s="210">
        <v>7460</v>
      </c>
      <c r="H431" s="210">
        <v>8000</v>
      </c>
      <c r="I431" s="445"/>
      <c r="J431" s="205">
        <f t="shared" si="83"/>
        <v>0</v>
      </c>
      <c r="K431" s="205">
        <f t="shared" si="84"/>
        <v>0</v>
      </c>
      <c r="L431" s="430">
        <f t="shared" si="85"/>
        <v>193960</v>
      </c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 spans="1:26" ht="14.4">
      <c r="A432" s="443"/>
      <c r="B432" s="446" t="s">
        <v>522</v>
      </c>
      <c r="C432" s="431"/>
      <c r="D432" s="321"/>
      <c r="E432" s="321"/>
      <c r="F432" s="431">
        <f t="shared" si="82"/>
        <v>0</v>
      </c>
      <c r="G432" s="210">
        <v>80000</v>
      </c>
      <c r="H432" s="210">
        <v>84000</v>
      </c>
      <c r="I432" s="445"/>
      <c r="J432" s="205">
        <f t="shared" si="83"/>
        <v>0</v>
      </c>
      <c r="K432" s="205">
        <f t="shared" si="84"/>
        <v>0</v>
      </c>
      <c r="L432" s="430">
        <f t="shared" si="85"/>
        <v>0</v>
      </c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 spans="1:26" ht="14.4">
      <c r="A433" s="427"/>
      <c r="B433" s="428" t="s">
        <v>523</v>
      </c>
      <c r="C433" s="431"/>
      <c r="D433" s="321"/>
      <c r="E433" s="321"/>
      <c r="F433" s="429">
        <f t="shared" si="82"/>
        <v>0</v>
      </c>
      <c r="G433" s="203">
        <v>80000</v>
      </c>
      <c r="H433" s="203">
        <v>84000</v>
      </c>
      <c r="I433" s="204"/>
      <c r="J433" s="205">
        <f t="shared" si="83"/>
        <v>0</v>
      </c>
      <c r="K433" s="205">
        <f t="shared" si="84"/>
        <v>0</v>
      </c>
      <c r="L433" s="430">
        <f t="shared" si="85"/>
        <v>0</v>
      </c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 spans="1:26" ht="14.4">
      <c r="A434" s="427"/>
      <c r="B434" s="428" t="s">
        <v>524</v>
      </c>
      <c r="C434" s="431">
        <v>5</v>
      </c>
      <c r="D434" s="321"/>
      <c r="E434" s="321"/>
      <c r="F434" s="429">
        <f t="shared" si="82"/>
        <v>5</v>
      </c>
      <c r="G434" s="210">
        <v>38000</v>
      </c>
      <c r="H434" s="210">
        <v>40000</v>
      </c>
      <c r="I434" s="445"/>
      <c r="J434" s="205">
        <f t="shared" si="83"/>
        <v>0</v>
      </c>
      <c r="K434" s="205">
        <f t="shared" si="84"/>
        <v>0</v>
      </c>
      <c r="L434" s="430">
        <f t="shared" si="85"/>
        <v>190000</v>
      </c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 spans="1:26" ht="14.4">
      <c r="A435" s="427"/>
      <c r="B435" s="434" t="s">
        <v>525</v>
      </c>
      <c r="C435" s="431"/>
      <c r="D435" s="321"/>
      <c r="E435" s="321"/>
      <c r="F435" s="429">
        <f t="shared" si="82"/>
        <v>0</v>
      </c>
      <c r="G435" s="210">
        <v>29800</v>
      </c>
      <c r="H435" s="210">
        <v>33000</v>
      </c>
      <c r="I435" s="445"/>
      <c r="J435" s="205">
        <f t="shared" si="83"/>
        <v>0</v>
      </c>
      <c r="K435" s="205">
        <f t="shared" si="84"/>
        <v>0</v>
      </c>
      <c r="L435" s="430">
        <f t="shared" si="85"/>
        <v>0</v>
      </c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 spans="1:26" ht="14.4">
      <c r="A436" s="437"/>
      <c r="B436" s="438"/>
      <c r="C436" s="447">
        <f t="shared" ref="C436:F436" si="86">+SUM(C424:C433)</f>
        <v>55</v>
      </c>
      <c r="D436" s="447">
        <f t="shared" si="86"/>
        <v>0</v>
      </c>
      <c r="E436" s="447">
        <f t="shared" si="86"/>
        <v>0</v>
      </c>
      <c r="F436" s="447">
        <f t="shared" si="86"/>
        <v>55</v>
      </c>
      <c r="G436" s="448">
        <f t="shared" ref="G436:L436" si="87">+SUM(G424:G435)</f>
        <v>507867</v>
      </c>
      <c r="H436" s="448">
        <f t="shared" si="87"/>
        <v>534000</v>
      </c>
      <c r="I436" s="449">
        <f t="shared" si="87"/>
        <v>0</v>
      </c>
      <c r="J436" s="448">
        <f t="shared" si="87"/>
        <v>0</v>
      </c>
      <c r="K436" s="448">
        <f t="shared" si="87"/>
        <v>0</v>
      </c>
      <c r="L436" s="448">
        <f t="shared" si="87"/>
        <v>917203</v>
      </c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 spans="1:26" ht="14.4">
      <c r="A437" s="427"/>
      <c r="B437" s="428" t="s">
        <v>669</v>
      </c>
      <c r="C437" s="431">
        <v>4</v>
      </c>
      <c r="D437" s="321"/>
      <c r="E437" s="321"/>
      <c r="F437" s="429">
        <f t="shared" ref="F437:F464" si="88">+C437+D437-E437</f>
        <v>4</v>
      </c>
      <c r="G437" s="203"/>
      <c r="H437" s="203"/>
      <c r="I437" s="204"/>
      <c r="J437" s="205">
        <f t="shared" ref="J437:J464" si="89">+I437*H437</f>
        <v>0</v>
      </c>
      <c r="K437" s="205">
        <f t="shared" ref="K437:K464" si="90">+(H437-G437)*I437</f>
        <v>0</v>
      </c>
      <c r="L437" s="430">
        <f t="shared" ref="L437:L464" si="91">+G437*F437</f>
        <v>0</v>
      </c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 spans="1:26" ht="14.4">
      <c r="A438" s="427"/>
      <c r="B438" s="428" t="s">
        <v>526</v>
      </c>
      <c r="C438" s="431"/>
      <c r="D438" s="321"/>
      <c r="E438" s="321"/>
      <c r="F438" s="429">
        <f t="shared" si="88"/>
        <v>0</v>
      </c>
      <c r="G438" s="203">
        <v>102000</v>
      </c>
      <c r="H438" s="203">
        <v>108000</v>
      </c>
      <c r="I438" s="204"/>
      <c r="J438" s="205">
        <f t="shared" si="89"/>
        <v>0</v>
      </c>
      <c r="K438" s="205">
        <f t="shared" si="90"/>
        <v>0</v>
      </c>
      <c r="L438" s="430">
        <f t="shared" si="91"/>
        <v>0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14.4">
      <c r="A439" s="427"/>
      <c r="B439" s="387" t="s">
        <v>527</v>
      </c>
      <c r="C439" s="431">
        <v>1</v>
      </c>
      <c r="D439" s="321"/>
      <c r="E439" s="321"/>
      <c r="F439" s="429">
        <f t="shared" si="88"/>
        <v>1</v>
      </c>
      <c r="G439" s="203">
        <v>86250</v>
      </c>
      <c r="H439" s="203">
        <v>93000</v>
      </c>
      <c r="I439" s="204"/>
      <c r="J439" s="205">
        <f t="shared" si="89"/>
        <v>0</v>
      </c>
      <c r="K439" s="205">
        <f t="shared" si="90"/>
        <v>0</v>
      </c>
      <c r="L439" s="430">
        <f t="shared" si="91"/>
        <v>86250</v>
      </c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 spans="1:26" ht="14.4">
      <c r="A440" s="427"/>
      <c r="B440" s="428" t="s">
        <v>528</v>
      </c>
      <c r="C440" s="431">
        <v>2</v>
      </c>
      <c r="D440" s="321"/>
      <c r="E440" s="321"/>
      <c r="F440" s="429">
        <f t="shared" si="88"/>
        <v>2</v>
      </c>
      <c r="G440" s="203">
        <v>58000</v>
      </c>
      <c r="H440" s="203">
        <v>64000</v>
      </c>
      <c r="I440" s="204"/>
      <c r="J440" s="205">
        <f t="shared" si="89"/>
        <v>0</v>
      </c>
      <c r="K440" s="205">
        <f t="shared" si="90"/>
        <v>0</v>
      </c>
      <c r="L440" s="430">
        <f t="shared" si="91"/>
        <v>116000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 spans="1:26" ht="14.4">
      <c r="A441" s="427"/>
      <c r="B441" s="428" t="s">
        <v>529</v>
      </c>
      <c r="C441" s="431"/>
      <c r="D441" s="321"/>
      <c r="E441" s="321"/>
      <c r="F441" s="429">
        <f t="shared" si="88"/>
        <v>0</v>
      </c>
      <c r="G441" s="203">
        <v>85000</v>
      </c>
      <c r="H441" s="203">
        <v>64000</v>
      </c>
      <c r="I441" s="204"/>
      <c r="J441" s="205">
        <f t="shared" si="89"/>
        <v>0</v>
      </c>
      <c r="K441" s="205">
        <f t="shared" si="90"/>
        <v>0</v>
      </c>
      <c r="L441" s="430">
        <f t="shared" si="91"/>
        <v>0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 spans="1:26" ht="14.4">
      <c r="A442" s="427"/>
      <c r="B442" s="428" t="s">
        <v>670</v>
      </c>
      <c r="C442" s="431">
        <v>1</v>
      </c>
      <c r="D442" s="321"/>
      <c r="E442" s="321"/>
      <c r="F442" s="429">
        <f t="shared" si="88"/>
        <v>1</v>
      </c>
      <c r="G442" s="203"/>
      <c r="H442" s="203"/>
      <c r="I442" s="204"/>
      <c r="J442" s="205">
        <f t="shared" si="89"/>
        <v>0</v>
      </c>
      <c r="K442" s="205">
        <f t="shared" si="90"/>
        <v>0</v>
      </c>
      <c r="L442" s="430">
        <f t="shared" si="91"/>
        <v>0</v>
      </c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 spans="1:26" ht="14.4">
      <c r="A443" s="427"/>
      <c r="B443" s="428" t="s">
        <v>671</v>
      </c>
      <c r="C443" s="431">
        <v>1</v>
      </c>
      <c r="D443" s="321"/>
      <c r="E443" s="321"/>
      <c r="F443" s="429">
        <f t="shared" si="88"/>
        <v>1</v>
      </c>
      <c r="G443" s="203"/>
      <c r="H443" s="203"/>
      <c r="I443" s="204"/>
      <c r="J443" s="205">
        <f t="shared" si="89"/>
        <v>0</v>
      </c>
      <c r="K443" s="205">
        <f t="shared" si="90"/>
        <v>0</v>
      </c>
      <c r="L443" s="430">
        <f t="shared" si="91"/>
        <v>0</v>
      </c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 spans="1:26" ht="14.4">
      <c r="A444" s="427"/>
      <c r="B444" s="428" t="s">
        <v>530</v>
      </c>
      <c r="C444" s="431">
        <v>3</v>
      </c>
      <c r="D444" s="321"/>
      <c r="E444" s="321"/>
      <c r="F444" s="429">
        <f t="shared" si="88"/>
        <v>3</v>
      </c>
      <c r="G444" s="203">
        <v>70000</v>
      </c>
      <c r="H444" s="203">
        <v>75000</v>
      </c>
      <c r="I444" s="204"/>
      <c r="J444" s="205">
        <f t="shared" si="89"/>
        <v>0</v>
      </c>
      <c r="K444" s="205">
        <f t="shared" si="90"/>
        <v>0</v>
      </c>
      <c r="L444" s="430">
        <f t="shared" si="91"/>
        <v>210000</v>
      </c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 spans="1:26" ht="14.4">
      <c r="A445" s="427"/>
      <c r="B445" s="428" t="s">
        <v>531</v>
      </c>
      <c r="C445" s="431"/>
      <c r="D445" s="321"/>
      <c r="E445" s="321"/>
      <c r="F445" s="429">
        <f t="shared" si="88"/>
        <v>0</v>
      </c>
      <c r="G445" s="203">
        <v>195088</v>
      </c>
      <c r="H445" s="203">
        <v>22000</v>
      </c>
      <c r="I445" s="204"/>
      <c r="J445" s="205">
        <f t="shared" si="89"/>
        <v>0</v>
      </c>
      <c r="K445" s="205">
        <f t="shared" si="90"/>
        <v>0</v>
      </c>
      <c r="L445" s="430">
        <f t="shared" si="91"/>
        <v>0</v>
      </c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 spans="1:26" ht="14.4">
      <c r="A446" s="427"/>
      <c r="B446" s="428" t="s">
        <v>532</v>
      </c>
      <c r="C446" s="431">
        <v>9</v>
      </c>
      <c r="D446" s="321"/>
      <c r="E446" s="321"/>
      <c r="F446" s="429">
        <f t="shared" si="88"/>
        <v>9</v>
      </c>
      <c r="G446" s="203">
        <v>75000</v>
      </c>
      <c r="H446" s="203">
        <v>80000</v>
      </c>
      <c r="I446" s="204"/>
      <c r="J446" s="205">
        <f t="shared" si="89"/>
        <v>0</v>
      </c>
      <c r="K446" s="205">
        <f t="shared" si="90"/>
        <v>0</v>
      </c>
      <c r="L446" s="430">
        <f t="shared" si="91"/>
        <v>675000</v>
      </c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 spans="1:26" ht="14.4">
      <c r="A447" s="427"/>
      <c r="B447" s="428" t="s">
        <v>533</v>
      </c>
      <c r="C447" s="431">
        <v>1</v>
      </c>
      <c r="D447" s="321"/>
      <c r="E447" s="321"/>
      <c r="F447" s="429">
        <f t="shared" si="88"/>
        <v>1</v>
      </c>
      <c r="G447" s="203">
        <v>38000</v>
      </c>
      <c r="H447" s="203">
        <v>42000</v>
      </c>
      <c r="I447" s="204"/>
      <c r="J447" s="205">
        <f t="shared" si="89"/>
        <v>0</v>
      </c>
      <c r="K447" s="205">
        <f t="shared" si="90"/>
        <v>0</v>
      </c>
      <c r="L447" s="430">
        <f t="shared" si="91"/>
        <v>38000</v>
      </c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 spans="1:26" ht="14.4">
      <c r="A448" s="427"/>
      <c r="B448" s="428" t="s">
        <v>534</v>
      </c>
      <c r="C448" s="431">
        <v>2</v>
      </c>
      <c r="D448" s="321"/>
      <c r="E448" s="321"/>
      <c r="F448" s="429">
        <f t="shared" si="88"/>
        <v>2</v>
      </c>
      <c r="G448" s="203">
        <v>105000</v>
      </c>
      <c r="H448" s="203">
        <v>80000</v>
      </c>
      <c r="I448" s="204"/>
      <c r="J448" s="205">
        <f t="shared" si="89"/>
        <v>0</v>
      </c>
      <c r="K448" s="205">
        <f t="shared" si="90"/>
        <v>0</v>
      </c>
      <c r="L448" s="430">
        <f t="shared" si="91"/>
        <v>210000</v>
      </c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 spans="1:26" ht="14.4">
      <c r="A449" s="427"/>
      <c r="B449" s="428" t="s">
        <v>535</v>
      </c>
      <c r="C449" s="431">
        <v>1</v>
      </c>
      <c r="D449" s="321"/>
      <c r="E449" s="321"/>
      <c r="F449" s="429">
        <f t="shared" si="88"/>
        <v>1</v>
      </c>
      <c r="G449" s="203">
        <v>94000</v>
      </c>
      <c r="H449" s="203">
        <v>100000</v>
      </c>
      <c r="I449" s="204"/>
      <c r="J449" s="205">
        <f t="shared" si="89"/>
        <v>0</v>
      </c>
      <c r="K449" s="205">
        <f t="shared" si="90"/>
        <v>0</v>
      </c>
      <c r="L449" s="430">
        <f t="shared" si="91"/>
        <v>94000</v>
      </c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 spans="1:26" ht="14.4">
      <c r="A450" s="427"/>
      <c r="B450" s="428" t="s">
        <v>536</v>
      </c>
      <c r="C450" s="431"/>
      <c r="D450" s="321"/>
      <c r="E450" s="321"/>
      <c r="F450" s="429">
        <f t="shared" si="88"/>
        <v>0</v>
      </c>
      <c r="G450" s="203">
        <v>78500</v>
      </c>
      <c r="H450" s="203">
        <v>88000</v>
      </c>
      <c r="I450" s="204"/>
      <c r="J450" s="205">
        <f t="shared" si="89"/>
        <v>0</v>
      </c>
      <c r="K450" s="205">
        <f t="shared" si="90"/>
        <v>0</v>
      </c>
      <c r="L450" s="430">
        <f t="shared" si="91"/>
        <v>0</v>
      </c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 spans="1:26" ht="14.4">
      <c r="A451" s="427"/>
      <c r="B451" s="428" t="s">
        <v>537</v>
      </c>
      <c r="C451" s="431"/>
      <c r="D451" s="321"/>
      <c r="E451" s="321"/>
      <c r="F451" s="429">
        <f t="shared" si="88"/>
        <v>0</v>
      </c>
      <c r="G451" s="203">
        <v>43000</v>
      </c>
      <c r="H451" s="203">
        <v>47000</v>
      </c>
      <c r="I451" s="204"/>
      <c r="J451" s="205">
        <f t="shared" si="89"/>
        <v>0</v>
      </c>
      <c r="K451" s="205">
        <f t="shared" si="90"/>
        <v>0</v>
      </c>
      <c r="L451" s="430">
        <f t="shared" si="91"/>
        <v>0</v>
      </c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 spans="1:26" ht="14.4">
      <c r="A452" s="427"/>
      <c r="B452" s="428" t="s">
        <v>538</v>
      </c>
      <c r="C452" s="431"/>
      <c r="D452" s="321"/>
      <c r="E452" s="321"/>
      <c r="F452" s="429">
        <f t="shared" si="88"/>
        <v>0</v>
      </c>
      <c r="G452" s="203">
        <v>93420</v>
      </c>
      <c r="H452" s="203">
        <v>105000</v>
      </c>
      <c r="I452" s="204"/>
      <c r="J452" s="205">
        <f t="shared" si="89"/>
        <v>0</v>
      </c>
      <c r="K452" s="205">
        <f t="shared" si="90"/>
        <v>0</v>
      </c>
      <c r="L452" s="430">
        <f t="shared" si="91"/>
        <v>0</v>
      </c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 spans="1:26" ht="14.4">
      <c r="A453" s="427"/>
      <c r="B453" s="428" t="s">
        <v>539</v>
      </c>
      <c r="C453" s="321"/>
      <c r="D453" s="321"/>
      <c r="E453" s="321"/>
      <c r="F453" s="429">
        <f t="shared" si="88"/>
        <v>0</v>
      </c>
      <c r="G453" s="203">
        <v>91300</v>
      </c>
      <c r="H453" s="203">
        <v>97000</v>
      </c>
      <c r="I453" s="204"/>
      <c r="J453" s="205">
        <f t="shared" si="89"/>
        <v>0</v>
      </c>
      <c r="K453" s="205">
        <f t="shared" si="90"/>
        <v>0</v>
      </c>
      <c r="L453" s="430">
        <f t="shared" si="91"/>
        <v>0</v>
      </c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 spans="1:26" ht="14.4">
      <c r="A454" s="427"/>
      <c r="B454" s="428" t="s">
        <v>540</v>
      </c>
      <c r="C454" s="431"/>
      <c r="D454" s="321"/>
      <c r="E454" s="321"/>
      <c r="F454" s="429">
        <f t="shared" si="88"/>
        <v>0</v>
      </c>
      <c r="G454" s="203">
        <v>70000</v>
      </c>
      <c r="H454" s="203">
        <v>75000</v>
      </c>
      <c r="I454" s="204"/>
      <c r="J454" s="205">
        <f t="shared" si="89"/>
        <v>0</v>
      </c>
      <c r="K454" s="205">
        <f t="shared" si="90"/>
        <v>0</v>
      </c>
      <c r="L454" s="430">
        <f t="shared" si="91"/>
        <v>0</v>
      </c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 spans="1:26" ht="14.4">
      <c r="A455" s="427"/>
      <c r="B455" s="428" t="s">
        <v>541</v>
      </c>
      <c r="C455" s="431">
        <v>1</v>
      </c>
      <c r="D455" s="321"/>
      <c r="E455" s="321"/>
      <c r="F455" s="429">
        <f t="shared" si="88"/>
        <v>1</v>
      </c>
      <c r="G455" s="203">
        <v>37300</v>
      </c>
      <c r="H455" s="203">
        <v>40000</v>
      </c>
      <c r="I455" s="204"/>
      <c r="J455" s="205">
        <f t="shared" si="89"/>
        <v>0</v>
      </c>
      <c r="K455" s="205">
        <f t="shared" si="90"/>
        <v>0</v>
      </c>
      <c r="L455" s="430">
        <f t="shared" si="91"/>
        <v>37300</v>
      </c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 spans="1:26" ht="14.4">
      <c r="A456" s="427"/>
      <c r="B456" s="428" t="s">
        <v>542</v>
      </c>
      <c r="C456" s="321">
        <v>1</v>
      </c>
      <c r="D456" s="321"/>
      <c r="E456" s="321"/>
      <c r="F456" s="429">
        <f t="shared" si="88"/>
        <v>1</v>
      </c>
      <c r="G456" s="203">
        <v>70000</v>
      </c>
      <c r="H456" s="203">
        <v>75000</v>
      </c>
      <c r="I456" s="204"/>
      <c r="J456" s="205">
        <f t="shared" si="89"/>
        <v>0</v>
      </c>
      <c r="K456" s="205">
        <f t="shared" si="90"/>
        <v>0</v>
      </c>
      <c r="L456" s="430">
        <f t="shared" si="91"/>
        <v>70000</v>
      </c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 spans="1:26" ht="14.4">
      <c r="A457" s="427"/>
      <c r="B457" s="428" t="s">
        <v>543</v>
      </c>
      <c r="C457" s="431"/>
      <c r="D457" s="321"/>
      <c r="E457" s="321"/>
      <c r="F457" s="429">
        <f t="shared" si="88"/>
        <v>0</v>
      </c>
      <c r="G457" s="203">
        <v>37300</v>
      </c>
      <c r="H457" s="203">
        <v>40000</v>
      </c>
      <c r="I457" s="204"/>
      <c r="J457" s="205">
        <f t="shared" si="89"/>
        <v>0</v>
      </c>
      <c r="K457" s="205">
        <f t="shared" si="90"/>
        <v>0</v>
      </c>
      <c r="L457" s="430">
        <f t="shared" si="91"/>
        <v>0</v>
      </c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 spans="1:26" ht="14.4">
      <c r="A458" s="427"/>
      <c r="B458" s="428" t="s">
        <v>544</v>
      </c>
      <c r="C458" s="431"/>
      <c r="D458" s="321"/>
      <c r="E458" s="321"/>
      <c r="F458" s="429">
        <f t="shared" si="88"/>
        <v>0</v>
      </c>
      <c r="G458" s="203">
        <v>77500</v>
      </c>
      <c r="H458" s="203">
        <v>84000</v>
      </c>
      <c r="I458" s="204"/>
      <c r="J458" s="205">
        <f t="shared" si="89"/>
        <v>0</v>
      </c>
      <c r="K458" s="205">
        <f t="shared" si="90"/>
        <v>0</v>
      </c>
      <c r="L458" s="430">
        <f t="shared" si="91"/>
        <v>0</v>
      </c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 spans="1:26" ht="14.4">
      <c r="A459" s="427"/>
      <c r="B459" s="428" t="s">
        <v>545</v>
      </c>
      <c r="C459" s="431"/>
      <c r="D459" s="321"/>
      <c r="E459" s="321"/>
      <c r="F459" s="429">
        <f t="shared" si="88"/>
        <v>0</v>
      </c>
      <c r="G459" s="203">
        <v>194000</v>
      </c>
      <c r="H459" s="203">
        <v>205000</v>
      </c>
      <c r="I459" s="204"/>
      <c r="J459" s="205">
        <f t="shared" si="89"/>
        <v>0</v>
      </c>
      <c r="K459" s="205">
        <f t="shared" si="90"/>
        <v>0</v>
      </c>
      <c r="L459" s="430">
        <f t="shared" si="91"/>
        <v>0</v>
      </c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 spans="1:26" ht="14.4">
      <c r="A460" s="427"/>
      <c r="B460" s="428" t="s">
        <v>546</v>
      </c>
      <c r="C460" s="321"/>
      <c r="D460" s="321"/>
      <c r="E460" s="321"/>
      <c r="F460" s="429">
        <f t="shared" si="88"/>
        <v>0</v>
      </c>
      <c r="G460" s="203">
        <v>5000</v>
      </c>
      <c r="H460" s="203">
        <v>5500</v>
      </c>
      <c r="I460" s="204"/>
      <c r="J460" s="205">
        <f t="shared" si="89"/>
        <v>0</v>
      </c>
      <c r="K460" s="205">
        <f t="shared" si="90"/>
        <v>0</v>
      </c>
      <c r="L460" s="430">
        <f t="shared" si="91"/>
        <v>0</v>
      </c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 spans="1:26" ht="14.4">
      <c r="A461" s="427"/>
      <c r="B461" s="428" t="s">
        <v>547</v>
      </c>
      <c r="C461" s="431"/>
      <c r="D461" s="321"/>
      <c r="E461" s="321"/>
      <c r="F461" s="429">
        <f t="shared" si="88"/>
        <v>0</v>
      </c>
      <c r="G461" s="203">
        <v>3200</v>
      </c>
      <c r="H461" s="203">
        <v>3600</v>
      </c>
      <c r="I461" s="204"/>
      <c r="J461" s="205">
        <f t="shared" si="89"/>
        <v>0</v>
      </c>
      <c r="K461" s="205">
        <f t="shared" si="90"/>
        <v>0</v>
      </c>
      <c r="L461" s="430">
        <f t="shared" si="91"/>
        <v>0</v>
      </c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 spans="1:26" ht="14.4">
      <c r="A462" s="427"/>
      <c r="B462" s="428" t="s">
        <v>548</v>
      </c>
      <c r="C462" s="431"/>
      <c r="D462" s="321"/>
      <c r="E462" s="321"/>
      <c r="F462" s="429">
        <f t="shared" si="88"/>
        <v>0</v>
      </c>
      <c r="G462" s="203">
        <v>270000</v>
      </c>
      <c r="H462" s="203">
        <v>300000</v>
      </c>
      <c r="I462" s="204"/>
      <c r="J462" s="205">
        <f t="shared" si="89"/>
        <v>0</v>
      </c>
      <c r="K462" s="205">
        <f t="shared" si="90"/>
        <v>0</v>
      </c>
      <c r="L462" s="430">
        <f t="shared" si="91"/>
        <v>0</v>
      </c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 spans="1:26" ht="14.4">
      <c r="A463" s="427"/>
      <c r="B463" s="428" t="s">
        <v>549</v>
      </c>
      <c r="C463" s="431">
        <v>1</v>
      </c>
      <c r="D463" s="321"/>
      <c r="E463" s="321"/>
      <c r="F463" s="429">
        <f t="shared" si="88"/>
        <v>1</v>
      </c>
      <c r="G463" s="210">
        <v>260000</v>
      </c>
      <c r="H463" s="210">
        <v>290000</v>
      </c>
      <c r="I463" s="445"/>
      <c r="J463" s="205">
        <f t="shared" si="89"/>
        <v>0</v>
      </c>
      <c r="K463" s="205">
        <f t="shared" si="90"/>
        <v>0</v>
      </c>
      <c r="L463" s="430">
        <f t="shared" si="91"/>
        <v>260000</v>
      </c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 spans="1:26" ht="14.4">
      <c r="A464" s="427"/>
      <c r="B464" s="434" t="s">
        <v>550</v>
      </c>
      <c r="C464" s="431"/>
      <c r="D464" s="321"/>
      <c r="E464" s="321"/>
      <c r="F464" s="429">
        <f t="shared" si="88"/>
        <v>0</v>
      </c>
      <c r="G464" s="210">
        <v>160000</v>
      </c>
      <c r="H464" s="210">
        <v>170000</v>
      </c>
      <c r="I464" s="445"/>
      <c r="J464" s="205">
        <f t="shared" si="89"/>
        <v>0</v>
      </c>
      <c r="K464" s="205">
        <f t="shared" si="90"/>
        <v>0</v>
      </c>
      <c r="L464" s="430">
        <f t="shared" si="91"/>
        <v>0</v>
      </c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 spans="1:26" ht="14.4">
      <c r="A465" s="437"/>
      <c r="B465" s="438"/>
      <c r="C465" s="447">
        <f t="shared" ref="C465:L465" si="92">+SUM(C437:C464)</f>
        <v>28</v>
      </c>
      <c r="D465" s="447">
        <f t="shared" si="92"/>
        <v>0</v>
      </c>
      <c r="E465" s="447">
        <f t="shared" si="92"/>
        <v>0</v>
      </c>
      <c r="F465" s="447">
        <f t="shared" si="92"/>
        <v>28</v>
      </c>
      <c r="G465" s="448">
        <f t="shared" si="92"/>
        <v>2398858</v>
      </c>
      <c r="H465" s="448">
        <f t="shared" si="92"/>
        <v>2353100</v>
      </c>
      <c r="I465" s="449">
        <f t="shared" si="92"/>
        <v>0</v>
      </c>
      <c r="J465" s="448">
        <f t="shared" si="92"/>
        <v>0</v>
      </c>
      <c r="K465" s="448">
        <f t="shared" si="92"/>
        <v>0</v>
      </c>
      <c r="L465" s="448">
        <f t="shared" si="92"/>
        <v>1796550</v>
      </c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 spans="1:26" ht="14.4">
      <c r="A466" s="450"/>
      <c r="B466" s="428" t="s">
        <v>551</v>
      </c>
      <c r="C466" s="431">
        <v>6</v>
      </c>
      <c r="D466" s="321"/>
      <c r="E466" s="321"/>
      <c r="F466" s="429">
        <f t="shared" ref="F466:F574" si="93">+C466+D466-E466</f>
        <v>6</v>
      </c>
      <c r="G466" s="203">
        <v>49000</v>
      </c>
      <c r="H466" s="203">
        <v>58000</v>
      </c>
      <c r="I466" s="204"/>
      <c r="J466" s="205">
        <f t="shared" ref="J466:J572" si="94">+I466*H466</f>
        <v>0</v>
      </c>
      <c r="K466" s="205">
        <f t="shared" ref="K466:K572" si="95">+(H466-G466)*I466</f>
        <v>0</v>
      </c>
      <c r="L466" s="430">
        <f t="shared" ref="L466:L572" si="96">+G466*F466</f>
        <v>294000</v>
      </c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 spans="1:26" ht="14.4">
      <c r="A467" s="450"/>
      <c r="B467" s="428" t="s">
        <v>552</v>
      </c>
      <c r="C467" s="431">
        <v>2</v>
      </c>
      <c r="D467" s="321"/>
      <c r="E467" s="321"/>
      <c r="F467" s="429">
        <f t="shared" si="93"/>
        <v>2</v>
      </c>
      <c r="G467" s="203">
        <v>28000</v>
      </c>
      <c r="H467" s="203">
        <v>32000</v>
      </c>
      <c r="I467" s="204"/>
      <c r="J467" s="205">
        <f t="shared" si="94"/>
        <v>0</v>
      </c>
      <c r="K467" s="205">
        <f t="shared" si="95"/>
        <v>0</v>
      </c>
      <c r="L467" s="430">
        <f t="shared" si="96"/>
        <v>56000</v>
      </c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 spans="1:26" ht="14.4">
      <c r="A468" s="450"/>
      <c r="B468" s="428" t="s">
        <v>553</v>
      </c>
      <c r="C468" s="431">
        <v>0</v>
      </c>
      <c r="D468" s="321"/>
      <c r="E468" s="321"/>
      <c r="F468" s="429">
        <f t="shared" si="93"/>
        <v>0</v>
      </c>
      <c r="G468" s="203">
        <v>71800</v>
      </c>
      <c r="H468" s="203">
        <v>73000</v>
      </c>
      <c r="I468" s="204"/>
      <c r="J468" s="205">
        <f t="shared" si="94"/>
        <v>0</v>
      </c>
      <c r="K468" s="205">
        <f t="shared" si="95"/>
        <v>0</v>
      </c>
      <c r="L468" s="430">
        <f t="shared" si="96"/>
        <v>0</v>
      </c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 spans="1:26" ht="14.4">
      <c r="A469" s="450"/>
      <c r="B469" s="428" t="s">
        <v>554</v>
      </c>
      <c r="C469" s="321">
        <v>4</v>
      </c>
      <c r="D469" s="321"/>
      <c r="E469" s="321"/>
      <c r="F469" s="429">
        <f t="shared" si="93"/>
        <v>4</v>
      </c>
      <c r="G469" s="203">
        <v>57600</v>
      </c>
      <c r="H469" s="203">
        <v>62000</v>
      </c>
      <c r="I469" s="204"/>
      <c r="J469" s="205">
        <f t="shared" si="94"/>
        <v>0</v>
      </c>
      <c r="K469" s="205">
        <f t="shared" si="95"/>
        <v>0</v>
      </c>
      <c r="L469" s="430">
        <f t="shared" si="96"/>
        <v>230400</v>
      </c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 spans="1:26" ht="14.4">
      <c r="A470" s="450"/>
      <c r="B470" s="428" t="s">
        <v>555</v>
      </c>
      <c r="C470" s="321">
        <v>2</v>
      </c>
      <c r="D470" s="321"/>
      <c r="E470" s="321"/>
      <c r="F470" s="429">
        <f t="shared" si="93"/>
        <v>2</v>
      </c>
      <c r="G470" s="203">
        <v>116260</v>
      </c>
      <c r="H470" s="203">
        <v>123000</v>
      </c>
      <c r="I470" s="204"/>
      <c r="J470" s="205">
        <f t="shared" si="94"/>
        <v>0</v>
      </c>
      <c r="K470" s="205">
        <f t="shared" si="95"/>
        <v>0</v>
      </c>
      <c r="L470" s="430">
        <f t="shared" si="96"/>
        <v>232520</v>
      </c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 spans="1:26" ht="14.4">
      <c r="A471" s="450"/>
      <c r="B471" s="428" t="s">
        <v>556</v>
      </c>
      <c r="C471" s="431">
        <v>4</v>
      </c>
      <c r="D471" s="321"/>
      <c r="E471" s="321"/>
      <c r="F471" s="429">
        <f t="shared" si="93"/>
        <v>4</v>
      </c>
      <c r="G471" s="203">
        <v>51000</v>
      </c>
      <c r="H471" s="203">
        <v>58000</v>
      </c>
      <c r="I471" s="204"/>
      <c r="J471" s="205">
        <f t="shared" si="94"/>
        <v>0</v>
      </c>
      <c r="K471" s="205">
        <f t="shared" si="95"/>
        <v>0</v>
      </c>
      <c r="L471" s="430">
        <f t="shared" si="96"/>
        <v>204000</v>
      </c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 spans="1:26" ht="14.4">
      <c r="A472" s="450"/>
      <c r="B472" s="428" t="s">
        <v>557</v>
      </c>
      <c r="C472" s="431"/>
      <c r="D472" s="321"/>
      <c r="E472" s="321"/>
      <c r="F472" s="429">
        <f t="shared" si="93"/>
        <v>0</v>
      </c>
      <c r="G472" s="203">
        <v>51000</v>
      </c>
      <c r="H472" s="203">
        <v>58000</v>
      </c>
      <c r="I472" s="204"/>
      <c r="J472" s="205">
        <f t="shared" si="94"/>
        <v>0</v>
      </c>
      <c r="K472" s="205">
        <f t="shared" si="95"/>
        <v>0</v>
      </c>
      <c r="L472" s="430">
        <f t="shared" si="96"/>
        <v>0</v>
      </c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 spans="1:26" ht="14.4">
      <c r="A473" s="450"/>
      <c r="B473" s="428" t="s">
        <v>558</v>
      </c>
      <c r="C473" s="431">
        <v>1</v>
      </c>
      <c r="D473" s="321"/>
      <c r="E473" s="321"/>
      <c r="F473" s="429">
        <f t="shared" si="93"/>
        <v>1</v>
      </c>
      <c r="G473" s="203">
        <v>51000</v>
      </c>
      <c r="H473" s="203">
        <v>58000</v>
      </c>
      <c r="I473" s="204"/>
      <c r="J473" s="205">
        <f t="shared" si="94"/>
        <v>0</v>
      </c>
      <c r="K473" s="205">
        <f t="shared" si="95"/>
        <v>0</v>
      </c>
      <c r="L473" s="430">
        <f t="shared" si="96"/>
        <v>51000</v>
      </c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 spans="1:26" ht="14.4">
      <c r="A474" s="450"/>
      <c r="B474" s="428" t="s">
        <v>559</v>
      </c>
      <c r="C474" s="431">
        <v>2</v>
      </c>
      <c r="D474" s="321"/>
      <c r="E474" s="321"/>
      <c r="F474" s="429">
        <f t="shared" si="93"/>
        <v>2</v>
      </c>
      <c r="G474" s="203">
        <v>51000</v>
      </c>
      <c r="H474" s="203">
        <v>58000</v>
      </c>
      <c r="I474" s="204"/>
      <c r="J474" s="205">
        <f t="shared" si="94"/>
        <v>0</v>
      </c>
      <c r="K474" s="205">
        <f t="shared" si="95"/>
        <v>0</v>
      </c>
      <c r="L474" s="430">
        <f t="shared" si="96"/>
        <v>102000</v>
      </c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 spans="1:26" ht="14.4">
      <c r="A475" s="450"/>
      <c r="B475" s="428" t="s">
        <v>560</v>
      </c>
      <c r="C475" s="431">
        <v>4</v>
      </c>
      <c r="D475" s="321"/>
      <c r="E475" s="321"/>
      <c r="F475" s="429">
        <f t="shared" si="93"/>
        <v>4</v>
      </c>
      <c r="G475" s="203">
        <v>51000</v>
      </c>
      <c r="H475" s="203">
        <v>58000</v>
      </c>
      <c r="I475" s="204"/>
      <c r="J475" s="205">
        <f t="shared" si="94"/>
        <v>0</v>
      </c>
      <c r="K475" s="205">
        <f t="shared" si="95"/>
        <v>0</v>
      </c>
      <c r="L475" s="430">
        <f t="shared" si="96"/>
        <v>204000</v>
      </c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 spans="1:26" ht="14.4">
      <c r="A476" s="450"/>
      <c r="B476" s="428" t="s">
        <v>561</v>
      </c>
      <c r="C476" s="431"/>
      <c r="D476" s="321"/>
      <c r="E476" s="321"/>
      <c r="F476" s="429">
        <f t="shared" si="93"/>
        <v>0</v>
      </c>
      <c r="G476" s="203">
        <v>17286</v>
      </c>
      <c r="H476" s="203">
        <v>20000</v>
      </c>
      <c r="I476" s="204"/>
      <c r="J476" s="205">
        <f t="shared" si="94"/>
        <v>0</v>
      </c>
      <c r="K476" s="205">
        <f t="shared" si="95"/>
        <v>0</v>
      </c>
      <c r="L476" s="430">
        <f t="shared" si="96"/>
        <v>0</v>
      </c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 spans="1:26" ht="14.4">
      <c r="A477" s="450"/>
      <c r="B477" s="428" t="s">
        <v>562</v>
      </c>
      <c r="C477" s="431">
        <v>2</v>
      </c>
      <c r="D477" s="321"/>
      <c r="E477" s="321"/>
      <c r="F477" s="429">
        <f t="shared" si="93"/>
        <v>2</v>
      </c>
      <c r="G477" s="203">
        <v>90324</v>
      </c>
      <c r="H477" s="203">
        <v>92000</v>
      </c>
      <c r="I477" s="204"/>
      <c r="J477" s="205">
        <f t="shared" si="94"/>
        <v>0</v>
      </c>
      <c r="K477" s="205">
        <f t="shared" si="95"/>
        <v>0</v>
      </c>
      <c r="L477" s="430">
        <f t="shared" si="96"/>
        <v>180648</v>
      </c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 spans="1:26" ht="14.4">
      <c r="A478" s="450"/>
      <c r="B478" s="428" t="s">
        <v>563</v>
      </c>
      <c r="C478" s="431">
        <v>2</v>
      </c>
      <c r="D478" s="321"/>
      <c r="E478" s="321"/>
      <c r="F478" s="429">
        <f t="shared" si="93"/>
        <v>2</v>
      </c>
      <c r="G478" s="203">
        <v>65477</v>
      </c>
      <c r="H478" s="203">
        <v>67000</v>
      </c>
      <c r="I478" s="204"/>
      <c r="J478" s="205">
        <f t="shared" si="94"/>
        <v>0</v>
      </c>
      <c r="K478" s="205">
        <f t="shared" si="95"/>
        <v>0</v>
      </c>
      <c r="L478" s="430">
        <f t="shared" si="96"/>
        <v>130954</v>
      </c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 spans="1:26" ht="14.4">
      <c r="A479" s="450"/>
      <c r="B479" s="428" t="s">
        <v>564</v>
      </c>
      <c r="C479" s="431">
        <v>2</v>
      </c>
      <c r="D479" s="321"/>
      <c r="E479" s="321"/>
      <c r="F479" s="429">
        <f t="shared" si="93"/>
        <v>2</v>
      </c>
      <c r="G479" s="203">
        <v>40825</v>
      </c>
      <c r="H479" s="203">
        <v>41000</v>
      </c>
      <c r="I479" s="204"/>
      <c r="J479" s="205">
        <f t="shared" si="94"/>
        <v>0</v>
      </c>
      <c r="K479" s="205">
        <f t="shared" si="95"/>
        <v>0</v>
      </c>
      <c r="L479" s="430">
        <f t="shared" si="96"/>
        <v>81650</v>
      </c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 spans="1:26" ht="14.4">
      <c r="A480" s="450"/>
      <c r="B480" s="428" t="s">
        <v>565</v>
      </c>
      <c r="C480" s="431"/>
      <c r="D480" s="321"/>
      <c r="E480" s="321"/>
      <c r="F480" s="429">
        <f t="shared" si="93"/>
        <v>0</v>
      </c>
      <c r="G480" s="203">
        <v>81000</v>
      </c>
      <c r="H480" s="203">
        <v>84000</v>
      </c>
      <c r="I480" s="204"/>
      <c r="J480" s="205">
        <f t="shared" si="94"/>
        <v>0</v>
      </c>
      <c r="K480" s="205">
        <f t="shared" si="95"/>
        <v>0</v>
      </c>
      <c r="L480" s="430">
        <f t="shared" si="96"/>
        <v>0</v>
      </c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 spans="1:26" ht="14.4">
      <c r="A481" s="450"/>
      <c r="B481" s="428" t="s">
        <v>566</v>
      </c>
      <c r="C481" s="431"/>
      <c r="D481" s="321"/>
      <c r="E481" s="321"/>
      <c r="F481" s="429">
        <f t="shared" si="93"/>
        <v>0</v>
      </c>
      <c r="G481" s="203">
        <v>27900</v>
      </c>
      <c r="H481" s="203">
        <v>29500</v>
      </c>
      <c r="I481" s="204"/>
      <c r="J481" s="205">
        <f t="shared" si="94"/>
        <v>0</v>
      </c>
      <c r="K481" s="205">
        <f t="shared" si="95"/>
        <v>0</v>
      </c>
      <c r="L481" s="430">
        <f t="shared" si="96"/>
        <v>0</v>
      </c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 spans="1:26" ht="14.4">
      <c r="A482" s="450"/>
      <c r="B482" s="428" t="s">
        <v>567</v>
      </c>
      <c r="C482" s="431"/>
      <c r="D482" s="321"/>
      <c r="E482" s="321"/>
      <c r="F482" s="429">
        <f t="shared" si="93"/>
        <v>0</v>
      </c>
      <c r="G482" s="203">
        <v>25700</v>
      </c>
      <c r="H482" s="203">
        <v>28000</v>
      </c>
      <c r="I482" s="204"/>
      <c r="J482" s="205">
        <f t="shared" si="94"/>
        <v>0</v>
      </c>
      <c r="K482" s="205">
        <f t="shared" si="95"/>
        <v>0</v>
      </c>
      <c r="L482" s="430">
        <f t="shared" si="96"/>
        <v>0</v>
      </c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 spans="1:26" ht="14.4">
      <c r="A483" s="450"/>
      <c r="B483" s="428" t="s">
        <v>568</v>
      </c>
      <c r="C483" s="431"/>
      <c r="D483" s="321"/>
      <c r="E483" s="321"/>
      <c r="F483" s="429">
        <f t="shared" si="93"/>
        <v>0</v>
      </c>
      <c r="G483" s="203">
        <v>36000</v>
      </c>
      <c r="H483" s="203">
        <v>40000</v>
      </c>
      <c r="I483" s="204"/>
      <c r="J483" s="205">
        <f t="shared" si="94"/>
        <v>0</v>
      </c>
      <c r="K483" s="205">
        <f t="shared" si="95"/>
        <v>0</v>
      </c>
      <c r="L483" s="430">
        <f t="shared" si="96"/>
        <v>0</v>
      </c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 spans="1:26" ht="14.4">
      <c r="A484" s="450"/>
      <c r="B484" s="428" t="s">
        <v>569</v>
      </c>
      <c r="C484" s="431"/>
      <c r="D484" s="321"/>
      <c r="E484" s="321"/>
      <c r="F484" s="429">
        <f t="shared" si="93"/>
        <v>0</v>
      </c>
      <c r="G484" s="203">
        <v>19800</v>
      </c>
      <c r="H484" s="203">
        <v>24000</v>
      </c>
      <c r="I484" s="204"/>
      <c r="J484" s="205">
        <f t="shared" si="94"/>
        <v>0</v>
      </c>
      <c r="K484" s="205">
        <f t="shared" si="95"/>
        <v>0</v>
      </c>
      <c r="L484" s="430">
        <f t="shared" si="96"/>
        <v>0</v>
      </c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 spans="1:26" ht="14.4">
      <c r="A485" s="450"/>
      <c r="B485" s="428" t="s">
        <v>570</v>
      </c>
      <c r="C485" s="431">
        <v>1</v>
      </c>
      <c r="D485" s="321"/>
      <c r="E485" s="321"/>
      <c r="F485" s="429">
        <f t="shared" si="93"/>
        <v>1</v>
      </c>
      <c r="G485" s="203">
        <v>24000</v>
      </c>
      <c r="H485" s="203">
        <v>26000</v>
      </c>
      <c r="I485" s="204"/>
      <c r="J485" s="205">
        <f t="shared" si="94"/>
        <v>0</v>
      </c>
      <c r="K485" s="205">
        <f t="shared" si="95"/>
        <v>0</v>
      </c>
      <c r="L485" s="430">
        <f t="shared" si="96"/>
        <v>24000</v>
      </c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 spans="1:26" ht="14.4">
      <c r="A486" s="450"/>
      <c r="B486" s="428" t="s">
        <v>571</v>
      </c>
      <c r="C486" s="431"/>
      <c r="D486" s="321"/>
      <c r="E486" s="321"/>
      <c r="F486" s="429">
        <f t="shared" si="93"/>
        <v>0</v>
      </c>
      <c r="G486" s="203">
        <v>45000</v>
      </c>
      <c r="H486" s="203">
        <v>44000</v>
      </c>
      <c r="I486" s="204"/>
      <c r="J486" s="205">
        <f t="shared" si="94"/>
        <v>0</v>
      </c>
      <c r="K486" s="205">
        <f t="shared" si="95"/>
        <v>0</v>
      </c>
      <c r="L486" s="430">
        <f t="shared" si="96"/>
        <v>0</v>
      </c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 spans="1:26" ht="14.4">
      <c r="A487" s="450"/>
      <c r="B487" s="428" t="s">
        <v>572</v>
      </c>
      <c r="C487" s="431"/>
      <c r="D487" s="321"/>
      <c r="E487" s="321"/>
      <c r="F487" s="429">
        <f t="shared" si="93"/>
        <v>0</v>
      </c>
      <c r="G487" s="203">
        <v>23000</v>
      </c>
      <c r="H487" s="203">
        <v>28000</v>
      </c>
      <c r="I487" s="204"/>
      <c r="J487" s="205">
        <f t="shared" si="94"/>
        <v>0</v>
      </c>
      <c r="K487" s="205">
        <f t="shared" si="95"/>
        <v>0</v>
      </c>
      <c r="L487" s="430">
        <f t="shared" si="96"/>
        <v>0</v>
      </c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 spans="1:26" ht="14.4">
      <c r="A488" s="450"/>
      <c r="B488" s="428" t="s">
        <v>573</v>
      </c>
      <c r="C488" s="431"/>
      <c r="D488" s="321"/>
      <c r="E488" s="321"/>
      <c r="F488" s="429">
        <f t="shared" si="93"/>
        <v>0</v>
      </c>
      <c r="G488" s="203">
        <v>38000</v>
      </c>
      <c r="H488" s="203">
        <v>41000</v>
      </c>
      <c r="I488" s="204"/>
      <c r="J488" s="205">
        <f t="shared" si="94"/>
        <v>0</v>
      </c>
      <c r="K488" s="205">
        <f t="shared" si="95"/>
        <v>0</v>
      </c>
      <c r="L488" s="430">
        <f t="shared" si="96"/>
        <v>0</v>
      </c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 spans="1:26" ht="14.4">
      <c r="A489" s="450"/>
      <c r="B489" s="428" t="s">
        <v>672</v>
      </c>
      <c r="C489" s="431">
        <v>1</v>
      </c>
      <c r="D489" s="321"/>
      <c r="E489" s="321"/>
      <c r="F489" s="429">
        <f t="shared" si="93"/>
        <v>1</v>
      </c>
      <c r="G489" s="203">
        <v>50000</v>
      </c>
      <c r="H489" s="203">
        <v>55000</v>
      </c>
      <c r="I489" s="204"/>
      <c r="J489" s="205">
        <f t="shared" si="94"/>
        <v>0</v>
      </c>
      <c r="K489" s="205">
        <f t="shared" si="95"/>
        <v>0</v>
      </c>
      <c r="L489" s="430">
        <f t="shared" si="96"/>
        <v>50000</v>
      </c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 spans="1:26" ht="14.4">
      <c r="A490" s="450"/>
      <c r="B490" s="428" t="s">
        <v>575</v>
      </c>
      <c r="C490" s="431"/>
      <c r="D490" s="321"/>
      <c r="E490" s="321"/>
      <c r="F490" s="429">
        <f t="shared" si="93"/>
        <v>0</v>
      </c>
      <c r="G490" s="203">
        <v>31500</v>
      </c>
      <c r="H490" s="203">
        <v>35000</v>
      </c>
      <c r="I490" s="204"/>
      <c r="J490" s="205">
        <f t="shared" si="94"/>
        <v>0</v>
      </c>
      <c r="K490" s="205">
        <f t="shared" si="95"/>
        <v>0</v>
      </c>
      <c r="L490" s="430">
        <f t="shared" si="96"/>
        <v>0</v>
      </c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 spans="1:26" ht="14.4">
      <c r="A491" s="450"/>
      <c r="B491" s="428" t="s">
        <v>576</v>
      </c>
      <c r="C491" s="431"/>
      <c r="D491" s="321"/>
      <c r="E491" s="321"/>
      <c r="F491" s="429">
        <f t="shared" si="93"/>
        <v>0</v>
      </c>
      <c r="G491" s="203">
        <v>36000</v>
      </c>
      <c r="H491" s="203">
        <v>48000</v>
      </c>
      <c r="I491" s="204"/>
      <c r="J491" s="205">
        <f t="shared" si="94"/>
        <v>0</v>
      </c>
      <c r="K491" s="205">
        <f t="shared" si="95"/>
        <v>0</v>
      </c>
      <c r="L491" s="430">
        <f t="shared" si="96"/>
        <v>0</v>
      </c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 spans="1:26" ht="14.4">
      <c r="A492" s="450"/>
      <c r="B492" s="428" t="s">
        <v>577</v>
      </c>
      <c r="C492" s="431"/>
      <c r="D492" s="321"/>
      <c r="E492" s="321"/>
      <c r="F492" s="429">
        <f t="shared" si="93"/>
        <v>0</v>
      </c>
      <c r="G492" s="203">
        <v>34908</v>
      </c>
      <c r="H492" s="203">
        <v>37000</v>
      </c>
      <c r="I492" s="204"/>
      <c r="J492" s="205">
        <f t="shared" si="94"/>
        <v>0</v>
      </c>
      <c r="K492" s="205">
        <f t="shared" si="95"/>
        <v>0</v>
      </c>
      <c r="L492" s="430">
        <f t="shared" si="96"/>
        <v>0</v>
      </c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 spans="1:26" ht="14.4">
      <c r="A493" s="450"/>
      <c r="B493" s="428" t="s">
        <v>578</v>
      </c>
      <c r="C493" s="321"/>
      <c r="D493" s="321"/>
      <c r="E493" s="321"/>
      <c r="F493" s="429">
        <f t="shared" si="93"/>
        <v>0</v>
      </c>
      <c r="G493" s="203">
        <v>9266</v>
      </c>
      <c r="H493" s="203">
        <v>12500</v>
      </c>
      <c r="I493" s="204"/>
      <c r="J493" s="205">
        <f t="shared" si="94"/>
        <v>0</v>
      </c>
      <c r="K493" s="205">
        <f t="shared" si="95"/>
        <v>0</v>
      </c>
      <c r="L493" s="430">
        <f t="shared" si="96"/>
        <v>0</v>
      </c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 spans="1:26" ht="14.4">
      <c r="A494" s="450"/>
      <c r="B494" s="428" t="s">
        <v>579</v>
      </c>
      <c r="C494" s="431">
        <v>28</v>
      </c>
      <c r="D494" s="321"/>
      <c r="E494" s="321"/>
      <c r="F494" s="429">
        <f t="shared" si="93"/>
        <v>28</v>
      </c>
      <c r="G494" s="203">
        <v>10400</v>
      </c>
      <c r="H494" s="203">
        <v>13000</v>
      </c>
      <c r="I494" s="204"/>
      <c r="J494" s="205">
        <f t="shared" si="94"/>
        <v>0</v>
      </c>
      <c r="K494" s="205">
        <f t="shared" si="95"/>
        <v>0</v>
      </c>
      <c r="L494" s="430">
        <f t="shared" si="96"/>
        <v>291200</v>
      </c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 spans="1:26" ht="14.4">
      <c r="A495" s="450"/>
      <c r="B495" s="428" t="s">
        <v>580</v>
      </c>
      <c r="C495" s="431">
        <v>4</v>
      </c>
      <c r="D495" s="321"/>
      <c r="E495" s="321"/>
      <c r="F495" s="429">
        <f t="shared" si="93"/>
        <v>4</v>
      </c>
      <c r="G495" s="203">
        <v>18000</v>
      </c>
      <c r="H495" s="203">
        <v>20000</v>
      </c>
      <c r="I495" s="204"/>
      <c r="J495" s="205">
        <f t="shared" si="94"/>
        <v>0</v>
      </c>
      <c r="K495" s="205">
        <f t="shared" si="95"/>
        <v>0</v>
      </c>
      <c r="L495" s="430">
        <f t="shared" si="96"/>
        <v>72000</v>
      </c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 spans="1:26" ht="14.4">
      <c r="A496" s="450"/>
      <c r="B496" s="428" t="s">
        <v>581</v>
      </c>
      <c r="C496" s="431">
        <v>4</v>
      </c>
      <c r="D496" s="321"/>
      <c r="E496" s="321"/>
      <c r="F496" s="429">
        <f t="shared" si="93"/>
        <v>4</v>
      </c>
      <c r="G496" s="203">
        <v>85000</v>
      </c>
      <c r="H496" s="203">
        <v>89000</v>
      </c>
      <c r="I496" s="204"/>
      <c r="J496" s="205">
        <f t="shared" si="94"/>
        <v>0</v>
      </c>
      <c r="K496" s="205">
        <f t="shared" si="95"/>
        <v>0</v>
      </c>
      <c r="L496" s="430">
        <f t="shared" si="96"/>
        <v>340000</v>
      </c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 spans="1:26" ht="14.4">
      <c r="A497" s="450"/>
      <c r="B497" s="428" t="s">
        <v>582</v>
      </c>
      <c r="C497" s="431">
        <v>3</v>
      </c>
      <c r="D497" s="321"/>
      <c r="E497" s="321"/>
      <c r="F497" s="429">
        <f t="shared" si="93"/>
        <v>3</v>
      </c>
      <c r="G497" s="203">
        <v>41000</v>
      </c>
      <c r="H497" s="203">
        <v>46000</v>
      </c>
      <c r="I497" s="204"/>
      <c r="J497" s="205">
        <f t="shared" si="94"/>
        <v>0</v>
      </c>
      <c r="K497" s="205">
        <f t="shared" si="95"/>
        <v>0</v>
      </c>
      <c r="L497" s="430">
        <f t="shared" si="96"/>
        <v>123000</v>
      </c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 spans="1:26" ht="14.4">
      <c r="A498" s="450"/>
      <c r="B498" s="428" t="s">
        <v>583</v>
      </c>
      <c r="C498" s="431">
        <v>3</v>
      </c>
      <c r="D498" s="321"/>
      <c r="E498" s="321"/>
      <c r="F498" s="429">
        <f t="shared" si="93"/>
        <v>3</v>
      </c>
      <c r="G498" s="203">
        <v>138000</v>
      </c>
      <c r="H498" s="203">
        <v>141000</v>
      </c>
      <c r="I498" s="204"/>
      <c r="J498" s="205">
        <f t="shared" si="94"/>
        <v>0</v>
      </c>
      <c r="K498" s="205">
        <f t="shared" si="95"/>
        <v>0</v>
      </c>
      <c r="L498" s="430">
        <f t="shared" si="96"/>
        <v>414000</v>
      </c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 spans="1:26" ht="14.4">
      <c r="A499" s="450"/>
      <c r="B499" s="428" t="s">
        <v>584</v>
      </c>
      <c r="C499" s="431">
        <v>3</v>
      </c>
      <c r="D499" s="321"/>
      <c r="E499" s="321"/>
      <c r="F499" s="429">
        <f t="shared" si="93"/>
        <v>3</v>
      </c>
      <c r="G499" s="203">
        <f>23600</f>
        <v>23600</v>
      </c>
      <c r="H499" s="203">
        <v>26000</v>
      </c>
      <c r="I499" s="204"/>
      <c r="J499" s="205">
        <f t="shared" si="94"/>
        <v>0</v>
      </c>
      <c r="K499" s="205">
        <f t="shared" si="95"/>
        <v>0</v>
      </c>
      <c r="L499" s="430">
        <f t="shared" si="96"/>
        <v>70800</v>
      </c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 spans="1:26" ht="14.4">
      <c r="A500" s="450"/>
      <c r="B500" s="428" t="s">
        <v>585</v>
      </c>
      <c r="C500" s="431"/>
      <c r="D500" s="321"/>
      <c r="E500" s="321"/>
      <c r="F500" s="429">
        <f t="shared" si="93"/>
        <v>0</v>
      </c>
      <c r="G500" s="203">
        <v>13513</v>
      </c>
      <c r="H500" s="203">
        <v>16000</v>
      </c>
      <c r="I500" s="204"/>
      <c r="J500" s="205">
        <f t="shared" si="94"/>
        <v>0</v>
      </c>
      <c r="K500" s="205">
        <f t="shared" si="95"/>
        <v>0</v>
      </c>
      <c r="L500" s="430">
        <f t="shared" si="96"/>
        <v>0</v>
      </c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 spans="1:26" ht="14.4">
      <c r="A501" s="450"/>
      <c r="B501" s="428" t="s">
        <v>586</v>
      </c>
      <c r="C501" s="321">
        <v>5</v>
      </c>
      <c r="D501" s="321"/>
      <c r="E501" s="321"/>
      <c r="F501" s="429">
        <f t="shared" si="93"/>
        <v>5</v>
      </c>
      <c r="G501" s="203">
        <v>9450</v>
      </c>
      <c r="H501" s="203">
        <v>13000</v>
      </c>
      <c r="I501" s="204"/>
      <c r="J501" s="205">
        <f t="shared" si="94"/>
        <v>0</v>
      </c>
      <c r="K501" s="205">
        <f t="shared" si="95"/>
        <v>0</v>
      </c>
      <c r="L501" s="430">
        <f t="shared" si="96"/>
        <v>47250</v>
      </c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 spans="1:26" ht="14.4">
      <c r="A502" s="450"/>
      <c r="B502" s="428" t="s">
        <v>587</v>
      </c>
      <c r="C502" s="431">
        <v>1</v>
      </c>
      <c r="D502" s="321"/>
      <c r="E502" s="321"/>
      <c r="F502" s="429">
        <f t="shared" si="93"/>
        <v>1</v>
      </c>
      <c r="G502" s="203">
        <v>21000</v>
      </c>
      <c r="H502" s="203">
        <v>13000</v>
      </c>
      <c r="I502" s="204"/>
      <c r="J502" s="205">
        <f t="shared" si="94"/>
        <v>0</v>
      </c>
      <c r="K502" s="205">
        <f t="shared" si="95"/>
        <v>0</v>
      </c>
      <c r="L502" s="430">
        <f t="shared" si="96"/>
        <v>21000</v>
      </c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 spans="1:26" ht="14.4">
      <c r="A503" s="450"/>
      <c r="B503" s="428" t="s">
        <v>588</v>
      </c>
      <c r="C503" s="321">
        <v>1</v>
      </c>
      <c r="D503" s="321"/>
      <c r="E503" s="321"/>
      <c r="F503" s="429">
        <f t="shared" si="93"/>
        <v>1</v>
      </c>
      <c r="G503" s="203">
        <v>54310</v>
      </c>
      <c r="H503" s="203">
        <v>58000</v>
      </c>
      <c r="I503" s="204"/>
      <c r="J503" s="205">
        <f t="shared" si="94"/>
        <v>0</v>
      </c>
      <c r="K503" s="205">
        <f t="shared" si="95"/>
        <v>0</v>
      </c>
      <c r="L503" s="430">
        <f t="shared" si="96"/>
        <v>54310</v>
      </c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 spans="1:26" ht="14.4">
      <c r="A504" s="450"/>
      <c r="B504" s="428" t="s">
        <v>589</v>
      </c>
      <c r="C504" s="431">
        <v>7</v>
      </c>
      <c r="D504" s="321"/>
      <c r="E504" s="321"/>
      <c r="F504" s="429">
        <f t="shared" si="93"/>
        <v>7</v>
      </c>
      <c r="G504" s="203">
        <v>14640</v>
      </c>
      <c r="H504" s="203">
        <v>16000</v>
      </c>
      <c r="I504" s="204"/>
      <c r="J504" s="205">
        <f t="shared" si="94"/>
        <v>0</v>
      </c>
      <c r="K504" s="205">
        <f t="shared" si="95"/>
        <v>0</v>
      </c>
      <c r="L504" s="430">
        <f t="shared" si="96"/>
        <v>102480</v>
      </c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 spans="1:26" ht="14.4">
      <c r="A505" s="450"/>
      <c r="B505" s="428" t="s">
        <v>590</v>
      </c>
      <c r="C505" s="431">
        <v>0</v>
      </c>
      <c r="D505" s="321"/>
      <c r="E505" s="321"/>
      <c r="F505" s="429">
        <f t="shared" si="93"/>
        <v>0</v>
      </c>
      <c r="G505" s="203">
        <v>6300</v>
      </c>
      <c r="H505" s="203">
        <v>9000</v>
      </c>
      <c r="I505" s="204"/>
      <c r="J505" s="205">
        <f t="shared" si="94"/>
        <v>0</v>
      </c>
      <c r="K505" s="205">
        <f t="shared" si="95"/>
        <v>0</v>
      </c>
      <c r="L505" s="430">
        <f t="shared" si="96"/>
        <v>0</v>
      </c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 spans="1:26" ht="14.4">
      <c r="A506" s="450"/>
      <c r="B506" s="428" t="s">
        <v>591</v>
      </c>
      <c r="C506" s="431">
        <v>0</v>
      </c>
      <c r="D506" s="321"/>
      <c r="E506" s="321"/>
      <c r="F506" s="429">
        <f t="shared" si="93"/>
        <v>0</v>
      </c>
      <c r="G506" s="203">
        <v>16800</v>
      </c>
      <c r="H506" s="203">
        <v>19000</v>
      </c>
      <c r="I506" s="204"/>
      <c r="J506" s="205">
        <f t="shared" si="94"/>
        <v>0</v>
      </c>
      <c r="K506" s="205">
        <f t="shared" si="95"/>
        <v>0</v>
      </c>
      <c r="L506" s="430">
        <f t="shared" si="96"/>
        <v>0</v>
      </c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 spans="1:26" ht="14.4">
      <c r="A507" s="450"/>
      <c r="B507" s="428" t="s">
        <v>592</v>
      </c>
      <c r="C507" s="431">
        <v>6</v>
      </c>
      <c r="D507" s="321"/>
      <c r="E507" s="321"/>
      <c r="F507" s="429">
        <f t="shared" si="93"/>
        <v>6</v>
      </c>
      <c r="G507" s="203">
        <v>27000</v>
      </c>
      <c r="H507" s="203">
        <v>30000</v>
      </c>
      <c r="I507" s="204"/>
      <c r="J507" s="205">
        <f t="shared" si="94"/>
        <v>0</v>
      </c>
      <c r="K507" s="205">
        <f t="shared" si="95"/>
        <v>0</v>
      </c>
      <c r="L507" s="430">
        <f t="shared" si="96"/>
        <v>162000</v>
      </c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 spans="1:26" ht="14.4">
      <c r="A508" s="450"/>
      <c r="B508" s="428" t="s">
        <v>593</v>
      </c>
      <c r="C508" s="431">
        <v>2</v>
      </c>
      <c r="D508" s="321"/>
      <c r="E508" s="321"/>
      <c r="F508" s="429">
        <f t="shared" si="93"/>
        <v>2</v>
      </c>
      <c r="G508" s="203">
        <v>20000</v>
      </c>
      <c r="H508" s="203">
        <v>22000</v>
      </c>
      <c r="I508" s="204"/>
      <c r="J508" s="205">
        <f t="shared" si="94"/>
        <v>0</v>
      </c>
      <c r="K508" s="205">
        <f t="shared" si="95"/>
        <v>0</v>
      </c>
      <c r="L508" s="430">
        <f t="shared" si="96"/>
        <v>40000</v>
      </c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 spans="1:26" ht="14.4">
      <c r="A509" s="450"/>
      <c r="B509" s="428" t="s">
        <v>594</v>
      </c>
      <c r="C509" s="431"/>
      <c r="D509" s="321"/>
      <c r="E509" s="321"/>
      <c r="F509" s="429">
        <f t="shared" si="93"/>
        <v>0</v>
      </c>
      <c r="G509" s="203">
        <v>40000</v>
      </c>
      <c r="H509" s="203">
        <v>55000</v>
      </c>
      <c r="I509" s="204"/>
      <c r="J509" s="205">
        <f t="shared" si="94"/>
        <v>0</v>
      </c>
      <c r="K509" s="205">
        <f t="shared" si="95"/>
        <v>0</v>
      </c>
      <c r="L509" s="430">
        <f t="shared" si="96"/>
        <v>0</v>
      </c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 spans="1:26" ht="14.4">
      <c r="A510" s="450"/>
      <c r="B510" s="428" t="s">
        <v>595</v>
      </c>
      <c r="C510" s="431">
        <v>0</v>
      </c>
      <c r="D510" s="321"/>
      <c r="E510" s="321"/>
      <c r="F510" s="429">
        <f t="shared" si="93"/>
        <v>0</v>
      </c>
      <c r="G510" s="203">
        <v>7900</v>
      </c>
      <c r="H510" s="203">
        <v>11000</v>
      </c>
      <c r="I510" s="204"/>
      <c r="J510" s="205">
        <f t="shared" si="94"/>
        <v>0</v>
      </c>
      <c r="K510" s="205">
        <f t="shared" si="95"/>
        <v>0</v>
      </c>
      <c r="L510" s="430">
        <f t="shared" si="96"/>
        <v>0</v>
      </c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 spans="1:26" ht="14.4">
      <c r="A511" s="450"/>
      <c r="B511" s="428" t="s">
        <v>596</v>
      </c>
      <c r="C511" s="431">
        <v>14</v>
      </c>
      <c r="D511" s="321"/>
      <c r="E511" s="321"/>
      <c r="F511" s="429">
        <f t="shared" si="93"/>
        <v>14</v>
      </c>
      <c r="G511" s="203">
        <v>18327</v>
      </c>
      <c r="H511" s="203">
        <v>21000</v>
      </c>
      <c r="I511" s="204"/>
      <c r="J511" s="205">
        <f t="shared" si="94"/>
        <v>0</v>
      </c>
      <c r="K511" s="205">
        <f t="shared" si="95"/>
        <v>0</v>
      </c>
      <c r="L511" s="430">
        <f t="shared" si="96"/>
        <v>256578</v>
      </c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 spans="1:26" ht="14.4">
      <c r="A512" s="450"/>
      <c r="B512" s="428" t="s">
        <v>597</v>
      </c>
      <c r="C512" s="431">
        <v>2</v>
      </c>
      <c r="D512" s="321"/>
      <c r="E512" s="321"/>
      <c r="F512" s="429">
        <f t="shared" si="93"/>
        <v>2</v>
      </c>
      <c r="G512" s="203">
        <v>19800</v>
      </c>
      <c r="H512" s="203">
        <v>23000</v>
      </c>
      <c r="I512" s="204"/>
      <c r="J512" s="205">
        <f t="shared" si="94"/>
        <v>0</v>
      </c>
      <c r="K512" s="205">
        <f t="shared" si="95"/>
        <v>0</v>
      </c>
      <c r="L512" s="430">
        <f t="shared" si="96"/>
        <v>39600</v>
      </c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 spans="1:26" ht="14.4">
      <c r="A513" s="450"/>
      <c r="B513" s="428" t="s">
        <v>598</v>
      </c>
      <c r="C513" s="431">
        <v>2</v>
      </c>
      <c r="D513" s="321"/>
      <c r="E513" s="321"/>
      <c r="F513" s="429">
        <f t="shared" si="93"/>
        <v>2</v>
      </c>
      <c r="G513" s="203">
        <v>18650</v>
      </c>
      <c r="H513" s="203">
        <v>21000</v>
      </c>
      <c r="I513" s="204"/>
      <c r="J513" s="205">
        <f t="shared" si="94"/>
        <v>0</v>
      </c>
      <c r="K513" s="205">
        <f t="shared" si="95"/>
        <v>0</v>
      </c>
      <c r="L513" s="430">
        <f t="shared" si="96"/>
        <v>37300</v>
      </c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 spans="1:26" ht="14.4">
      <c r="A514" s="450"/>
      <c r="B514" s="451" t="s">
        <v>599</v>
      </c>
      <c r="C514" s="431">
        <v>7</v>
      </c>
      <c r="D514" s="321"/>
      <c r="E514" s="321"/>
      <c r="F514" s="429">
        <f t="shared" si="93"/>
        <v>7</v>
      </c>
      <c r="G514" s="203">
        <v>17000</v>
      </c>
      <c r="H514" s="203">
        <v>20000</v>
      </c>
      <c r="I514" s="204"/>
      <c r="J514" s="205">
        <f t="shared" si="94"/>
        <v>0</v>
      </c>
      <c r="K514" s="205">
        <f t="shared" si="95"/>
        <v>0</v>
      </c>
      <c r="L514" s="430">
        <f t="shared" si="96"/>
        <v>119000</v>
      </c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 spans="1:26" ht="14.4">
      <c r="A515" s="450"/>
      <c r="B515" s="451" t="s">
        <v>600</v>
      </c>
      <c r="C515" s="321">
        <v>4</v>
      </c>
      <c r="D515" s="321"/>
      <c r="E515" s="321"/>
      <c r="F515" s="429">
        <f t="shared" si="93"/>
        <v>4</v>
      </c>
      <c r="G515" s="203">
        <v>67400</v>
      </c>
      <c r="H515" s="203">
        <v>59000</v>
      </c>
      <c r="I515" s="204"/>
      <c r="J515" s="205">
        <f t="shared" si="94"/>
        <v>0</v>
      </c>
      <c r="K515" s="205">
        <f t="shared" si="95"/>
        <v>0</v>
      </c>
      <c r="L515" s="430">
        <f t="shared" si="96"/>
        <v>269600</v>
      </c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 spans="1:26" ht="14.4">
      <c r="A516" s="450"/>
      <c r="B516" s="451" t="s">
        <v>601</v>
      </c>
      <c r="C516" s="431">
        <v>0</v>
      </c>
      <c r="D516" s="321"/>
      <c r="E516" s="321"/>
      <c r="F516" s="429">
        <f t="shared" si="93"/>
        <v>0</v>
      </c>
      <c r="G516" s="203">
        <v>29000</v>
      </c>
      <c r="H516" s="203">
        <v>31800</v>
      </c>
      <c r="I516" s="204"/>
      <c r="J516" s="205">
        <f t="shared" si="94"/>
        <v>0</v>
      </c>
      <c r="K516" s="205">
        <f t="shared" si="95"/>
        <v>0</v>
      </c>
      <c r="L516" s="430">
        <f t="shared" si="96"/>
        <v>0</v>
      </c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 spans="1:26" ht="14.4">
      <c r="A517" s="450"/>
      <c r="B517" s="451" t="s">
        <v>602</v>
      </c>
      <c r="C517" s="431">
        <v>1</v>
      </c>
      <c r="D517" s="321"/>
      <c r="E517" s="321"/>
      <c r="F517" s="429">
        <f t="shared" si="93"/>
        <v>1</v>
      </c>
      <c r="G517" s="203">
        <v>29500</v>
      </c>
      <c r="H517" s="203">
        <v>32000</v>
      </c>
      <c r="I517" s="204"/>
      <c r="J517" s="205">
        <f t="shared" si="94"/>
        <v>0</v>
      </c>
      <c r="K517" s="205">
        <f t="shared" si="95"/>
        <v>0</v>
      </c>
      <c r="L517" s="430">
        <f t="shared" si="96"/>
        <v>29500</v>
      </c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 spans="1:26" ht="14.4">
      <c r="A518" s="450"/>
      <c r="B518" s="451" t="s">
        <v>603</v>
      </c>
      <c r="C518" s="431">
        <v>1</v>
      </c>
      <c r="D518" s="321"/>
      <c r="E518" s="321"/>
      <c r="F518" s="429">
        <f t="shared" si="93"/>
        <v>1</v>
      </c>
      <c r="G518" s="203">
        <v>48000</v>
      </c>
      <c r="H518" s="203">
        <v>52000</v>
      </c>
      <c r="I518" s="204"/>
      <c r="J518" s="205">
        <f t="shared" si="94"/>
        <v>0</v>
      </c>
      <c r="K518" s="205">
        <f t="shared" si="95"/>
        <v>0</v>
      </c>
      <c r="L518" s="430">
        <f t="shared" si="96"/>
        <v>48000</v>
      </c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 spans="1:26" ht="14.4">
      <c r="A519" s="450"/>
      <c r="B519" s="451" t="s">
        <v>604</v>
      </c>
      <c r="C519" s="431">
        <v>1</v>
      </c>
      <c r="D519" s="321"/>
      <c r="E519" s="321"/>
      <c r="F519" s="429">
        <f t="shared" si="93"/>
        <v>1</v>
      </c>
      <c r="G519" s="203">
        <v>50000</v>
      </c>
      <c r="H519" s="203">
        <v>54000</v>
      </c>
      <c r="I519" s="204"/>
      <c r="J519" s="205">
        <f t="shared" si="94"/>
        <v>0</v>
      </c>
      <c r="K519" s="205">
        <f t="shared" si="95"/>
        <v>0</v>
      </c>
      <c r="L519" s="430">
        <f t="shared" si="96"/>
        <v>50000</v>
      </c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 spans="1:26" ht="14.4">
      <c r="A520" s="450"/>
      <c r="B520" s="451" t="s">
        <v>605</v>
      </c>
      <c r="C520" s="431">
        <v>1</v>
      </c>
      <c r="D520" s="321"/>
      <c r="E520" s="321"/>
      <c r="F520" s="429">
        <f t="shared" si="93"/>
        <v>1</v>
      </c>
      <c r="G520" s="203">
        <v>42000</v>
      </c>
      <c r="H520" s="203">
        <v>46000</v>
      </c>
      <c r="I520" s="204"/>
      <c r="J520" s="205">
        <f t="shared" si="94"/>
        <v>0</v>
      </c>
      <c r="K520" s="205">
        <f t="shared" si="95"/>
        <v>0</v>
      </c>
      <c r="L520" s="430">
        <f t="shared" si="96"/>
        <v>42000</v>
      </c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 spans="1:26" ht="14.4">
      <c r="A521" s="450"/>
      <c r="B521" s="451" t="s">
        <v>606</v>
      </c>
      <c r="C521" s="431">
        <v>6</v>
      </c>
      <c r="D521" s="321"/>
      <c r="E521" s="321"/>
      <c r="F521" s="429">
        <f t="shared" si="93"/>
        <v>6</v>
      </c>
      <c r="G521" s="203">
        <v>34000</v>
      </c>
      <c r="H521" s="203">
        <v>38000</v>
      </c>
      <c r="I521" s="204"/>
      <c r="J521" s="205">
        <f t="shared" si="94"/>
        <v>0</v>
      </c>
      <c r="K521" s="205">
        <f t="shared" si="95"/>
        <v>0</v>
      </c>
      <c r="L521" s="430">
        <f t="shared" si="96"/>
        <v>204000</v>
      </c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 spans="1:26" ht="14.4">
      <c r="A522" s="450"/>
      <c r="B522" s="451" t="s">
        <v>607</v>
      </c>
      <c r="C522" s="431">
        <v>20</v>
      </c>
      <c r="D522" s="321"/>
      <c r="E522" s="321"/>
      <c r="F522" s="429">
        <f t="shared" si="93"/>
        <v>20</v>
      </c>
      <c r="G522" s="203">
        <v>18000</v>
      </c>
      <c r="H522" s="203">
        <v>21000</v>
      </c>
      <c r="I522" s="204"/>
      <c r="J522" s="205">
        <f t="shared" si="94"/>
        <v>0</v>
      </c>
      <c r="K522" s="205">
        <f t="shared" si="95"/>
        <v>0</v>
      </c>
      <c r="L522" s="430">
        <f t="shared" si="96"/>
        <v>360000</v>
      </c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 spans="1:26" ht="14.4">
      <c r="A523" s="450"/>
      <c r="B523" s="451" t="s">
        <v>673</v>
      </c>
      <c r="C523" s="431">
        <v>1</v>
      </c>
      <c r="D523" s="321"/>
      <c r="E523" s="321"/>
      <c r="F523" s="429">
        <f t="shared" si="93"/>
        <v>1</v>
      </c>
      <c r="G523" s="203"/>
      <c r="H523" s="203"/>
      <c r="I523" s="204"/>
      <c r="J523" s="205">
        <f t="shared" si="94"/>
        <v>0</v>
      </c>
      <c r="K523" s="205">
        <f t="shared" si="95"/>
        <v>0</v>
      </c>
      <c r="L523" s="430">
        <f t="shared" si="96"/>
        <v>0</v>
      </c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 spans="1:26" ht="14.4">
      <c r="A524" s="450"/>
      <c r="B524" s="451" t="s">
        <v>674</v>
      </c>
      <c r="C524" s="431">
        <v>3</v>
      </c>
      <c r="D524" s="321"/>
      <c r="E524" s="321"/>
      <c r="F524" s="429">
        <f t="shared" si="93"/>
        <v>3</v>
      </c>
      <c r="G524" s="203"/>
      <c r="H524" s="203"/>
      <c r="I524" s="204"/>
      <c r="J524" s="205">
        <f t="shared" si="94"/>
        <v>0</v>
      </c>
      <c r="K524" s="205">
        <f t="shared" si="95"/>
        <v>0</v>
      </c>
      <c r="L524" s="430">
        <f t="shared" si="96"/>
        <v>0</v>
      </c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 spans="1:26" ht="14.4">
      <c r="A525" s="450"/>
      <c r="B525" s="451" t="s">
        <v>610</v>
      </c>
      <c r="C525" s="431">
        <v>3</v>
      </c>
      <c r="D525" s="321"/>
      <c r="E525" s="321"/>
      <c r="F525" s="429">
        <f t="shared" si="93"/>
        <v>3</v>
      </c>
      <c r="G525" s="203">
        <f>136685/4</f>
        <v>34171.25</v>
      </c>
      <c r="H525" s="203">
        <v>38000</v>
      </c>
      <c r="I525" s="204"/>
      <c r="J525" s="205">
        <f t="shared" si="94"/>
        <v>0</v>
      </c>
      <c r="K525" s="205">
        <f t="shared" si="95"/>
        <v>0</v>
      </c>
      <c r="L525" s="430">
        <f t="shared" si="96"/>
        <v>102513.75</v>
      </c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 spans="1:26" ht="14.4">
      <c r="A526" s="450"/>
      <c r="B526" s="451" t="s">
        <v>611</v>
      </c>
      <c r="C526" s="431">
        <v>5</v>
      </c>
      <c r="D526" s="321"/>
      <c r="E526" s="321"/>
      <c r="F526" s="429">
        <f t="shared" si="93"/>
        <v>5</v>
      </c>
      <c r="G526" s="203">
        <v>24000</v>
      </c>
      <c r="H526" s="203">
        <v>26000</v>
      </c>
      <c r="I526" s="204"/>
      <c r="J526" s="205">
        <f t="shared" si="94"/>
        <v>0</v>
      </c>
      <c r="K526" s="205">
        <f t="shared" si="95"/>
        <v>0</v>
      </c>
      <c r="L526" s="430">
        <f t="shared" si="96"/>
        <v>120000</v>
      </c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 spans="1:26" ht="14.4">
      <c r="A527" s="450"/>
      <c r="B527" s="451" t="s">
        <v>612</v>
      </c>
      <c r="C527" s="431">
        <v>41</v>
      </c>
      <c r="D527" s="321"/>
      <c r="E527" s="321"/>
      <c r="F527" s="429">
        <f t="shared" si="93"/>
        <v>41</v>
      </c>
      <c r="G527" s="203">
        <v>16000</v>
      </c>
      <c r="H527" s="203">
        <v>18000</v>
      </c>
      <c r="I527" s="204"/>
      <c r="J527" s="205">
        <f t="shared" si="94"/>
        <v>0</v>
      </c>
      <c r="K527" s="205">
        <f t="shared" si="95"/>
        <v>0</v>
      </c>
      <c r="L527" s="430">
        <f t="shared" si="96"/>
        <v>656000</v>
      </c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 spans="1:26" ht="14.4">
      <c r="A528" s="450"/>
      <c r="B528" s="451" t="s">
        <v>675</v>
      </c>
      <c r="C528" s="431">
        <v>5</v>
      </c>
      <c r="D528" s="321"/>
      <c r="E528" s="321"/>
      <c r="F528" s="429">
        <f t="shared" si="93"/>
        <v>5</v>
      </c>
      <c r="G528" s="203">
        <v>16000</v>
      </c>
      <c r="H528" s="203">
        <v>20000</v>
      </c>
      <c r="I528" s="204"/>
      <c r="J528" s="205">
        <f t="shared" si="94"/>
        <v>0</v>
      </c>
      <c r="K528" s="205">
        <f t="shared" si="95"/>
        <v>0</v>
      </c>
      <c r="L528" s="430">
        <f t="shared" si="96"/>
        <v>80000</v>
      </c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 spans="1:26" ht="14.4">
      <c r="A529" s="450"/>
      <c r="B529" s="451" t="s">
        <v>614</v>
      </c>
      <c r="C529" s="431">
        <v>2</v>
      </c>
      <c r="D529" s="321"/>
      <c r="E529" s="321"/>
      <c r="F529" s="429">
        <f t="shared" si="93"/>
        <v>2</v>
      </c>
      <c r="G529" s="203">
        <v>75000</v>
      </c>
      <c r="H529" s="203">
        <v>80000</v>
      </c>
      <c r="I529" s="204"/>
      <c r="J529" s="205">
        <f t="shared" si="94"/>
        <v>0</v>
      </c>
      <c r="K529" s="205">
        <f t="shared" si="95"/>
        <v>0</v>
      </c>
      <c r="L529" s="430">
        <f t="shared" si="96"/>
        <v>150000</v>
      </c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 spans="1:26" ht="14.4">
      <c r="A530" s="450"/>
      <c r="B530" s="451" t="s">
        <v>615</v>
      </c>
      <c r="C530" s="321">
        <v>3</v>
      </c>
      <c r="D530" s="321"/>
      <c r="E530" s="321"/>
      <c r="F530" s="429">
        <f t="shared" si="93"/>
        <v>3</v>
      </c>
      <c r="G530" s="203">
        <v>129187</v>
      </c>
      <c r="H530" s="203">
        <v>131000</v>
      </c>
      <c r="I530" s="204"/>
      <c r="J530" s="205">
        <f t="shared" si="94"/>
        <v>0</v>
      </c>
      <c r="K530" s="205">
        <f t="shared" si="95"/>
        <v>0</v>
      </c>
      <c r="L530" s="430">
        <f t="shared" si="96"/>
        <v>387561</v>
      </c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 spans="1:26" ht="14.4">
      <c r="A531" s="450"/>
      <c r="B531" s="451" t="s">
        <v>616</v>
      </c>
      <c r="C531" s="431"/>
      <c r="D531" s="321"/>
      <c r="E531" s="321"/>
      <c r="F531" s="429">
        <f t="shared" si="93"/>
        <v>0</v>
      </c>
      <c r="G531" s="203">
        <v>11000</v>
      </c>
      <c r="H531" s="203">
        <v>13000</v>
      </c>
      <c r="I531" s="204"/>
      <c r="J531" s="205">
        <f t="shared" si="94"/>
        <v>0</v>
      </c>
      <c r="K531" s="205">
        <f t="shared" si="95"/>
        <v>0</v>
      </c>
      <c r="L531" s="430">
        <f t="shared" si="96"/>
        <v>0</v>
      </c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 spans="1:26" ht="14.4">
      <c r="A532" s="450"/>
      <c r="B532" s="451" t="s">
        <v>617</v>
      </c>
      <c r="C532" s="431"/>
      <c r="D532" s="321"/>
      <c r="E532" s="321"/>
      <c r="F532" s="429">
        <f t="shared" si="93"/>
        <v>0</v>
      </c>
      <c r="G532" s="203">
        <v>61000</v>
      </c>
      <c r="H532" s="203">
        <v>66000</v>
      </c>
      <c r="I532" s="204"/>
      <c r="J532" s="205">
        <f t="shared" si="94"/>
        <v>0</v>
      </c>
      <c r="K532" s="205">
        <f t="shared" si="95"/>
        <v>0</v>
      </c>
      <c r="L532" s="430">
        <f t="shared" si="96"/>
        <v>0</v>
      </c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 spans="1:26" ht="14.4">
      <c r="A533" s="450"/>
      <c r="B533" s="451" t="s">
        <v>618</v>
      </c>
      <c r="C533" s="431">
        <v>3</v>
      </c>
      <c r="D533" s="321"/>
      <c r="E533" s="321"/>
      <c r="F533" s="429">
        <f t="shared" si="93"/>
        <v>3</v>
      </c>
      <c r="G533" s="203">
        <v>19000</v>
      </c>
      <c r="H533" s="203">
        <v>22000</v>
      </c>
      <c r="I533" s="204"/>
      <c r="J533" s="205">
        <f t="shared" si="94"/>
        <v>0</v>
      </c>
      <c r="K533" s="205">
        <f t="shared" si="95"/>
        <v>0</v>
      </c>
      <c r="L533" s="430">
        <f t="shared" si="96"/>
        <v>57000</v>
      </c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 spans="1:26" ht="14.4">
      <c r="A534" s="450"/>
      <c r="B534" s="451" t="s">
        <v>619</v>
      </c>
      <c r="C534" s="431"/>
      <c r="D534" s="321"/>
      <c r="E534" s="321"/>
      <c r="F534" s="429">
        <f t="shared" si="93"/>
        <v>0</v>
      </c>
      <c r="G534" s="203">
        <v>10000</v>
      </c>
      <c r="H534" s="203">
        <v>12000</v>
      </c>
      <c r="I534" s="204"/>
      <c r="J534" s="205">
        <f t="shared" si="94"/>
        <v>0</v>
      </c>
      <c r="K534" s="205">
        <f t="shared" si="95"/>
        <v>0</v>
      </c>
      <c r="L534" s="430">
        <f t="shared" si="96"/>
        <v>0</v>
      </c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 spans="1:26" ht="14.4">
      <c r="A535" s="450"/>
      <c r="B535" s="451" t="s">
        <v>676</v>
      </c>
      <c r="C535" s="431">
        <v>4</v>
      </c>
      <c r="D535" s="321"/>
      <c r="E535" s="321"/>
      <c r="F535" s="429">
        <f t="shared" si="93"/>
        <v>4</v>
      </c>
      <c r="G535" s="203"/>
      <c r="H535" s="203"/>
      <c r="I535" s="204"/>
      <c r="J535" s="205">
        <f t="shared" si="94"/>
        <v>0</v>
      </c>
      <c r="K535" s="205">
        <f t="shared" si="95"/>
        <v>0</v>
      </c>
      <c r="L535" s="430">
        <f t="shared" si="96"/>
        <v>0</v>
      </c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 spans="1:26" ht="14.4">
      <c r="A536" s="450"/>
      <c r="B536" s="451" t="s">
        <v>621</v>
      </c>
      <c r="C536" s="431"/>
      <c r="D536" s="321"/>
      <c r="E536" s="321"/>
      <c r="F536" s="429">
        <f t="shared" si="93"/>
        <v>0</v>
      </c>
      <c r="G536" s="203">
        <v>11000</v>
      </c>
      <c r="H536" s="203">
        <v>13000</v>
      </c>
      <c r="I536" s="204"/>
      <c r="J536" s="205">
        <f t="shared" si="94"/>
        <v>0</v>
      </c>
      <c r="K536" s="205">
        <f t="shared" si="95"/>
        <v>0</v>
      </c>
      <c r="L536" s="430">
        <f t="shared" si="96"/>
        <v>0</v>
      </c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 spans="1:26" ht="14.4">
      <c r="A537" s="450"/>
      <c r="B537" s="451" t="s">
        <v>622</v>
      </c>
      <c r="C537" s="431">
        <v>1</v>
      </c>
      <c r="D537" s="321"/>
      <c r="E537" s="321"/>
      <c r="F537" s="429">
        <f t="shared" si="93"/>
        <v>1</v>
      </c>
      <c r="G537" s="203">
        <v>28000</v>
      </c>
      <c r="H537" s="203">
        <v>31000</v>
      </c>
      <c r="I537" s="204"/>
      <c r="J537" s="205">
        <f t="shared" si="94"/>
        <v>0</v>
      </c>
      <c r="K537" s="205">
        <f t="shared" si="95"/>
        <v>0</v>
      </c>
      <c r="L537" s="430">
        <f t="shared" si="96"/>
        <v>28000</v>
      </c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 spans="1:26" ht="14.4">
      <c r="A538" s="450"/>
      <c r="B538" s="451" t="s">
        <v>623</v>
      </c>
      <c r="C538" s="431">
        <v>2</v>
      </c>
      <c r="D538" s="321"/>
      <c r="E538" s="321"/>
      <c r="F538" s="429">
        <f t="shared" si="93"/>
        <v>2</v>
      </c>
      <c r="G538" s="203">
        <v>11000</v>
      </c>
      <c r="H538" s="203">
        <v>13000</v>
      </c>
      <c r="I538" s="204"/>
      <c r="J538" s="205">
        <f t="shared" si="94"/>
        <v>0</v>
      </c>
      <c r="K538" s="205">
        <f t="shared" si="95"/>
        <v>0</v>
      </c>
      <c r="L538" s="430">
        <f t="shared" si="96"/>
        <v>22000</v>
      </c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 spans="1:26" ht="14.4">
      <c r="A539" s="450"/>
      <c r="B539" s="451" t="s">
        <v>624</v>
      </c>
      <c r="C539" s="431">
        <v>17</v>
      </c>
      <c r="D539" s="321"/>
      <c r="E539" s="321"/>
      <c r="F539" s="429">
        <f t="shared" si="93"/>
        <v>17</v>
      </c>
      <c r="G539" s="203">
        <v>23000</v>
      </c>
      <c r="H539" s="203">
        <v>26000</v>
      </c>
      <c r="I539" s="204"/>
      <c r="J539" s="205">
        <f t="shared" si="94"/>
        <v>0</v>
      </c>
      <c r="K539" s="205">
        <f t="shared" si="95"/>
        <v>0</v>
      </c>
      <c r="L539" s="430">
        <f t="shared" si="96"/>
        <v>391000</v>
      </c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 spans="1:26" ht="14.4">
      <c r="A540" s="450"/>
      <c r="B540" s="451" t="s">
        <v>625</v>
      </c>
      <c r="C540" s="431">
        <v>2</v>
      </c>
      <c r="D540" s="321"/>
      <c r="E540" s="321"/>
      <c r="F540" s="429">
        <f t="shared" si="93"/>
        <v>2</v>
      </c>
      <c r="G540" s="203">
        <v>37000</v>
      </c>
      <c r="H540" s="203">
        <v>40000</v>
      </c>
      <c r="I540" s="204"/>
      <c r="J540" s="205">
        <f t="shared" si="94"/>
        <v>0</v>
      </c>
      <c r="K540" s="205">
        <f t="shared" si="95"/>
        <v>0</v>
      </c>
      <c r="L540" s="430">
        <f t="shared" si="96"/>
        <v>74000</v>
      </c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 spans="1:26" ht="14.4">
      <c r="A541" s="450"/>
      <c r="B541" s="451" t="s">
        <v>626</v>
      </c>
      <c r="C541" s="431">
        <v>1</v>
      </c>
      <c r="D541" s="321"/>
      <c r="E541" s="321"/>
      <c r="F541" s="429">
        <f t="shared" si="93"/>
        <v>1</v>
      </c>
      <c r="G541" s="203">
        <v>18800</v>
      </c>
      <c r="H541" s="203">
        <v>21000</v>
      </c>
      <c r="I541" s="204"/>
      <c r="J541" s="205">
        <f t="shared" si="94"/>
        <v>0</v>
      </c>
      <c r="K541" s="205">
        <f t="shared" si="95"/>
        <v>0</v>
      </c>
      <c r="L541" s="430">
        <f t="shared" si="96"/>
        <v>18800</v>
      </c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 spans="1:26" ht="14.4">
      <c r="A542" s="450"/>
      <c r="B542" s="451" t="s">
        <v>627</v>
      </c>
      <c r="C542" s="431">
        <v>0</v>
      </c>
      <c r="D542" s="321"/>
      <c r="E542" s="321"/>
      <c r="F542" s="429">
        <f t="shared" si="93"/>
        <v>0</v>
      </c>
      <c r="G542" s="203">
        <v>11500</v>
      </c>
      <c r="H542" s="203">
        <v>13000</v>
      </c>
      <c r="I542" s="204"/>
      <c r="J542" s="205">
        <f t="shared" si="94"/>
        <v>0</v>
      </c>
      <c r="K542" s="205">
        <f t="shared" si="95"/>
        <v>0</v>
      </c>
      <c r="L542" s="430">
        <f t="shared" si="96"/>
        <v>0</v>
      </c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 spans="1:26" ht="14.4">
      <c r="A543" s="450"/>
      <c r="B543" s="451" t="s">
        <v>628</v>
      </c>
      <c r="C543" s="431"/>
      <c r="D543" s="321"/>
      <c r="E543" s="321"/>
      <c r="F543" s="429">
        <f t="shared" si="93"/>
        <v>0</v>
      </c>
      <c r="G543" s="203">
        <v>22000</v>
      </c>
      <c r="H543" s="203">
        <v>24500</v>
      </c>
      <c r="I543" s="204"/>
      <c r="J543" s="205">
        <f t="shared" si="94"/>
        <v>0</v>
      </c>
      <c r="K543" s="205">
        <f t="shared" si="95"/>
        <v>0</v>
      </c>
      <c r="L543" s="430">
        <f t="shared" si="96"/>
        <v>0</v>
      </c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 spans="1:26" ht="14.4">
      <c r="A544" s="450"/>
      <c r="B544" s="451" t="s">
        <v>629</v>
      </c>
      <c r="C544" s="431">
        <v>3</v>
      </c>
      <c r="D544" s="321"/>
      <c r="E544" s="321"/>
      <c r="F544" s="429">
        <f t="shared" si="93"/>
        <v>3</v>
      </c>
      <c r="G544" s="203">
        <v>40000</v>
      </c>
      <c r="H544" s="203">
        <v>44000</v>
      </c>
      <c r="I544" s="204"/>
      <c r="J544" s="205">
        <f t="shared" si="94"/>
        <v>0</v>
      </c>
      <c r="K544" s="205">
        <f t="shared" si="95"/>
        <v>0</v>
      </c>
      <c r="L544" s="430">
        <f t="shared" si="96"/>
        <v>120000</v>
      </c>
      <c r="M544" s="452">
        <f>8*64</f>
        <v>512</v>
      </c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 spans="1:26" ht="14.4">
      <c r="A545" s="450"/>
      <c r="B545" s="451" t="s">
        <v>677</v>
      </c>
      <c r="C545" s="431">
        <v>3</v>
      </c>
      <c r="D545" s="321"/>
      <c r="E545" s="321"/>
      <c r="F545" s="429">
        <f t="shared" si="93"/>
        <v>3</v>
      </c>
      <c r="G545" s="203">
        <v>57000</v>
      </c>
      <c r="H545" s="203">
        <v>71000</v>
      </c>
      <c r="I545" s="204"/>
      <c r="J545" s="205">
        <f t="shared" si="94"/>
        <v>0</v>
      </c>
      <c r="K545" s="205">
        <f t="shared" si="95"/>
        <v>0</v>
      </c>
      <c r="L545" s="430">
        <f t="shared" si="96"/>
        <v>171000</v>
      </c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 spans="1:26" ht="14.4">
      <c r="A546" s="450"/>
      <c r="B546" s="451" t="s">
        <v>631</v>
      </c>
      <c r="C546" s="431">
        <v>1</v>
      </c>
      <c r="D546" s="321"/>
      <c r="E546" s="321"/>
      <c r="F546" s="429">
        <f t="shared" si="93"/>
        <v>1</v>
      </c>
      <c r="G546" s="203">
        <v>51000</v>
      </c>
      <c r="H546" s="203">
        <v>58000</v>
      </c>
      <c r="I546" s="204"/>
      <c r="J546" s="205">
        <f t="shared" si="94"/>
        <v>0</v>
      </c>
      <c r="K546" s="205">
        <f t="shared" si="95"/>
        <v>0</v>
      </c>
      <c r="L546" s="430">
        <f t="shared" si="96"/>
        <v>51000</v>
      </c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 spans="1:26" ht="14.4">
      <c r="A547" s="450"/>
      <c r="B547" s="451" t="s">
        <v>632</v>
      </c>
      <c r="C547" s="431">
        <v>2</v>
      </c>
      <c r="D547" s="321"/>
      <c r="E547" s="321"/>
      <c r="F547" s="429">
        <f t="shared" si="93"/>
        <v>2</v>
      </c>
      <c r="G547" s="203">
        <v>6500</v>
      </c>
      <c r="H547" s="203">
        <v>7500</v>
      </c>
      <c r="I547" s="204"/>
      <c r="J547" s="205">
        <f t="shared" si="94"/>
        <v>0</v>
      </c>
      <c r="K547" s="205">
        <f t="shared" si="95"/>
        <v>0</v>
      </c>
      <c r="L547" s="430">
        <f t="shared" si="96"/>
        <v>13000</v>
      </c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 spans="1:26" ht="14.4">
      <c r="A548" s="450"/>
      <c r="B548" s="451" t="s">
        <v>633</v>
      </c>
      <c r="C548" s="431">
        <v>2</v>
      </c>
      <c r="D548" s="321"/>
      <c r="E548" s="321"/>
      <c r="F548" s="429">
        <f t="shared" si="93"/>
        <v>2</v>
      </c>
      <c r="G548" s="203">
        <v>75000</v>
      </c>
      <c r="H548" s="203">
        <v>80000</v>
      </c>
      <c r="I548" s="204"/>
      <c r="J548" s="205">
        <f t="shared" si="94"/>
        <v>0</v>
      </c>
      <c r="K548" s="205">
        <f t="shared" si="95"/>
        <v>0</v>
      </c>
      <c r="L548" s="430">
        <f t="shared" si="96"/>
        <v>150000</v>
      </c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 spans="1:26" ht="14.4">
      <c r="A549" s="450"/>
      <c r="B549" s="451" t="s">
        <v>634</v>
      </c>
      <c r="C549" s="431">
        <v>1</v>
      </c>
      <c r="D549" s="321"/>
      <c r="E549" s="321"/>
      <c r="F549" s="429">
        <f t="shared" si="93"/>
        <v>1</v>
      </c>
      <c r="G549" s="203">
        <v>31000</v>
      </c>
      <c r="H549" s="203">
        <v>35000</v>
      </c>
      <c r="I549" s="204"/>
      <c r="J549" s="205">
        <f t="shared" si="94"/>
        <v>0</v>
      </c>
      <c r="K549" s="205">
        <f t="shared" si="95"/>
        <v>0</v>
      </c>
      <c r="L549" s="430">
        <f t="shared" si="96"/>
        <v>31000</v>
      </c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 spans="1:26" ht="14.4">
      <c r="A550" s="450"/>
      <c r="B550" s="451" t="s">
        <v>635</v>
      </c>
      <c r="C550" s="431">
        <v>2</v>
      </c>
      <c r="D550" s="321"/>
      <c r="E550" s="321"/>
      <c r="F550" s="429">
        <f t="shared" si="93"/>
        <v>2</v>
      </c>
      <c r="G550" s="203">
        <v>55000</v>
      </c>
      <c r="H550" s="203">
        <v>59000</v>
      </c>
      <c r="I550" s="204"/>
      <c r="J550" s="205">
        <f t="shared" si="94"/>
        <v>0</v>
      </c>
      <c r="K550" s="205">
        <f t="shared" si="95"/>
        <v>0</v>
      </c>
      <c r="L550" s="430">
        <f t="shared" si="96"/>
        <v>110000</v>
      </c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 spans="1:26" ht="14.4">
      <c r="A551" s="450"/>
      <c r="B551" s="451" t="s">
        <v>636</v>
      </c>
      <c r="C551" s="431">
        <v>0</v>
      </c>
      <c r="D551" s="321"/>
      <c r="E551" s="321"/>
      <c r="F551" s="429">
        <f t="shared" si="93"/>
        <v>0</v>
      </c>
      <c r="G551" s="203">
        <v>22700</v>
      </c>
      <c r="H551" s="203">
        <v>26000</v>
      </c>
      <c r="I551" s="204"/>
      <c r="J551" s="205">
        <f t="shared" si="94"/>
        <v>0</v>
      </c>
      <c r="K551" s="205">
        <f t="shared" si="95"/>
        <v>0</v>
      </c>
      <c r="L551" s="430">
        <f t="shared" si="96"/>
        <v>0</v>
      </c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 spans="1:26" ht="14.4">
      <c r="A552" s="450"/>
      <c r="B552" s="451" t="s">
        <v>637</v>
      </c>
      <c r="C552" s="431">
        <v>1</v>
      </c>
      <c r="D552" s="321"/>
      <c r="E552" s="321"/>
      <c r="F552" s="429">
        <f t="shared" si="93"/>
        <v>1</v>
      </c>
      <c r="G552" s="203">
        <v>27000</v>
      </c>
      <c r="H552" s="203">
        <v>30000</v>
      </c>
      <c r="I552" s="204"/>
      <c r="J552" s="205">
        <f t="shared" si="94"/>
        <v>0</v>
      </c>
      <c r="K552" s="205">
        <f t="shared" si="95"/>
        <v>0</v>
      </c>
      <c r="L552" s="430">
        <f t="shared" si="96"/>
        <v>27000</v>
      </c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 spans="1:26" ht="14.4">
      <c r="A553" s="450"/>
      <c r="B553" s="451" t="s">
        <v>638</v>
      </c>
      <c r="C553" s="431">
        <v>0</v>
      </c>
      <c r="D553" s="321"/>
      <c r="E553" s="321"/>
      <c r="F553" s="429">
        <f t="shared" si="93"/>
        <v>0</v>
      </c>
      <c r="G553" s="203">
        <v>11000</v>
      </c>
      <c r="H553" s="203">
        <v>13000</v>
      </c>
      <c r="I553" s="204"/>
      <c r="J553" s="205">
        <f t="shared" si="94"/>
        <v>0</v>
      </c>
      <c r="K553" s="205">
        <f t="shared" si="95"/>
        <v>0</v>
      </c>
      <c r="L553" s="430">
        <f t="shared" si="96"/>
        <v>0</v>
      </c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 spans="1:26" ht="14.4">
      <c r="A554" s="450"/>
      <c r="B554" s="451" t="s">
        <v>678</v>
      </c>
      <c r="C554" s="431">
        <v>2</v>
      </c>
      <c r="D554" s="321"/>
      <c r="E554" s="321"/>
      <c r="F554" s="429">
        <f t="shared" si="93"/>
        <v>2</v>
      </c>
      <c r="G554" s="203"/>
      <c r="H554" s="203"/>
      <c r="I554" s="204"/>
      <c r="J554" s="205">
        <f t="shared" si="94"/>
        <v>0</v>
      </c>
      <c r="K554" s="205">
        <f t="shared" si="95"/>
        <v>0</v>
      </c>
      <c r="L554" s="430">
        <f t="shared" si="96"/>
        <v>0</v>
      </c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 spans="1:26" ht="14.4">
      <c r="A555" s="450"/>
      <c r="B555" s="451" t="s">
        <v>640</v>
      </c>
      <c r="C555" s="431">
        <v>2</v>
      </c>
      <c r="D555" s="321"/>
      <c r="E555" s="321"/>
      <c r="F555" s="429">
        <f t="shared" si="93"/>
        <v>2</v>
      </c>
      <c r="G555" s="203">
        <v>49000</v>
      </c>
      <c r="H555" s="203">
        <v>52000</v>
      </c>
      <c r="I555" s="204"/>
      <c r="J555" s="205">
        <f t="shared" si="94"/>
        <v>0</v>
      </c>
      <c r="K555" s="205">
        <f t="shared" si="95"/>
        <v>0</v>
      </c>
      <c r="L555" s="430">
        <f t="shared" si="96"/>
        <v>98000</v>
      </c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 spans="1:26" ht="14.4">
      <c r="A556" s="450"/>
      <c r="B556" s="451" t="s">
        <v>641</v>
      </c>
      <c r="C556" s="431">
        <v>3</v>
      </c>
      <c r="D556" s="321"/>
      <c r="E556" s="321"/>
      <c r="F556" s="429">
        <f t="shared" si="93"/>
        <v>3</v>
      </c>
      <c r="G556" s="203">
        <v>49000</v>
      </c>
      <c r="H556" s="203">
        <v>52000</v>
      </c>
      <c r="I556" s="204"/>
      <c r="J556" s="205">
        <f t="shared" si="94"/>
        <v>0</v>
      </c>
      <c r="K556" s="205">
        <f t="shared" si="95"/>
        <v>0</v>
      </c>
      <c r="L556" s="430">
        <f t="shared" si="96"/>
        <v>147000</v>
      </c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 spans="1:26" ht="14.4">
      <c r="A557" s="450"/>
      <c r="B557" s="451" t="s">
        <v>679</v>
      </c>
      <c r="C557" s="431">
        <v>0</v>
      </c>
      <c r="D557" s="321"/>
      <c r="E557" s="321"/>
      <c r="F557" s="429">
        <f t="shared" si="93"/>
        <v>0</v>
      </c>
      <c r="G557" s="203">
        <v>27000</v>
      </c>
      <c r="H557" s="203">
        <v>30000</v>
      </c>
      <c r="I557" s="204"/>
      <c r="J557" s="205">
        <f t="shared" si="94"/>
        <v>0</v>
      </c>
      <c r="K557" s="205">
        <f t="shared" si="95"/>
        <v>0</v>
      </c>
      <c r="L557" s="430">
        <f t="shared" si="96"/>
        <v>0</v>
      </c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 spans="1:26" ht="14.4">
      <c r="A558" s="450"/>
      <c r="B558" s="451" t="s">
        <v>643</v>
      </c>
      <c r="C558" s="431">
        <v>4</v>
      </c>
      <c r="D558" s="321"/>
      <c r="E558" s="321"/>
      <c r="F558" s="429">
        <f t="shared" si="93"/>
        <v>4</v>
      </c>
      <c r="G558" s="203">
        <v>27000</v>
      </c>
      <c r="H558" s="203">
        <v>30000</v>
      </c>
      <c r="I558" s="204"/>
      <c r="J558" s="205">
        <f t="shared" si="94"/>
        <v>0</v>
      </c>
      <c r="K558" s="205">
        <f t="shared" si="95"/>
        <v>0</v>
      </c>
      <c r="L558" s="430">
        <f t="shared" si="96"/>
        <v>108000</v>
      </c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 spans="1:26" ht="14.4">
      <c r="A559" s="450"/>
      <c r="B559" s="451" t="s">
        <v>644</v>
      </c>
      <c r="C559" s="431"/>
      <c r="D559" s="321"/>
      <c r="E559" s="321"/>
      <c r="F559" s="429">
        <f t="shared" si="93"/>
        <v>0</v>
      </c>
      <c r="G559" s="203">
        <v>28800</v>
      </c>
      <c r="H559" s="203">
        <v>31000</v>
      </c>
      <c r="I559" s="204"/>
      <c r="J559" s="205">
        <f t="shared" si="94"/>
        <v>0</v>
      </c>
      <c r="K559" s="205">
        <f t="shared" si="95"/>
        <v>0</v>
      </c>
      <c r="L559" s="430">
        <f t="shared" si="96"/>
        <v>0</v>
      </c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 spans="1:26" ht="14.4">
      <c r="A560" s="450"/>
      <c r="B560" s="451" t="s">
        <v>645</v>
      </c>
      <c r="C560" s="431">
        <v>1</v>
      </c>
      <c r="D560" s="321"/>
      <c r="E560" s="321"/>
      <c r="F560" s="429">
        <f t="shared" si="93"/>
        <v>1</v>
      </c>
      <c r="G560" s="203">
        <v>13000</v>
      </c>
      <c r="H560" s="203">
        <v>15000</v>
      </c>
      <c r="I560" s="204"/>
      <c r="J560" s="205">
        <f t="shared" si="94"/>
        <v>0</v>
      </c>
      <c r="K560" s="205">
        <f t="shared" si="95"/>
        <v>0</v>
      </c>
      <c r="L560" s="430">
        <f t="shared" si="96"/>
        <v>13000</v>
      </c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 spans="1:26" ht="14.4">
      <c r="A561" s="450"/>
      <c r="B561" s="451" t="s">
        <v>646</v>
      </c>
      <c r="C561" s="431"/>
      <c r="D561" s="321"/>
      <c r="E561" s="321"/>
      <c r="F561" s="429">
        <f t="shared" si="93"/>
        <v>0</v>
      </c>
      <c r="G561" s="203">
        <v>16000</v>
      </c>
      <c r="H561" s="203">
        <v>19000</v>
      </c>
      <c r="I561" s="204"/>
      <c r="J561" s="205">
        <f t="shared" si="94"/>
        <v>0</v>
      </c>
      <c r="K561" s="205">
        <f t="shared" si="95"/>
        <v>0</v>
      </c>
      <c r="L561" s="430">
        <f t="shared" si="96"/>
        <v>0</v>
      </c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 spans="1:26" ht="14.4">
      <c r="A562" s="450"/>
      <c r="B562" s="451" t="s">
        <v>647</v>
      </c>
      <c r="C562" s="431">
        <v>2</v>
      </c>
      <c r="D562" s="321"/>
      <c r="E562" s="321"/>
      <c r="F562" s="429">
        <f t="shared" si="93"/>
        <v>2</v>
      </c>
      <c r="G562" s="203">
        <v>56000</v>
      </c>
      <c r="H562" s="203">
        <v>60000</v>
      </c>
      <c r="I562" s="204"/>
      <c r="J562" s="205">
        <f t="shared" si="94"/>
        <v>0</v>
      </c>
      <c r="K562" s="205">
        <f t="shared" si="95"/>
        <v>0</v>
      </c>
      <c r="L562" s="430">
        <f t="shared" si="96"/>
        <v>112000</v>
      </c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 spans="1:26" ht="14.4">
      <c r="A563" s="450"/>
      <c r="B563" s="451" t="s">
        <v>648</v>
      </c>
      <c r="C563" s="431">
        <v>2</v>
      </c>
      <c r="D563" s="321"/>
      <c r="E563" s="321"/>
      <c r="F563" s="429">
        <f t="shared" si="93"/>
        <v>2</v>
      </c>
      <c r="G563" s="203">
        <v>25400</v>
      </c>
      <c r="H563" s="203">
        <v>28000</v>
      </c>
      <c r="I563" s="204"/>
      <c r="J563" s="205">
        <f t="shared" si="94"/>
        <v>0</v>
      </c>
      <c r="K563" s="205">
        <f t="shared" si="95"/>
        <v>0</v>
      </c>
      <c r="L563" s="430">
        <f t="shared" si="96"/>
        <v>50800</v>
      </c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 spans="1:26" ht="14.4">
      <c r="A564" s="450"/>
      <c r="B564" s="451" t="s">
        <v>680</v>
      </c>
      <c r="C564" s="431">
        <v>2</v>
      </c>
      <c r="D564" s="321"/>
      <c r="E564" s="321"/>
      <c r="F564" s="429">
        <f t="shared" si="93"/>
        <v>2</v>
      </c>
      <c r="G564" s="203">
        <v>24000</v>
      </c>
      <c r="H564" s="203">
        <v>26000</v>
      </c>
      <c r="I564" s="204"/>
      <c r="J564" s="205">
        <f t="shared" si="94"/>
        <v>0</v>
      </c>
      <c r="K564" s="205">
        <f t="shared" si="95"/>
        <v>0</v>
      </c>
      <c r="L564" s="430">
        <f t="shared" si="96"/>
        <v>48000</v>
      </c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 spans="1:26" ht="14.4">
      <c r="A565" s="450"/>
      <c r="B565" s="451" t="s">
        <v>650</v>
      </c>
      <c r="C565" s="431">
        <v>0</v>
      </c>
      <c r="D565" s="321"/>
      <c r="E565" s="321"/>
      <c r="F565" s="429">
        <f t="shared" si="93"/>
        <v>0</v>
      </c>
      <c r="G565" s="203">
        <v>25470</v>
      </c>
      <c r="H565" s="203">
        <v>27000</v>
      </c>
      <c r="I565" s="204"/>
      <c r="J565" s="205">
        <f t="shared" si="94"/>
        <v>0</v>
      </c>
      <c r="K565" s="205">
        <f t="shared" si="95"/>
        <v>0</v>
      </c>
      <c r="L565" s="430">
        <f t="shared" si="96"/>
        <v>0</v>
      </c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 spans="1:26" ht="14.4">
      <c r="A566" s="450"/>
      <c r="B566" s="451" t="s">
        <v>651</v>
      </c>
      <c r="C566" s="431">
        <v>3</v>
      </c>
      <c r="D566" s="321"/>
      <c r="E566" s="321"/>
      <c r="F566" s="429">
        <f t="shared" si="93"/>
        <v>3</v>
      </c>
      <c r="G566" s="203">
        <v>45400</v>
      </c>
      <c r="H566" s="203">
        <v>48000</v>
      </c>
      <c r="I566" s="204"/>
      <c r="J566" s="205">
        <f t="shared" si="94"/>
        <v>0</v>
      </c>
      <c r="K566" s="205">
        <f t="shared" si="95"/>
        <v>0</v>
      </c>
      <c r="L566" s="430">
        <f t="shared" si="96"/>
        <v>136200</v>
      </c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 spans="1:26" ht="14.4">
      <c r="A567" s="450"/>
      <c r="B567" s="451" t="s">
        <v>652</v>
      </c>
      <c r="C567" s="431">
        <v>3</v>
      </c>
      <c r="D567" s="321"/>
      <c r="E567" s="321"/>
      <c r="F567" s="429">
        <f t="shared" si="93"/>
        <v>3</v>
      </c>
      <c r="G567" s="203">
        <v>21000</v>
      </c>
      <c r="H567" s="203">
        <v>24500</v>
      </c>
      <c r="I567" s="204"/>
      <c r="J567" s="205">
        <f t="shared" si="94"/>
        <v>0</v>
      </c>
      <c r="K567" s="205">
        <f t="shared" si="95"/>
        <v>0</v>
      </c>
      <c r="L567" s="430">
        <f t="shared" si="96"/>
        <v>63000</v>
      </c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 spans="1:26" ht="14.4">
      <c r="A568" s="450"/>
      <c r="B568" s="451" t="s">
        <v>653</v>
      </c>
      <c r="C568" s="431">
        <v>3</v>
      </c>
      <c r="D568" s="321"/>
      <c r="E568" s="321"/>
      <c r="F568" s="429">
        <f t="shared" si="93"/>
        <v>3</v>
      </c>
      <c r="G568" s="203">
        <v>48000</v>
      </c>
      <c r="H568" s="203">
        <v>55000</v>
      </c>
      <c r="I568" s="204"/>
      <c r="J568" s="205">
        <f t="shared" si="94"/>
        <v>0</v>
      </c>
      <c r="K568" s="205">
        <f t="shared" si="95"/>
        <v>0</v>
      </c>
      <c r="L568" s="430">
        <f t="shared" si="96"/>
        <v>144000</v>
      </c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 spans="1:26" ht="14.4">
      <c r="A569" s="450"/>
      <c r="B569" s="451" t="s">
        <v>654</v>
      </c>
      <c r="C569" s="431">
        <v>3</v>
      </c>
      <c r="D569" s="321"/>
      <c r="E569" s="321"/>
      <c r="F569" s="429">
        <f t="shared" si="93"/>
        <v>3</v>
      </c>
      <c r="G569" s="203">
        <v>46750</v>
      </c>
      <c r="H569" s="203">
        <v>50000</v>
      </c>
      <c r="I569" s="204"/>
      <c r="J569" s="205">
        <f t="shared" si="94"/>
        <v>0</v>
      </c>
      <c r="K569" s="205">
        <f t="shared" si="95"/>
        <v>0</v>
      </c>
      <c r="L569" s="430">
        <f t="shared" si="96"/>
        <v>140250</v>
      </c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 spans="1:26" ht="14.4">
      <c r="A570" s="450"/>
      <c r="B570" s="451" t="s">
        <v>655</v>
      </c>
      <c r="C570" s="431"/>
      <c r="D570" s="321"/>
      <c r="E570" s="321"/>
      <c r="F570" s="429">
        <f t="shared" si="93"/>
        <v>0</v>
      </c>
      <c r="G570" s="203">
        <v>25250</v>
      </c>
      <c r="H570" s="203">
        <v>27000</v>
      </c>
      <c r="I570" s="204"/>
      <c r="J570" s="205">
        <f t="shared" si="94"/>
        <v>0</v>
      </c>
      <c r="K570" s="205">
        <f t="shared" si="95"/>
        <v>0</v>
      </c>
      <c r="L570" s="430">
        <f t="shared" si="96"/>
        <v>0</v>
      </c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 spans="1:26" ht="14.4">
      <c r="A571" s="450"/>
      <c r="B571" s="451" t="s">
        <v>656</v>
      </c>
      <c r="C571" s="431">
        <v>6</v>
      </c>
      <c r="D571" s="321"/>
      <c r="E571" s="321"/>
      <c r="F571" s="429">
        <f t="shared" si="93"/>
        <v>6</v>
      </c>
      <c r="G571" s="210">
        <v>38000</v>
      </c>
      <c r="H571" s="210">
        <v>40000</v>
      </c>
      <c r="I571" s="445"/>
      <c r="J571" s="205">
        <f t="shared" si="94"/>
        <v>0</v>
      </c>
      <c r="K571" s="205">
        <f t="shared" si="95"/>
        <v>0</v>
      </c>
      <c r="L571" s="430">
        <f t="shared" si="96"/>
        <v>228000</v>
      </c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 spans="1:26" ht="14.4">
      <c r="A572" s="450"/>
      <c r="B572" s="453" t="s">
        <v>681</v>
      </c>
      <c r="C572" s="431">
        <v>9</v>
      </c>
      <c r="D572" s="321"/>
      <c r="E572" s="321"/>
      <c r="F572" s="429">
        <f t="shared" si="93"/>
        <v>9</v>
      </c>
      <c r="G572" s="210">
        <v>13500</v>
      </c>
      <c r="H572" s="210">
        <v>15000</v>
      </c>
      <c r="I572" s="445"/>
      <c r="J572" s="205">
        <f t="shared" si="94"/>
        <v>0</v>
      </c>
      <c r="K572" s="205">
        <f t="shared" si="95"/>
        <v>0</v>
      </c>
      <c r="L572" s="430">
        <f t="shared" si="96"/>
        <v>121500</v>
      </c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 spans="1:26" ht="14.4">
      <c r="A573" s="450"/>
      <c r="B573" s="453" t="s">
        <v>682</v>
      </c>
      <c r="C573" s="431">
        <v>1</v>
      </c>
      <c r="D573" s="321"/>
      <c r="E573" s="321"/>
      <c r="F573" s="429">
        <f t="shared" si="93"/>
        <v>1</v>
      </c>
      <c r="G573" s="239"/>
      <c r="H573" s="239"/>
      <c r="I573" s="468"/>
      <c r="J573" s="205"/>
      <c r="K573" s="205"/>
      <c r="L573" s="430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 spans="1:26" ht="14.4">
      <c r="A574" s="450"/>
      <c r="B574" s="454" t="s">
        <v>658</v>
      </c>
      <c r="C574" s="431">
        <v>2</v>
      </c>
      <c r="D574" s="321"/>
      <c r="E574" s="321"/>
      <c r="F574" s="429">
        <f t="shared" si="93"/>
        <v>2</v>
      </c>
      <c r="G574" s="298">
        <v>38000</v>
      </c>
      <c r="H574" s="298">
        <v>40000</v>
      </c>
      <c r="I574" s="213"/>
      <c r="J574" s="205">
        <f>+I574*H574</f>
        <v>0</v>
      </c>
      <c r="K574" s="205">
        <f>+(H574-G574)*I574</f>
        <v>0</v>
      </c>
      <c r="L574" s="430">
        <f>+G574*F574</f>
        <v>76000</v>
      </c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 spans="1:26" ht="14.4">
      <c r="A575" s="455"/>
      <c r="B575" s="456"/>
      <c r="C575" s="457">
        <f t="shared" ref="C575:F575" si="97">+SUM(C466:C574)</f>
        <v>315</v>
      </c>
      <c r="D575" s="458">
        <f t="shared" si="97"/>
        <v>0</v>
      </c>
      <c r="E575" s="458">
        <f t="shared" si="97"/>
        <v>0</v>
      </c>
      <c r="F575" s="458">
        <f t="shared" si="97"/>
        <v>315</v>
      </c>
      <c r="G575" s="459">
        <f t="shared" ref="G575:L575" si="98">SUM(G466:G574)</f>
        <v>3762664.25</v>
      </c>
      <c r="H575" s="459">
        <f t="shared" si="98"/>
        <v>4106300</v>
      </c>
      <c r="I575" s="460">
        <f t="shared" si="98"/>
        <v>0</v>
      </c>
      <c r="J575" s="459">
        <f t="shared" si="98"/>
        <v>0</v>
      </c>
      <c r="K575" s="459">
        <f t="shared" si="98"/>
        <v>0</v>
      </c>
      <c r="L575" s="459">
        <f t="shared" si="98"/>
        <v>9280414.75</v>
      </c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 spans="1:26" ht="14.4">
      <c r="A576" s="191"/>
      <c r="B576" s="191"/>
      <c r="C576" s="439">
        <v>515</v>
      </c>
      <c r="D576" s="439">
        <f t="shared" ref="D576:L576" si="99">D575+D465+D436+D423</f>
        <v>0</v>
      </c>
      <c r="E576" s="439">
        <f t="shared" si="99"/>
        <v>0</v>
      </c>
      <c r="F576" s="439">
        <f t="shared" si="99"/>
        <v>646</v>
      </c>
      <c r="G576" s="461">
        <f t="shared" si="99"/>
        <v>12846446.25</v>
      </c>
      <c r="H576" s="461">
        <f t="shared" si="99"/>
        <v>13450400</v>
      </c>
      <c r="I576" s="462">
        <f t="shared" si="99"/>
        <v>0</v>
      </c>
      <c r="J576" s="439">
        <f t="shared" si="99"/>
        <v>0</v>
      </c>
      <c r="K576" s="439">
        <f t="shared" si="99"/>
        <v>0</v>
      </c>
      <c r="L576" s="439">
        <f t="shared" si="99"/>
        <v>31473546.75</v>
      </c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 spans="1:26" ht="14.4">
      <c r="A577" s="191"/>
      <c r="B577" s="191"/>
      <c r="C577" s="191"/>
      <c r="D577" s="191"/>
      <c r="E577" s="191"/>
      <c r="F577" s="191"/>
      <c r="G577" s="386"/>
      <c r="H577" s="386"/>
      <c r="I577" s="463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 spans="1:26" ht="14.4">
      <c r="A578" s="191"/>
      <c r="B578" s="191"/>
      <c r="C578" s="191"/>
      <c r="D578" s="191"/>
      <c r="E578" s="191"/>
      <c r="F578" s="191"/>
      <c r="G578" s="386"/>
      <c r="H578" s="386"/>
      <c r="I578" s="463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 spans="1:26" ht="14.4">
      <c r="A579" s="191"/>
      <c r="B579" s="191"/>
      <c r="C579" s="191"/>
      <c r="D579" s="191"/>
      <c r="E579" s="191"/>
      <c r="F579" s="191"/>
      <c r="G579" s="386"/>
      <c r="H579" s="386"/>
      <c r="I579" s="463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 spans="1:26" ht="14.4">
      <c r="A580" s="191"/>
      <c r="B580" s="191"/>
      <c r="C580" s="191"/>
      <c r="D580" s="191"/>
      <c r="E580" s="191"/>
      <c r="F580" s="191"/>
      <c r="G580" s="386"/>
      <c r="H580" s="386"/>
      <c r="I580" s="463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 spans="1:26" ht="14.4">
      <c r="A581" s="191"/>
      <c r="B581" s="191"/>
      <c r="C581" s="191"/>
      <c r="D581" s="191"/>
      <c r="E581" s="191"/>
      <c r="F581" s="191"/>
      <c r="G581" s="386"/>
      <c r="H581" s="386"/>
      <c r="I581" s="463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 spans="1:26" ht="14.4">
      <c r="A582" s="191"/>
      <c r="B582" s="191"/>
      <c r="C582" s="191"/>
      <c r="D582" s="191"/>
      <c r="E582" s="191"/>
      <c r="F582" s="191"/>
      <c r="G582" s="386"/>
      <c r="H582" s="386"/>
      <c r="I582" s="463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 spans="1:26" ht="14.4">
      <c r="A583" s="191"/>
      <c r="B583" s="191"/>
      <c r="C583" s="191"/>
      <c r="D583" s="191"/>
      <c r="E583" s="191"/>
      <c r="F583" s="191"/>
      <c r="G583" s="386"/>
      <c r="H583" s="386"/>
      <c r="I583" s="463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 spans="1:26" ht="14.4">
      <c r="A584" s="191"/>
      <c r="B584" s="191"/>
      <c r="C584" s="191"/>
      <c r="D584" s="191"/>
      <c r="E584" s="191"/>
      <c r="F584" s="191"/>
      <c r="G584" s="386"/>
      <c r="H584" s="386"/>
      <c r="I584" s="46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 spans="1:26" ht="14.4">
      <c r="A585" s="191"/>
      <c r="B585" s="191"/>
      <c r="C585" s="191"/>
      <c r="D585" s="191"/>
      <c r="E585" s="191"/>
      <c r="F585" s="191"/>
      <c r="G585" s="386"/>
      <c r="H585" s="386"/>
      <c r="I585" s="46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 spans="1:26" ht="14.4">
      <c r="A586" s="191"/>
      <c r="B586" s="191"/>
      <c r="C586" s="191"/>
      <c r="D586" s="191"/>
      <c r="E586" s="191"/>
      <c r="F586" s="191"/>
      <c r="G586" s="386"/>
      <c r="H586" s="386"/>
      <c r="I586" s="46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 spans="1:26" ht="14.4">
      <c r="A587" s="191"/>
      <c r="B587" s="191"/>
      <c r="C587" s="191"/>
      <c r="D587" s="191"/>
      <c r="E587" s="191"/>
      <c r="F587" s="191"/>
      <c r="G587" s="386"/>
      <c r="H587" s="386"/>
      <c r="I587" s="46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 spans="1:26" ht="14.4">
      <c r="A588" s="191"/>
      <c r="B588" s="191"/>
      <c r="C588" s="191"/>
      <c r="D588" s="191"/>
      <c r="E588" s="191"/>
      <c r="F588" s="191"/>
      <c r="G588" s="386"/>
      <c r="H588" s="386"/>
      <c r="I588" s="46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 spans="1:26" ht="14.4">
      <c r="A589" s="191"/>
      <c r="B589" s="191"/>
      <c r="C589" s="191"/>
      <c r="D589" s="191"/>
      <c r="E589" s="191"/>
      <c r="F589" s="191"/>
      <c r="G589" s="386"/>
      <c r="H589" s="386"/>
      <c r="I589" s="46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 spans="1:26" ht="14.4">
      <c r="A590" s="191"/>
      <c r="B590" s="191"/>
      <c r="C590" s="191"/>
      <c r="D590" s="191"/>
      <c r="E590" s="191"/>
      <c r="F590" s="191"/>
      <c r="G590" s="386"/>
      <c r="H590" s="386"/>
      <c r="I590" s="46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 spans="1:26" ht="14.4">
      <c r="A591" s="191"/>
      <c r="B591" s="191"/>
      <c r="C591" s="191"/>
      <c r="D591" s="191"/>
      <c r="E591" s="191"/>
      <c r="F591" s="191"/>
      <c r="G591" s="386"/>
      <c r="H591" s="386"/>
      <c r="I591" s="46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 spans="1:26" ht="14.4">
      <c r="A592" s="191"/>
      <c r="B592" s="191"/>
      <c r="C592" s="191"/>
      <c r="D592" s="191"/>
      <c r="E592" s="191"/>
      <c r="F592" s="191"/>
      <c r="G592" s="386"/>
      <c r="H592" s="386"/>
      <c r="I592" s="46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 spans="1:26" ht="14.4">
      <c r="A593" s="191"/>
      <c r="B593" s="191"/>
      <c r="C593" s="191"/>
      <c r="D593" s="191"/>
      <c r="E593" s="191"/>
      <c r="F593" s="191"/>
      <c r="G593" s="386"/>
      <c r="H593" s="386"/>
      <c r="I593" s="46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 spans="1:26" ht="14.4">
      <c r="A594" s="191"/>
      <c r="B594" s="191"/>
      <c r="C594" s="191"/>
      <c r="D594" s="191"/>
      <c r="E594" s="191"/>
      <c r="F594" s="191"/>
      <c r="G594" s="386"/>
      <c r="H594" s="386"/>
      <c r="I594" s="46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 spans="1:26" ht="14.4">
      <c r="A595" s="191"/>
      <c r="B595" s="191"/>
      <c r="C595" s="191"/>
      <c r="D595" s="191"/>
      <c r="E595" s="191"/>
      <c r="F595" s="191"/>
      <c r="G595" s="386"/>
      <c r="H595" s="386"/>
      <c r="I595" s="46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 spans="1:26" ht="14.4">
      <c r="A596" s="191"/>
      <c r="B596" s="191"/>
      <c r="C596" s="191"/>
      <c r="D596" s="191"/>
      <c r="E596" s="191"/>
      <c r="F596" s="191"/>
      <c r="G596" s="386"/>
      <c r="H596" s="386"/>
      <c r="I596" s="46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 spans="1:26" ht="14.4">
      <c r="A597" s="191"/>
      <c r="B597" s="191"/>
      <c r="C597" s="191"/>
      <c r="D597" s="191"/>
      <c r="E597" s="191"/>
      <c r="F597" s="191"/>
      <c r="G597" s="386"/>
      <c r="H597" s="386"/>
      <c r="I597" s="46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 spans="1:26" ht="14.4">
      <c r="A598" s="191"/>
      <c r="B598" s="191"/>
      <c r="C598" s="191"/>
      <c r="D598" s="191"/>
      <c r="E598" s="191"/>
      <c r="F598" s="191"/>
      <c r="G598" s="386"/>
      <c r="H598" s="386"/>
      <c r="I598" s="46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 spans="1:26" ht="14.4">
      <c r="A599" s="191"/>
      <c r="B599" s="191"/>
      <c r="C599" s="191"/>
      <c r="D599" s="191"/>
      <c r="E599" s="191"/>
      <c r="F599" s="191"/>
      <c r="G599" s="386"/>
      <c r="H599" s="386"/>
      <c r="I599" s="46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 spans="1:26" ht="14.4">
      <c r="A600" s="191"/>
      <c r="B600" s="191"/>
      <c r="C600" s="191"/>
      <c r="D600" s="191"/>
      <c r="E600" s="191"/>
      <c r="F600" s="191"/>
      <c r="G600" s="386"/>
      <c r="H600" s="386"/>
      <c r="I600" s="46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 spans="1:26" ht="14.4">
      <c r="A601" s="191"/>
      <c r="B601" s="191"/>
      <c r="C601" s="191"/>
      <c r="D601" s="191"/>
      <c r="E601" s="191"/>
      <c r="F601" s="191"/>
      <c r="G601" s="386"/>
      <c r="H601" s="386"/>
      <c r="I601" s="46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 spans="1:26" ht="14.4">
      <c r="A602" s="191"/>
      <c r="B602" s="191"/>
      <c r="C602" s="191"/>
      <c r="D602" s="191"/>
      <c r="E602" s="191"/>
      <c r="F602" s="191"/>
      <c r="G602" s="386"/>
      <c r="H602" s="386"/>
      <c r="I602" s="46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 spans="1:26" ht="14.4">
      <c r="A603" s="191"/>
      <c r="B603" s="191"/>
      <c r="C603" s="191"/>
      <c r="D603" s="191"/>
      <c r="E603" s="191"/>
      <c r="F603" s="191"/>
      <c r="G603" s="386"/>
      <c r="H603" s="386"/>
      <c r="I603" s="46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 spans="1:26" ht="14.4">
      <c r="A604" s="191"/>
      <c r="B604" s="191"/>
      <c r="C604" s="191"/>
      <c r="D604" s="191"/>
      <c r="E604" s="191"/>
      <c r="F604" s="191"/>
      <c r="G604" s="386"/>
      <c r="H604" s="386"/>
      <c r="I604" s="46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 spans="1:26" ht="14.4">
      <c r="A605" s="191"/>
      <c r="B605" s="191"/>
      <c r="C605" s="191"/>
      <c r="D605" s="191"/>
      <c r="E605" s="191"/>
      <c r="F605" s="191"/>
      <c r="G605" s="386"/>
      <c r="H605" s="386"/>
      <c r="I605" s="46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 spans="1:26" ht="14.4">
      <c r="A606" s="191"/>
      <c r="B606" s="191"/>
      <c r="C606" s="191"/>
      <c r="D606" s="191"/>
      <c r="E606" s="191"/>
      <c r="F606" s="191"/>
      <c r="G606" s="386"/>
      <c r="H606" s="386"/>
      <c r="I606" s="46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 spans="1:26" ht="14.4">
      <c r="A607" s="191"/>
      <c r="B607" s="191"/>
      <c r="C607" s="191"/>
      <c r="D607" s="191"/>
      <c r="E607" s="191"/>
      <c r="F607" s="191"/>
      <c r="G607" s="386"/>
      <c r="H607" s="386"/>
      <c r="I607" s="46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 spans="1:26" ht="14.4">
      <c r="A608" s="191"/>
      <c r="B608" s="191"/>
      <c r="C608" s="191"/>
      <c r="D608" s="191"/>
      <c r="E608" s="191"/>
      <c r="F608" s="191"/>
      <c r="G608" s="386"/>
      <c r="H608" s="386"/>
      <c r="I608" s="46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 spans="1:26" ht="14.4">
      <c r="A609" s="191"/>
      <c r="B609" s="191"/>
      <c r="C609" s="191"/>
      <c r="D609" s="191"/>
      <c r="E609" s="191"/>
      <c r="F609" s="191"/>
      <c r="G609" s="386"/>
      <c r="H609" s="386"/>
      <c r="I609" s="46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 spans="1:26" ht="14.4">
      <c r="A610" s="191"/>
      <c r="B610" s="191"/>
      <c r="C610" s="191"/>
      <c r="D610" s="191"/>
      <c r="E610" s="191"/>
      <c r="F610" s="191"/>
      <c r="G610" s="386"/>
      <c r="H610" s="386"/>
      <c r="I610" s="46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 spans="1:26" ht="14.4">
      <c r="A611" s="191"/>
      <c r="B611" s="191"/>
      <c r="C611" s="191"/>
      <c r="D611" s="191"/>
      <c r="E611" s="191"/>
      <c r="F611" s="191"/>
      <c r="G611" s="386"/>
      <c r="H611" s="386"/>
      <c r="I611" s="46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 spans="1:26" ht="14.4">
      <c r="A612" s="191"/>
      <c r="B612" s="191"/>
      <c r="C612" s="191"/>
      <c r="D612" s="191"/>
      <c r="E612" s="191"/>
      <c r="F612" s="191"/>
      <c r="G612" s="386"/>
      <c r="H612" s="386"/>
      <c r="I612" s="46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 spans="1:26" ht="14.4">
      <c r="A613" s="191"/>
      <c r="B613" s="191"/>
      <c r="C613" s="191"/>
      <c r="D613" s="191"/>
      <c r="E613" s="191"/>
      <c r="F613" s="191"/>
      <c r="G613" s="386"/>
      <c r="H613" s="386"/>
      <c r="I613" s="46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 spans="1:26" ht="14.4">
      <c r="A614" s="191"/>
      <c r="B614" s="191"/>
      <c r="C614" s="191"/>
      <c r="D614" s="191"/>
      <c r="E614" s="191"/>
      <c r="F614" s="191"/>
      <c r="G614" s="386"/>
      <c r="H614" s="386"/>
      <c r="I614" s="46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 spans="1:26" ht="14.4">
      <c r="A615" s="191"/>
      <c r="B615" s="191"/>
      <c r="C615" s="191"/>
      <c r="D615" s="191"/>
      <c r="E615" s="191"/>
      <c r="F615" s="191"/>
      <c r="G615" s="386"/>
      <c r="H615" s="386"/>
      <c r="I615" s="46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spans="1:26" ht="14.4">
      <c r="A616" s="191"/>
      <c r="B616" s="191"/>
      <c r="C616" s="191"/>
      <c r="D616" s="191"/>
      <c r="E616" s="191"/>
      <c r="F616" s="191"/>
      <c r="G616" s="386"/>
      <c r="H616" s="386"/>
      <c r="I616" s="46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spans="1:26" ht="14.4">
      <c r="A617" s="191"/>
      <c r="B617" s="191"/>
      <c r="C617" s="191"/>
      <c r="D617" s="191"/>
      <c r="E617" s="191"/>
      <c r="F617" s="191"/>
      <c r="G617" s="386"/>
      <c r="H617" s="386"/>
      <c r="I617" s="46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spans="1:26" ht="14.4">
      <c r="A618" s="191"/>
      <c r="B618" s="191"/>
      <c r="C618" s="191"/>
      <c r="D618" s="191"/>
      <c r="E618" s="191"/>
      <c r="F618" s="191"/>
      <c r="G618" s="386"/>
      <c r="H618" s="386"/>
      <c r="I618" s="46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spans="1:26" ht="14.4">
      <c r="A619" s="191"/>
      <c r="B619" s="191"/>
      <c r="C619" s="191"/>
      <c r="D619" s="191"/>
      <c r="E619" s="191"/>
      <c r="F619" s="191"/>
      <c r="G619" s="386"/>
      <c r="H619" s="386"/>
      <c r="I619" s="46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spans="1:26" ht="14.4">
      <c r="A620" s="191"/>
      <c r="B620" s="191"/>
      <c r="C620" s="191"/>
      <c r="D620" s="191"/>
      <c r="E620" s="191"/>
      <c r="F620" s="191"/>
      <c r="G620" s="386"/>
      <c r="H620" s="386"/>
      <c r="I620" s="46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spans="1:26" ht="14.4">
      <c r="A621" s="191"/>
      <c r="B621" s="191"/>
      <c r="C621" s="191"/>
      <c r="D621" s="191"/>
      <c r="E621" s="191"/>
      <c r="F621" s="191"/>
      <c r="G621" s="386"/>
      <c r="H621" s="386"/>
      <c r="I621" s="46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spans="1:26" ht="14.4">
      <c r="A622" s="191"/>
      <c r="B622" s="191"/>
      <c r="C622" s="191"/>
      <c r="D622" s="191"/>
      <c r="E622" s="191"/>
      <c r="F622" s="191"/>
      <c r="G622" s="386"/>
      <c r="H622" s="386"/>
      <c r="I622" s="46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spans="1:26" ht="14.4">
      <c r="A623" s="191"/>
      <c r="B623" s="191"/>
      <c r="C623" s="191"/>
      <c r="D623" s="191"/>
      <c r="E623" s="191"/>
      <c r="F623" s="191"/>
      <c r="G623" s="386"/>
      <c r="H623" s="386"/>
      <c r="I623" s="46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spans="1:26" ht="14.4">
      <c r="A624" s="191"/>
      <c r="B624" s="191"/>
      <c r="C624" s="191"/>
      <c r="D624" s="191"/>
      <c r="E624" s="191"/>
      <c r="F624" s="191"/>
      <c r="G624" s="386"/>
      <c r="H624" s="386"/>
      <c r="I624" s="46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spans="1:26" ht="14.4">
      <c r="A625" s="191"/>
      <c r="B625" s="191"/>
      <c r="C625" s="191"/>
      <c r="D625" s="191"/>
      <c r="E625" s="191"/>
      <c r="F625" s="191"/>
      <c r="G625" s="386"/>
      <c r="H625" s="386"/>
      <c r="I625" s="46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spans="1:26" ht="14.4">
      <c r="A626" s="191"/>
      <c r="B626" s="191"/>
      <c r="C626" s="191"/>
      <c r="D626" s="191"/>
      <c r="E626" s="191"/>
      <c r="F626" s="191"/>
      <c r="G626" s="386"/>
      <c r="H626" s="386"/>
      <c r="I626" s="46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spans="1:26" ht="14.4">
      <c r="A627" s="191"/>
      <c r="B627" s="191"/>
      <c r="C627" s="191"/>
      <c r="D627" s="191"/>
      <c r="E627" s="191"/>
      <c r="F627" s="191"/>
      <c r="G627" s="386"/>
      <c r="H627" s="386"/>
      <c r="I627" s="46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spans="1:26" ht="14.4">
      <c r="A628" s="191"/>
      <c r="B628" s="191"/>
      <c r="C628" s="191"/>
      <c r="D628" s="191"/>
      <c r="E628" s="191"/>
      <c r="F628" s="191"/>
      <c r="G628" s="386"/>
      <c r="H628" s="386"/>
      <c r="I628" s="46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spans="1:26" ht="14.4">
      <c r="A629" s="191"/>
      <c r="B629" s="191"/>
      <c r="C629" s="191"/>
      <c r="D629" s="191"/>
      <c r="E629" s="191"/>
      <c r="F629" s="191"/>
      <c r="G629" s="386"/>
      <c r="H629" s="386"/>
      <c r="I629" s="46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spans="1:26" ht="14.4">
      <c r="A630" s="191"/>
      <c r="B630" s="191"/>
      <c r="C630" s="191"/>
      <c r="D630" s="191"/>
      <c r="E630" s="191"/>
      <c r="F630" s="191"/>
      <c r="G630" s="386"/>
      <c r="H630" s="386"/>
      <c r="I630" s="46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 spans="1:26" ht="14.4">
      <c r="A631" s="191"/>
      <c r="B631" s="191"/>
      <c r="C631" s="191"/>
      <c r="D631" s="191"/>
      <c r="E631" s="191"/>
      <c r="F631" s="191"/>
      <c r="G631" s="386"/>
      <c r="H631" s="386"/>
      <c r="I631" s="46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 spans="1:26" ht="14.4">
      <c r="A632" s="191"/>
      <c r="B632" s="191"/>
      <c r="C632" s="191"/>
      <c r="D632" s="191"/>
      <c r="E632" s="191"/>
      <c r="F632" s="191"/>
      <c r="G632" s="386"/>
      <c r="H632" s="386"/>
      <c r="I632" s="46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 spans="1:26" ht="14.4">
      <c r="A633" s="191"/>
      <c r="B633" s="191"/>
      <c r="C633" s="191"/>
      <c r="D633" s="191"/>
      <c r="E633" s="191"/>
      <c r="F633" s="191"/>
      <c r="G633" s="386"/>
      <c r="H633" s="386"/>
      <c r="I633" s="46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 spans="1:26" ht="14.4">
      <c r="A634" s="191"/>
      <c r="B634" s="191"/>
      <c r="C634" s="191"/>
      <c r="D634" s="191"/>
      <c r="E634" s="191"/>
      <c r="F634" s="191"/>
      <c r="G634" s="386"/>
      <c r="H634" s="386"/>
      <c r="I634" s="46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 spans="1:26" ht="14.4">
      <c r="A635" s="191"/>
      <c r="B635" s="191"/>
      <c r="C635" s="191"/>
      <c r="D635" s="191"/>
      <c r="E635" s="191"/>
      <c r="F635" s="191"/>
      <c r="G635" s="386"/>
      <c r="H635" s="386"/>
      <c r="I635" s="46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 spans="1:26" ht="14.4">
      <c r="A636" s="191"/>
      <c r="B636" s="191"/>
      <c r="C636" s="191"/>
      <c r="D636" s="191"/>
      <c r="E636" s="191"/>
      <c r="F636" s="191"/>
      <c r="G636" s="386"/>
      <c r="H636" s="386"/>
      <c r="I636" s="46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 spans="1:26" ht="14.4">
      <c r="A637" s="191"/>
      <c r="B637" s="191"/>
      <c r="C637" s="191"/>
      <c r="D637" s="191"/>
      <c r="E637" s="191"/>
      <c r="F637" s="191"/>
      <c r="G637" s="386"/>
      <c r="H637" s="386"/>
      <c r="I637" s="46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 spans="1:26" ht="14.4">
      <c r="A638" s="191"/>
      <c r="B638" s="191"/>
      <c r="C638" s="191"/>
      <c r="D638" s="191"/>
      <c r="E638" s="191"/>
      <c r="F638" s="191"/>
      <c r="G638" s="386"/>
      <c r="H638" s="386"/>
      <c r="I638" s="46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 spans="1:26" ht="14.4">
      <c r="A639" s="191"/>
      <c r="B639" s="191"/>
      <c r="C639" s="191"/>
      <c r="D639" s="191"/>
      <c r="E639" s="191"/>
      <c r="F639" s="191"/>
      <c r="G639" s="386"/>
      <c r="H639" s="386"/>
      <c r="I639" s="46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 spans="1:26" ht="14.4">
      <c r="A640" s="191"/>
      <c r="B640" s="191"/>
      <c r="C640" s="191"/>
      <c r="D640" s="191"/>
      <c r="E640" s="191"/>
      <c r="F640" s="191"/>
      <c r="G640" s="386"/>
      <c r="H640" s="386"/>
      <c r="I640" s="46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 spans="1:26" ht="14.4">
      <c r="A641" s="191"/>
      <c r="B641" s="191"/>
      <c r="C641" s="191"/>
      <c r="D641" s="191"/>
      <c r="E641" s="191"/>
      <c r="F641" s="191"/>
      <c r="G641" s="386"/>
      <c r="H641" s="386"/>
      <c r="I641" s="46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 spans="1:26" ht="14.4">
      <c r="A642" s="191"/>
      <c r="B642" s="191"/>
      <c r="C642" s="191"/>
      <c r="D642" s="191"/>
      <c r="E642" s="191"/>
      <c r="F642" s="191"/>
      <c r="G642" s="386"/>
      <c r="H642" s="386"/>
      <c r="I642" s="46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 spans="1:26" ht="14.4">
      <c r="A643" s="191"/>
      <c r="B643" s="191"/>
      <c r="C643" s="191"/>
      <c r="D643" s="191"/>
      <c r="E643" s="191"/>
      <c r="F643" s="191"/>
      <c r="G643" s="386"/>
      <c r="H643" s="386"/>
      <c r="I643" s="46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 spans="1:26" ht="14.4">
      <c r="A644" s="191"/>
      <c r="B644" s="191"/>
      <c r="C644" s="191"/>
      <c r="D644" s="191"/>
      <c r="E644" s="191"/>
      <c r="F644" s="191"/>
      <c r="G644" s="386"/>
      <c r="H644" s="386"/>
      <c r="I644" s="46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 spans="1:26" ht="14.4">
      <c r="A645" s="191"/>
      <c r="B645" s="191"/>
      <c r="C645" s="191"/>
      <c r="D645" s="191"/>
      <c r="E645" s="191"/>
      <c r="F645" s="191"/>
      <c r="G645" s="386"/>
      <c r="H645" s="386"/>
      <c r="I645" s="46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 spans="1:26" ht="14.4">
      <c r="A646" s="191"/>
      <c r="B646" s="191"/>
      <c r="C646" s="191"/>
      <c r="D646" s="191"/>
      <c r="E646" s="191"/>
      <c r="F646" s="191"/>
      <c r="G646" s="386"/>
      <c r="H646" s="386"/>
      <c r="I646" s="46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 spans="1:26" ht="14.4">
      <c r="A647" s="191"/>
      <c r="B647" s="191"/>
      <c r="C647" s="191"/>
      <c r="D647" s="191"/>
      <c r="E647" s="191"/>
      <c r="F647" s="191"/>
      <c r="G647" s="386"/>
      <c r="H647" s="386"/>
      <c r="I647" s="46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 spans="1:26" ht="14.4">
      <c r="A648" s="191"/>
      <c r="B648" s="191"/>
      <c r="C648" s="191"/>
      <c r="D648" s="191"/>
      <c r="E648" s="191"/>
      <c r="F648" s="191"/>
      <c r="G648" s="386"/>
      <c r="H648" s="386"/>
      <c r="I648" s="46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 spans="1:26" ht="14.4">
      <c r="A649" s="191"/>
      <c r="B649" s="191"/>
      <c r="C649" s="191"/>
      <c r="D649" s="191"/>
      <c r="E649" s="191"/>
      <c r="F649" s="191"/>
      <c r="G649" s="386"/>
      <c r="H649" s="386"/>
      <c r="I649" s="46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 spans="1:26" ht="14.4">
      <c r="A650" s="191"/>
      <c r="B650" s="191"/>
      <c r="C650" s="191"/>
      <c r="D650" s="191"/>
      <c r="E650" s="191"/>
      <c r="F650" s="191"/>
      <c r="G650" s="386"/>
      <c r="H650" s="386"/>
      <c r="I650" s="46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 spans="1:26" ht="14.4">
      <c r="A651" s="191"/>
      <c r="B651" s="191"/>
      <c r="C651" s="191"/>
      <c r="D651" s="191"/>
      <c r="E651" s="191"/>
      <c r="F651" s="191"/>
      <c r="G651" s="386"/>
      <c r="H651" s="386"/>
      <c r="I651" s="46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 spans="1:26" ht="14.4">
      <c r="A652" s="191"/>
      <c r="B652" s="191"/>
      <c r="C652" s="191"/>
      <c r="D652" s="191"/>
      <c r="E652" s="191"/>
      <c r="F652" s="191"/>
      <c r="G652" s="386"/>
      <c r="H652" s="386"/>
      <c r="I652" s="46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 spans="1:26" ht="14.4">
      <c r="A653" s="191"/>
      <c r="B653" s="191"/>
      <c r="C653" s="191"/>
      <c r="D653" s="191"/>
      <c r="E653" s="191"/>
      <c r="F653" s="191"/>
      <c r="G653" s="386"/>
      <c r="H653" s="386"/>
      <c r="I653" s="46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 spans="1:26" ht="14.4">
      <c r="A654" s="191"/>
      <c r="B654" s="191"/>
      <c r="C654" s="191"/>
      <c r="D654" s="191"/>
      <c r="E654" s="191"/>
      <c r="F654" s="191"/>
      <c r="G654" s="386"/>
      <c r="H654" s="386"/>
      <c r="I654" s="46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 spans="1:26" ht="14.4">
      <c r="A655" s="191"/>
      <c r="B655" s="191"/>
      <c r="C655" s="191"/>
      <c r="D655" s="191"/>
      <c r="E655" s="191"/>
      <c r="F655" s="191"/>
      <c r="G655" s="386"/>
      <c r="H655" s="386"/>
      <c r="I655" s="46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 spans="1:26" ht="14.4">
      <c r="A656" s="191"/>
      <c r="B656" s="191"/>
      <c r="C656" s="191"/>
      <c r="D656" s="191"/>
      <c r="E656" s="191"/>
      <c r="F656" s="191"/>
      <c r="G656" s="386"/>
      <c r="H656" s="386"/>
      <c r="I656" s="46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 spans="1:26" ht="14.4">
      <c r="A657" s="191"/>
      <c r="B657" s="191"/>
      <c r="C657" s="191"/>
      <c r="D657" s="191"/>
      <c r="E657" s="191"/>
      <c r="F657" s="191"/>
      <c r="G657" s="386"/>
      <c r="H657" s="386"/>
      <c r="I657" s="46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 spans="1:26" ht="14.4">
      <c r="A658" s="191"/>
      <c r="B658" s="191"/>
      <c r="C658" s="191"/>
      <c r="D658" s="191"/>
      <c r="E658" s="191"/>
      <c r="F658" s="191"/>
      <c r="G658" s="386"/>
      <c r="H658" s="386"/>
      <c r="I658" s="46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 spans="1:26" ht="14.4">
      <c r="A659" s="191"/>
      <c r="B659" s="191"/>
      <c r="C659" s="191"/>
      <c r="D659" s="191"/>
      <c r="E659" s="191"/>
      <c r="F659" s="191"/>
      <c r="G659" s="386"/>
      <c r="H659" s="386"/>
      <c r="I659" s="46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 spans="1:26" ht="14.4">
      <c r="A660" s="191"/>
      <c r="B660" s="191"/>
      <c r="C660" s="191"/>
      <c r="D660" s="191"/>
      <c r="E660" s="191"/>
      <c r="F660" s="191"/>
      <c r="G660" s="386"/>
      <c r="H660" s="386"/>
      <c r="I660" s="46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 spans="1:26" ht="14.4">
      <c r="A661" s="191"/>
      <c r="B661" s="191"/>
      <c r="C661" s="191"/>
      <c r="D661" s="191"/>
      <c r="E661" s="191"/>
      <c r="F661" s="191"/>
      <c r="G661" s="386"/>
      <c r="H661" s="386"/>
      <c r="I661" s="46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 spans="1:26" ht="14.4">
      <c r="A662" s="191"/>
      <c r="B662" s="191"/>
      <c r="C662" s="191"/>
      <c r="D662" s="191"/>
      <c r="E662" s="191"/>
      <c r="F662" s="191"/>
      <c r="G662" s="386"/>
      <c r="H662" s="386"/>
      <c r="I662" s="46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 spans="1:26" ht="14.4">
      <c r="A663" s="191"/>
      <c r="B663" s="191"/>
      <c r="C663" s="191"/>
      <c r="D663" s="191"/>
      <c r="E663" s="191"/>
      <c r="F663" s="191"/>
      <c r="G663" s="386"/>
      <c r="H663" s="386"/>
      <c r="I663" s="46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 spans="1:26" ht="14.4">
      <c r="A664" s="191"/>
      <c r="B664" s="191"/>
      <c r="C664" s="191"/>
      <c r="D664" s="191"/>
      <c r="E664" s="191"/>
      <c r="F664" s="191"/>
      <c r="G664" s="386"/>
      <c r="H664" s="386"/>
      <c r="I664" s="46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 spans="1:26" ht="14.4">
      <c r="A665" s="191"/>
      <c r="B665" s="191"/>
      <c r="C665" s="191"/>
      <c r="D665" s="191"/>
      <c r="E665" s="191"/>
      <c r="F665" s="191"/>
      <c r="G665" s="386"/>
      <c r="H665" s="386"/>
      <c r="I665" s="46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 spans="1:26" ht="14.4">
      <c r="A666" s="191"/>
      <c r="B666" s="191"/>
      <c r="C666" s="191"/>
      <c r="D666" s="191"/>
      <c r="E666" s="191"/>
      <c r="F666" s="191"/>
      <c r="G666" s="386"/>
      <c r="H666" s="386"/>
      <c r="I666" s="46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 spans="1:26" ht="14.4">
      <c r="A667" s="191"/>
      <c r="B667" s="191"/>
      <c r="C667" s="191"/>
      <c r="D667" s="191"/>
      <c r="E667" s="191"/>
      <c r="F667" s="191"/>
      <c r="G667" s="386"/>
      <c r="H667" s="386"/>
      <c r="I667" s="46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 spans="1:26" ht="14.4">
      <c r="A668" s="191"/>
      <c r="B668" s="191"/>
      <c r="C668" s="191"/>
      <c r="D668" s="191"/>
      <c r="E668" s="191"/>
      <c r="F668" s="191"/>
      <c r="G668" s="386"/>
      <c r="H668" s="386"/>
      <c r="I668" s="46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 spans="1:26" ht="14.4">
      <c r="A669" s="191"/>
      <c r="B669" s="191"/>
      <c r="C669" s="191"/>
      <c r="D669" s="191"/>
      <c r="E669" s="191"/>
      <c r="F669" s="191"/>
      <c r="G669" s="386"/>
      <c r="H669" s="386"/>
      <c r="I669" s="46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 spans="1:26" ht="14.4">
      <c r="A670" s="191"/>
      <c r="B670" s="191"/>
      <c r="C670" s="191"/>
      <c r="D670" s="191"/>
      <c r="E670" s="191"/>
      <c r="F670" s="191"/>
      <c r="G670" s="386"/>
      <c r="H670" s="386"/>
      <c r="I670" s="46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 spans="1:26" ht="14.4">
      <c r="A671" s="191"/>
      <c r="B671" s="191"/>
      <c r="C671" s="191"/>
      <c r="D671" s="191"/>
      <c r="E671" s="191"/>
      <c r="F671" s="191"/>
      <c r="G671" s="386"/>
      <c r="H671" s="386"/>
      <c r="I671" s="46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 spans="1:26" ht="14.4">
      <c r="A672" s="191"/>
      <c r="B672" s="191"/>
      <c r="C672" s="191"/>
      <c r="D672" s="191"/>
      <c r="E672" s="191"/>
      <c r="F672" s="191"/>
      <c r="G672" s="386"/>
      <c r="H672" s="386"/>
      <c r="I672" s="46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 spans="1:26" ht="14.4">
      <c r="A673" s="191"/>
      <c r="B673" s="191"/>
      <c r="C673" s="191"/>
      <c r="D673" s="191"/>
      <c r="E673" s="191"/>
      <c r="F673" s="191"/>
      <c r="G673" s="386"/>
      <c r="H673" s="386"/>
      <c r="I673" s="46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 spans="1:26" ht="14.4">
      <c r="A674" s="191"/>
      <c r="B674" s="191"/>
      <c r="C674" s="191"/>
      <c r="D674" s="191"/>
      <c r="E674" s="191"/>
      <c r="F674" s="191"/>
      <c r="G674" s="386"/>
      <c r="H674" s="386"/>
      <c r="I674" s="46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 spans="1:26" ht="14.4">
      <c r="A675" s="191"/>
      <c r="B675" s="191"/>
      <c r="C675" s="191"/>
      <c r="D675" s="191"/>
      <c r="E675" s="191"/>
      <c r="F675" s="191"/>
      <c r="G675" s="386"/>
      <c r="H675" s="386"/>
      <c r="I675" s="46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 spans="1:26" ht="14.4">
      <c r="A676" s="191"/>
      <c r="B676" s="191"/>
      <c r="C676" s="191"/>
      <c r="D676" s="191"/>
      <c r="E676" s="191"/>
      <c r="F676" s="191"/>
      <c r="G676" s="386"/>
      <c r="H676" s="386"/>
      <c r="I676" s="46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 spans="1:26" ht="14.4">
      <c r="A677" s="191"/>
      <c r="B677" s="191"/>
      <c r="C677" s="191"/>
      <c r="D677" s="191"/>
      <c r="E677" s="191"/>
      <c r="F677" s="191"/>
      <c r="G677" s="386"/>
      <c r="H677" s="386"/>
      <c r="I677" s="46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 spans="1:26" ht="14.4">
      <c r="A678" s="191"/>
      <c r="B678" s="191"/>
      <c r="C678" s="191"/>
      <c r="D678" s="191"/>
      <c r="E678" s="191"/>
      <c r="F678" s="191"/>
      <c r="G678" s="386"/>
      <c r="H678" s="386"/>
      <c r="I678" s="46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 spans="1:26" ht="14.4">
      <c r="A679" s="191"/>
      <c r="B679" s="191"/>
      <c r="C679" s="191"/>
      <c r="D679" s="191"/>
      <c r="E679" s="191"/>
      <c r="F679" s="191"/>
      <c r="G679" s="386"/>
      <c r="H679" s="386"/>
      <c r="I679" s="46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 spans="1:26" ht="14.4">
      <c r="A680" s="191"/>
      <c r="B680" s="191"/>
      <c r="C680" s="191"/>
      <c r="D680" s="191"/>
      <c r="E680" s="191"/>
      <c r="F680" s="191"/>
      <c r="G680" s="386"/>
      <c r="H680" s="386"/>
      <c r="I680" s="46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 spans="1:26" ht="14.4">
      <c r="A681" s="191"/>
      <c r="B681" s="191"/>
      <c r="C681" s="191"/>
      <c r="D681" s="191"/>
      <c r="E681" s="191"/>
      <c r="F681" s="191"/>
      <c r="G681" s="386"/>
      <c r="H681" s="386"/>
      <c r="I681" s="46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 spans="1:26" ht="14.4">
      <c r="A682" s="191"/>
      <c r="B682" s="191"/>
      <c r="C682" s="191"/>
      <c r="D682" s="191"/>
      <c r="E682" s="191"/>
      <c r="F682" s="191"/>
      <c r="G682" s="386"/>
      <c r="H682" s="386"/>
      <c r="I682" s="46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 spans="1:26" ht="14.4">
      <c r="A683" s="191"/>
      <c r="B683" s="191"/>
      <c r="C683" s="191"/>
      <c r="D683" s="191"/>
      <c r="E683" s="191"/>
      <c r="F683" s="191"/>
      <c r="G683" s="386"/>
      <c r="H683" s="386"/>
      <c r="I683" s="46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 spans="1:26" ht="14.4">
      <c r="A684" s="191"/>
      <c r="B684" s="191"/>
      <c r="C684" s="191"/>
      <c r="D684" s="191"/>
      <c r="E684" s="191"/>
      <c r="F684" s="191"/>
      <c r="G684" s="386"/>
      <c r="H684" s="386"/>
      <c r="I684" s="46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spans="1:26" ht="14.4">
      <c r="A685" s="191"/>
      <c r="B685" s="191"/>
      <c r="C685" s="191"/>
      <c r="D685" s="191"/>
      <c r="E685" s="191"/>
      <c r="F685" s="191"/>
      <c r="G685" s="386"/>
      <c r="H685" s="386"/>
      <c r="I685" s="46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spans="1:26" ht="14.4">
      <c r="A686" s="191"/>
      <c r="B686" s="191"/>
      <c r="C686" s="191"/>
      <c r="D686" s="191"/>
      <c r="E686" s="191"/>
      <c r="F686" s="191"/>
      <c r="G686" s="386"/>
      <c r="H686" s="386"/>
      <c r="I686" s="46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spans="1:26" ht="14.4">
      <c r="A687" s="191"/>
      <c r="B687" s="191"/>
      <c r="C687" s="191"/>
      <c r="D687" s="191"/>
      <c r="E687" s="191"/>
      <c r="F687" s="191"/>
      <c r="G687" s="386"/>
      <c r="H687" s="386"/>
      <c r="I687" s="46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spans="1:26" ht="14.4">
      <c r="A688" s="191"/>
      <c r="B688" s="191"/>
      <c r="C688" s="191"/>
      <c r="D688" s="191"/>
      <c r="E688" s="191"/>
      <c r="F688" s="191"/>
      <c r="G688" s="386"/>
      <c r="H688" s="386"/>
      <c r="I688" s="46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spans="1:26" ht="14.4">
      <c r="A689" s="191"/>
      <c r="B689" s="191"/>
      <c r="C689" s="191"/>
      <c r="D689" s="191"/>
      <c r="E689" s="191"/>
      <c r="F689" s="191"/>
      <c r="G689" s="386"/>
      <c r="H689" s="386"/>
      <c r="I689" s="46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 spans="1:26" ht="14.4">
      <c r="A690" s="191"/>
      <c r="B690" s="191"/>
      <c r="C690" s="191"/>
      <c r="D690" s="191"/>
      <c r="E690" s="191"/>
      <c r="F690" s="191"/>
      <c r="G690" s="386"/>
      <c r="H690" s="386"/>
      <c r="I690" s="46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 spans="1:26" ht="14.4">
      <c r="A691" s="191"/>
      <c r="B691" s="191"/>
      <c r="C691" s="191"/>
      <c r="D691" s="191"/>
      <c r="E691" s="191"/>
      <c r="F691" s="191"/>
      <c r="G691" s="386"/>
      <c r="H691" s="386"/>
      <c r="I691" s="46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 spans="1:26" ht="14.4">
      <c r="A692" s="191"/>
      <c r="B692" s="191"/>
      <c r="C692" s="191"/>
      <c r="D692" s="191"/>
      <c r="E692" s="191"/>
      <c r="F692" s="191"/>
      <c r="G692" s="386"/>
      <c r="H692" s="386"/>
      <c r="I692" s="46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 spans="1:26" ht="14.4">
      <c r="A693" s="191"/>
      <c r="B693" s="191"/>
      <c r="C693" s="191"/>
      <c r="D693" s="191"/>
      <c r="E693" s="191"/>
      <c r="F693" s="191"/>
      <c r="G693" s="386"/>
      <c r="H693" s="386"/>
      <c r="I693" s="46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 spans="1:26" ht="14.4">
      <c r="A694" s="191"/>
      <c r="B694" s="191"/>
      <c r="C694" s="191"/>
      <c r="D694" s="191"/>
      <c r="E694" s="191"/>
      <c r="F694" s="191"/>
      <c r="G694" s="386"/>
      <c r="H694" s="386"/>
      <c r="I694" s="46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 spans="1:26" ht="14.4">
      <c r="A695" s="191"/>
      <c r="B695" s="191"/>
      <c r="C695" s="191"/>
      <c r="D695" s="191"/>
      <c r="E695" s="191"/>
      <c r="F695" s="191"/>
      <c r="G695" s="386"/>
      <c r="H695" s="386"/>
      <c r="I695" s="46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 spans="1:26" ht="14.4">
      <c r="A696" s="191"/>
      <c r="B696" s="191"/>
      <c r="C696" s="191"/>
      <c r="D696" s="191"/>
      <c r="E696" s="191"/>
      <c r="F696" s="191"/>
      <c r="G696" s="386"/>
      <c r="H696" s="386"/>
      <c r="I696" s="46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 spans="1:26" ht="14.4">
      <c r="A697" s="191"/>
      <c r="B697" s="191"/>
      <c r="C697" s="191"/>
      <c r="D697" s="191"/>
      <c r="E697" s="191"/>
      <c r="F697" s="191"/>
      <c r="G697" s="386"/>
      <c r="H697" s="386"/>
      <c r="I697" s="46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 spans="1:26" ht="14.4">
      <c r="A698" s="191"/>
      <c r="B698" s="191"/>
      <c r="C698" s="191"/>
      <c r="D698" s="191"/>
      <c r="E698" s="191"/>
      <c r="F698" s="191"/>
      <c r="G698" s="386"/>
      <c r="H698" s="386"/>
      <c r="I698" s="46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 spans="1:26" ht="14.4">
      <c r="A699" s="191"/>
      <c r="B699" s="191"/>
      <c r="C699" s="191"/>
      <c r="D699" s="191"/>
      <c r="E699" s="191"/>
      <c r="F699" s="191"/>
      <c r="G699" s="386"/>
      <c r="H699" s="386"/>
      <c r="I699" s="46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 spans="1:26" ht="14.4">
      <c r="A700" s="191"/>
      <c r="B700" s="191"/>
      <c r="C700" s="191"/>
      <c r="D700" s="191"/>
      <c r="E700" s="191"/>
      <c r="F700" s="191"/>
      <c r="G700" s="386"/>
      <c r="H700" s="386"/>
      <c r="I700" s="46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 spans="1:26" ht="14.4">
      <c r="A701" s="191"/>
      <c r="B701" s="191"/>
      <c r="C701" s="191"/>
      <c r="D701" s="191"/>
      <c r="E701" s="191"/>
      <c r="F701" s="191"/>
      <c r="G701" s="386"/>
      <c r="H701" s="386"/>
      <c r="I701" s="46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 spans="1:26" ht="14.4">
      <c r="A702" s="191"/>
      <c r="B702" s="191"/>
      <c r="C702" s="191"/>
      <c r="D702" s="191"/>
      <c r="E702" s="191"/>
      <c r="F702" s="191"/>
      <c r="G702" s="386"/>
      <c r="H702" s="386"/>
      <c r="I702" s="46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 spans="1:26" ht="14.4">
      <c r="A703" s="191"/>
      <c r="B703" s="191"/>
      <c r="C703" s="191"/>
      <c r="D703" s="191"/>
      <c r="E703" s="191"/>
      <c r="F703" s="191"/>
      <c r="G703" s="386"/>
      <c r="H703" s="386"/>
      <c r="I703" s="46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 spans="1:26" ht="14.4">
      <c r="A704" s="191"/>
      <c r="B704" s="191"/>
      <c r="C704" s="191"/>
      <c r="D704" s="191"/>
      <c r="E704" s="191"/>
      <c r="F704" s="191"/>
      <c r="G704" s="386"/>
      <c r="H704" s="386"/>
      <c r="I704" s="46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 spans="1:26" ht="14.4">
      <c r="A705" s="191"/>
      <c r="B705" s="191"/>
      <c r="C705" s="191"/>
      <c r="D705" s="191"/>
      <c r="E705" s="191"/>
      <c r="F705" s="191"/>
      <c r="G705" s="386"/>
      <c r="H705" s="386"/>
      <c r="I705" s="46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 spans="1:26" ht="14.4">
      <c r="A706" s="191"/>
      <c r="B706" s="191"/>
      <c r="C706" s="191"/>
      <c r="D706" s="191"/>
      <c r="E706" s="191"/>
      <c r="F706" s="191"/>
      <c r="G706" s="386"/>
      <c r="H706" s="386"/>
      <c r="I706" s="46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 spans="1:26" ht="14.4">
      <c r="A707" s="191"/>
      <c r="B707" s="191"/>
      <c r="C707" s="191"/>
      <c r="D707" s="191"/>
      <c r="E707" s="191"/>
      <c r="F707" s="191"/>
      <c r="G707" s="386"/>
      <c r="H707" s="386"/>
      <c r="I707" s="46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 spans="1:26" ht="14.4">
      <c r="A708" s="191"/>
      <c r="B708" s="191"/>
      <c r="C708" s="191"/>
      <c r="D708" s="191"/>
      <c r="E708" s="191"/>
      <c r="F708" s="191"/>
      <c r="G708" s="386"/>
      <c r="H708" s="386"/>
      <c r="I708" s="46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 spans="1:26" ht="14.4">
      <c r="A709" s="191"/>
      <c r="B709" s="191"/>
      <c r="C709" s="191"/>
      <c r="D709" s="191"/>
      <c r="E709" s="191"/>
      <c r="F709" s="191"/>
      <c r="G709" s="386"/>
      <c r="H709" s="386"/>
      <c r="I709" s="46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 spans="1:26" ht="14.4">
      <c r="A710" s="191"/>
      <c r="B710" s="191"/>
      <c r="C710" s="191"/>
      <c r="D710" s="191"/>
      <c r="E710" s="191"/>
      <c r="F710" s="191"/>
      <c r="G710" s="386"/>
      <c r="H710" s="386"/>
      <c r="I710" s="46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 spans="1:26" ht="14.4">
      <c r="A711" s="191"/>
      <c r="B711" s="191"/>
      <c r="C711" s="191"/>
      <c r="D711" s="191"/>
      <c r="E711" s="191"/>
      <c r="F711" s="191"/>
      <c r="G711" s="386"/>
      <c r="H711" s="386"/>
      <c r="I711" s="46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 spans="1:26" ht="14.4">
      <c r="A712" s="191"/>
      <c r="B712" s="191"/>
      <c r="C712" s="191"/>
      <c r="D712" s="191"/>
      <c r="E712" s="191"/>
      <c r="F712" s="191"/>
      <c r="G712" s="386"/>
      <c r="H712" s="386"/>
      <c r="I712" s="46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 spans="1:26" ht="14.4">
      <c r="A713" s="191"/>
      <c r="B713" s="191"/>
      <c r="C713" s="191"/>
      <c r="D713" s="191"/>
      <c r="E713" s="191"/>
      <c r="F713" s="191"/>
      <c r="G713" s="386"/>
      <c r="H713" s="386"/>
      <c r="I713" s="46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 spans="1:26" ht="14.4">
      <c r="A714" s="191"/>
      <c r="B714" s="191"/>
      <c r="C714" s="191"/>
      <c r="D714" s="191"/>
      <c r="E714" s="191"/>
      <c r="F714" s="191"/>
      <c r="G714" s="386"/>
      <c r="H714" s="386"/>
      <c r="I714" s="46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 spans="1:26" ht="14.4">
      <c r="A715" s="191"/>
      <c r="B715" s="191"/>
      <c r="C715" s="191"/>
      <c r="D715" s="191"/>
      <c r="E715" s="191"/>
      <c r="F715" s="191"/>
      <c r="G715" s="386"/>
      <c r="H715" s="386"/>
      <c r="I715" s="46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 spans="1:26" ht="14.4">
      <c r="A716" s="191"/>
      <c r="B716" s="191"/>
      <c r="C716" s="191"/>
      <c r="D716" s="191"/>
      <c r="E716" s="191"/>
      <c r="F716" s="191"/>
      <c r="G716" s="386"/>
      <c r="H716" s="386"/>
      <c r="I716" s="46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 spans="1:26" ht="14.4">
      <c r="A717" s="191"/>
      <c r="B717" s="191"/>
      <c r="C717" s="191"/>
      <c r="D717" s="191"/>
      <c r="E717" s="191"/>
      <c r="F717" s="191"/>
      <c r="G717" s="386"/>
      <c r="H717" s="386"/>
      <c r="I717" s="46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 spans="1:26" ht="14.4">
      <c r="A718" s="191"/>
      <c r="B718" s="191"/>
      <c r="C718" s="191"/>
      <c r="D718" s="191"/>
      <c r="E718" s="191"/>
      <c r="F718" s="191"/>
      <c r="G718" s="386"/>
      <c r="H718" s="386"/>
      <c r="I718" s="46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 spans="1:26" ht="14.4">
      <c r="A719" s="191"/>
      <c r="B719" s="191"/>
      <c r="C719" s="191"/>
      <c r="D719" s="191"/>
      <c r="E719" s="191"/>
      <c r="F719" s="191"/>
      <c r="G719" s="386"/>
      <c r="H719" s="386"/>
      <c r="I719" s="46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 spans="1:26" ht="14.4">
      <c r="A720" s="191"/>
      <c r="B720" s="191"/>
      <c r="C720" s="191"/>
      <c r="D720" s="191"/>
      <c r="E720" s="191"/>
      <c r="F720" s="191"/>
      <c r="G720" s="386"/>
      <c r="H720" s="386"/>
      <c r="I720" s="46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 spans="1:26" ht="14.4">
      <c r="A721" s="191"/>
      <c r="B721" s="191"/>
      <c r="C721" s="191"/>
      <c r="D721" s="191"/>
      <c r="E721" s="191"/>
      <c r="F721" s="191"/>
      <c r="G721" s="386"/>
      <c r="H721" s="386"/>
      <c r="I721" s="46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 spans="1:26" ht="14.4">
      <c r="A722" s="191"/>
      <c r="B722" s="191"/>
      <c r="C722" s="191"/>
      <c r="D722" s="191"/>
      <c r="E722" s="191"/>
      <c r="F722" s="191"/>
      <c r="G722" s="386"/>
      <c r="H722" s="386"/>
      <c r="I722" s="46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 spans="1:26" ht="14.4">
      <c r="A723" s="191"/>
      <c r="B723" s="191"/>
      <c r="C723" s="191"/>
      <c r="D723" s="191"/>
      <c r="E723" s="191"/>
      <c r="F723" s="191"/>
      <c r="G723" s="386"/>
      <c r="H723" s="386"/>
      <c r="I723" s="46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 spans="1:26" ht="14.4">
      <c r="A724" s="191"/>
      <c r="B724" s="191"/>
      <c r="C724" s="191"/>
      <c r="D724" s="191"/>
      <c r="E724" s="191"/>
      <c r="F724" s="191"/>
      <c r="G724" s="386"/>
      <c r="H724" s="386"/>
      <c r="I724" s="46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 spans="1:26" ht="14.4">
      <c r="A725" s="191"/>
      <c r="B725" s="191"/>
      <c r="C725" s="191"/>
      <c r="D725" s="191"/>
      <c r="E725" s="191"/>
      <c r="F725" s="191"/>
      <c r="G725" s="386"/>
      <c r="H725" s="386"/>
      <c r="I725" s="46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 spans="1:26" ht="14.4">
      <c r="A726" s="191"/>
      <c r="B726" s="191"/>
      <c r="C726" s="191"/>
      <c r="D726" s="191"/>
      <c r="E726" s="191"/>
      <c r="F726" s="191"/>
      <c r="G726" s="386"/>
      <c r="H726" s="386"/>
      <c r="I726" s="46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 spans="1:26" ht="14.4">
      <c r="A727" s="191"/>
      <c r="B727" s="191"/>
      <c r="C727" s="191"/>
      <c r="D727" s="191"/>
      <c r="E727" s="191"/>
      <c r="F727" s="191"/>
      <c r="G727" s="386"/>
      <c r="H727" s="386"/>
      <c r="I727" s="46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 spans="1:26" ht="14.4">
      <c r="A728" s="191"/>
      <c r="B728" s="191"/>
      <c r="C728" s="191"/>
      <c r="D728" s="191"/>
      <c r="E728" s="191"/>
      <c r="F728" s="191"/>
      <c r="G728" s="386"/>
      <c r="H728" s="386"/>
      <c r="I728" s="46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 spans="1:26" ht="14.4">
      <c r="A729" s="191"/>
      <c r="B729" s="191"/>
      <c r="C729" s="191"/>
      <c r="D729" s="191"/>
      <c r="E729" s="191"/>
      <c r="F729" s="191"/>
      <c r="G729" s="386"/>
      <c r="H729" s="386"/>
      <c r="I729" s="46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 spans="1:26" ht="14.4">
      <c r="A730" s="191"/>
      <c r="B730" s="191"/>
      <c r="C730" s="191"/>
      <c r="D730" s="191"/>
      <c r="E730" s="191"/>
      <c r="F730" s="191"/>
      <c r="G730" s="386"/>
      <c r="H730" s="386"/>
      <c r="I730" s="46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 spans="1:26" ht="14.4">
      <c r="A731" s="191"/>
      <c r="B731" s="191"/>
      <c r="C731" s="191"/>
      <c r="D731" s="191"/>
      <c r="E731" s="191"/>
      <c r="F731" s="191"/>
      <c r="G731" s="386"/>
      <c r="H731" s="386"/>
      <c r="I731" s="46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 spans="1:26" ht="14.4">
      <c r="A732" s="191"/>
      <c r="B732" s="191"/>
      <c r="C732" s="191"/>
      <c r="D732" s="191"/>
      <c r="E732" s="191"/>
      <c r="F732" s="191"/>
      <c r="G732" s="386"/>
      <c r="H732" s="386"/>
      <c r="I732" s="46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 spans="1:26" ht="14.4">
      <c r="A733" s="191"/>
      <c r="B733" s="191"/>
      <c r="C733" s="191"/>
      <c r="D733" s="191"/>
      <c r="E733" s="191"/>
      <c r="F733" s="191"/>
      <c r="G733" s="386"/>
      <c r="H733" s="386"/>
      <c r="I733" s="46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 spans="1:26" ht="14.4">
      <c r="A734" s="191"/>
      <c r="B734" s="191"/>
      <c r="C734" s="191"/>
      <c r="D734" s="191"/>
      <c r="E734" s="191"/>
      <c r="F734" s="191"/>
      <c r="G734" s="386"/>
      <c r="H734" s="386"/>
      <c r="I734" s="46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 spans="1:26" ht="14.4">
      <c r="A735" s="191"/>
      <c r="B735" s="191"/>
      <c r="C735" s="191"/>
      <c r="D735" s="191"/>
      <c r="E735" s="191"/>
      <c r="F735" s="191"/>
      <c r="G735" s="386"/>
      <c r="H735" s="386"/>
      <c r="I735" s="46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 spans="1:26" ht="14.4">
      <c r="A736" s="191"/>
      <c r="B736" s="191"/>
      <c r="C736" s="191"/>
      <c r="D736" s="191"/>
      <c r="E736" s="191"/>
      <c r="F736" s="191"/>
      <c r="G736" s="386"/>
      <c r="H736" s="386"/>
      <c r="I736" s="46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 spans="1:26" ht="14.4">
      <c r="A737" s="191"/>
      <c r="B737" s="191"/>
      <c r="C737" s="191"/>
      <c r="D737" s="191"/>
      <c r="E737" s="191"/>
      <c r="F737" s="191"/>
      <c r="G737" s="386"/>
      <c r="H737" s="386"/>
      <c r="I737" s="46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 spans="1:26" ht="14.4">
      <c r="A738" s="191"/>
      <c r="B738" s="191"/>
      <c r="C738" s="191"/>
      <c r="D738" s="191"/>
      <c r="E738" s="191"/>
      <c r="F738" s="191"/>
      <c r="G738" s="386"/>
      <c r="H738" s="386"/>
      <c r="I738" s="46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 spans="1:26" ht="14.4">
      <c r="A739" s="191"/>
      <c r="B739" s="191"/>
      <c r="C739" s="191"/>
      <c r="D739" s="191"/>
      <c r="E739" s="191"/>
      <c r="F739" s="191"/>
      <c r="G739" s="386"/>
      <c r="H739" s="386"/>
      <c r="I739" s="46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 spans="1:26" ht="14.4">
      <c r="A740" s="191"/>
      <c r="B740" s="191"/>
      <c r="C740" s="191"/>
      <c r="D740" s="191"/>
      <c r="E740" s="191"/>
      <c r="F740" s="191"/>
      <c r="G740" s="386"/>
      <c r="H740" s="386"/>
      <c r="I740" s="46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 spans="1:26" ht="14.4">
      <c r="A741" s="191"/>
      <c r="B741" s="191"/>
      <c r="C741" s="191"/>
      <c r="D741" s="191"/>
      <c r="E741" s="191"/>
      <c r="F741" s="191"/>
      <c r="G741" s="386"/>
      <c r="H741" s="386"/>
      <c r="I741" s="46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 spans="1:26" ht="14.4">
      <c r="A742" s="191"/>
      <c r="B742" s="191"/>
      <c r="C742" s="191"/>
      <c r="D742" s="191"/>
      <c r="E742" s="191"/>
      <c r="F742" s="191"/>
      <c r="G742" s="386"/>
      <c r="H742" s="386"/>
      <c r="I742" s="46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 spans="1:26" ht="14.4">
      <c r="A743" s="191"/>
      <c r="B743" s="191"/>
      <c r="C743" s="191"/>
      <c r="D743" s="191"/>
      <c r="E743" s="191"/>
      <c r="F743" s="191"/>
      <c r="G743" s="386"/>
      <c r="H743" s="386"/>
      <c r="I743" s="46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 spans="1:26" ht="14.4">
      <c r="A744" s="191"/>
      <c r="B744" s="191"/>
      <c r="C744" s="191"/>
      <c r="D744" s="191"/>
      <c r="E744" s="191"/>
      <c r="F744" s="191"/>
      <c r="G744" s="386"/>
      <c r="H744" s="386"/>
      <c r="I744" s="46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 spans="1:26" ht="14.4">
      <c r="A745" s="191"/>
      <c r="B745" s="191"/>
      <c r="C745" s="191"/>
      <c r="D745" s="191"/>
      <c r="E745" s="191"/>
      <c r="F745" s="191"/>
      <c r="G745" s="386"/>
      <c r="H745" s="386"/>
      <c r="I745" s="46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 spans="1:26" ht="14.4">
      <c r="A746" s="191"/>
      <c r="B746" s="191"/>
      <c r="C746" s="191"/>
      <c r="D746" s="191"/>
      <c r="E746" s="191"/>
      <c r="F746" s="191"/>
      <c r="G746" s="386"/>
      <c r="H746" s="386"/>
      <c r="I746" s="46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 spans="1:26" ht="14.4">
      <c r="A747" s="191"/>
      <c r="B747" s="191"/>
      <c r="C747" s="191"/>
      <c r="D747" s="191"/>
      <c r="E747" s="191"/>
      <c r="F747" s="191"/>
      <c r="G747" s="386"/>
      <c r="H747" s="386"/>
      <c r="I747" s="46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 spans="1:26" ht="14.4">
      <c r="A748" s="191"/>
      <c r="B748" s="191"/>
      <c r="C748" s="191"/>
      <c r="D748" s="191"/>
      <c r="E748" s="191"/>
      <c r="F748" s="191"/>
      <c r="G748" s="386"/>
      <c r="H748" s="386"/>
      <c r="I748" s="46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 spans="1:26" ht="14.4">
      <c r="A749" s="191"/>
      <c r="B749" s="191"/>
      <c r="C749" s="191"/>
      <c r="D749" s="191"/>
      <c r="E749" s="191"/>
      <c r="F749" s="191"/>
      <c r="G749" s="386"/>
      <c r="H749" s="386"/>
      <c r="I749" s="46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 spans="1:26" ht="14.4">
      <c r="A750" s="191"/>
      <c r="B750" s="191"/>
      <c r="C750" s="191"/>
      <c r="D750" s="191"/>
      <c r="E750" s="191"/>
      <c r="F750" s="191"/>
      <c r="G750" s="386"/>
      <c r="H750" s="386"/>
      <c r="I750" s="46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 spans="1:26" ht="14.4">
      <c r="A751" s="191"/>
      <c r="B751" s="191"/>
      <c r="C751" s="191"/>
      <c r="D751" s="191"/>
      <c r="E751" s="191"/>
      <c r="F751" s="191"/>
      <c r="G751" s="386"/>
      <c r="H751" s="386"/>
      <c r="I751" s="46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 spans="1:26" ht="14.4">
      <c r="A752" s="191"/>
      <c r="B752" s="191"/>
      <c r="C752" s="191"/>
      <c r="D752" s="191"/>
      <c r="E752" s="191"/>
      <c r="F752" s="191"/>
      <c r="G752" s="386"/>
      <c r="H752" s="386"/>
      <c r="I752" s="46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 spans="1:26" ht="14.4">
      <c r="A753" s="191"/>
      <c r="B753" s="191"/>
      <c r="C753" s="191"/>
      <c r="D753" s="191"/>
      <c r="E753" s="191"/>
      <c r="F753" s="191"/>
      <c r="G753" s="386"/>
      <c r="H753" s="386"/>
      <c r="I753" s="46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 spans="1:26" ht="14.4">
      <c r="A754" s="191"/>
      <c r="B754" s="191"/>
      <c r="C754" s="191"/>
      <c r="D754" s="191"/>
      <c r="E754" s="191"/>
      <c r="F754" s="191"/>
      <c r="G754" s="386"/>
      <c r="H754" s="386"/>
      <c r="I754" s="46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 spans="1:26" ht="14.4">
      <c r="A755" s="191"/>
      <c r="B755" s="191"/>
      <c r="C755" s="191"/>
      <c r="D755" s="191"/>
      <c r="E755" s="191"/>
      <c r="F755" s="191"/>
      <c r="G755" s="386"/>
      <c r="H755" s="386"/>
      <c r="I755" s="46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 spans="1:26" ht="14.4">
      <c r="A756" s="191"/>
      <c r="B756" s="191"/>
      <c r="C756" s="191"/>
      <c r="D756" s="191"/>
      <c r="E756" s="191"/>
      <c r="F756" s="191"/>
      <c r="G756" s="386"/>
      <c r="H756" s="386"/>
      <c r="I756" s="46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 spans="1:26" ht="14.4">
      <c r="A757" s="191"/>
      <c r="B757" s="191"/>
      <c r="C757" s="191"/>
      <c r="D757" s="191"/>
      <c r="E757" s="191"/>
      <c r="F757" s="191"/>
      <c r="G757" s="386"/>
      <c r="H757" s="386"/>
      <c r="I757" s="46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 spans="1:26" ht="14.4">
      <c r="A758" s="191"/>
      <c r="B758" s="191"/>
      <c r="C758" s="191"/>
      <c r="D758" s="191"/>
      <c r="E758" s="191"/>
      <c r="F758" s="191"/>
      <c r="G758" s="386"/>
      <c r="H758" s="386"/>
      <c r="I758" s="46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 spans="1:26" ht="14.4">
      <c r="A759" s="191"/>
      <c r="B759" s="191"/>
      <c r="C759" s="191"/>
      <c r="D759" s="191"/>
      <c r="E759" s="191"/>
      <c r="F759" s="191"/>
      <c r="G759" s="386"/>
      <c r="H759" s="386"/>
      <c r="I759" s="46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 spans="1:26" ht="14.4">
      <c r="A760" s="191"/>
      <c r="B760" s="191"/>
      <c r="C760" s="191"/>
      <c r="D760" s="191"/>
      <c r="E760" s="191"/>
      <c r="F760" s="191"/>
      <c r="G760" s="386"/>
      <c r="H760" s="386"/>
      <c r="I760" s="46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 spans="1:26" ht="14.4">
      <c r="A761" s="191"/>
      <c r="B761" s="191"/>
      <c r="C761" s="191"/>
      <c r="D761" s="191"/>
      <c r="E761" s="191"/>
      <c r="F761" s="191"/>
      <c r="G761" s="386"/>
      <c r="H761" s="386"/>
      <c r="I761" s="46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 spans="1:26" ht="14.4">
      <c r="A762" s="191"/>
      <c r="B762" s="191"/>
      <c r="C762" s="191"/>
      <c r="D762" s="191"/>
      <c r="E762" s="191"/>
      <c r="F762" s="191"/>
      <c r="G762" s="386"/>
      <c r="H762" s="386"/>
      <c r="I762" s="46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 spans="1:26" ht="14.4">
      <c r="A763" s="191"/>
      <c r="B763" s="191"/>
      <c r="C763" s="191"/>
      <c r="D763" s="191"/>
      <c r="E763" s="191"/>
      <c r="F763" s="191"/>
      <c r="G763" s="386"/>
      <c r="H763" s="386"/>
      <c r="I763" s="46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 spans="1:26" ht="14.4">
      <c r="A764" s="191"/>
      <c r="B764" s="191"/>
      <c r="C764" s="191"/>
      <c r="D764" s="191"/>
      <c r="E764" s="191"/>
      <c r="F764" s="191"/>
      <c r="G764" s="386"/>
      <c r="H764" s="386"/>
      <c r="I764" s="46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 spans="1:26" ht="14.4">
      <c r="A765" s="191"/>
      <c r="B765" s="191"/>
      <c r="C765" s="191"/>
      <c r="D765" s="191"/>
      <c r="E765" s="191"/>
      <c r="F765" s="191"/>
      <c r="G765" s="386"/>
      <c r="H765" s="386"/>
      <c r="I765" s="46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 spans="1:26" ht="14.4">
      <c r="A766" s="191"/>
      <c r="B766" s="191"/>
      <c r="C766" s="191"/>
      <c r="D766" s="191"/>
      <c r="E766" s="191"/>
      <c r="F766" s="191"/>
      <c r="G766" s="386"/>
      <c r="H766" s="386"/>
      <c r="I766" s="46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 spans="1:26" ht="14.4">
      <c r="A767" s="191"/>
      <c r="B767" s="191"/>
      <c r="C767" s="191"/>
      <c r="D767" s="191"/>
      <c r="E767" s="191"/>
      <c r="F767" s="191"/>
      <c r="G767" s="386"/>
      <c r="H767" s="386"/>
      <c r="I767" s="46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 spans="1:26" ht="14.4">
      <c r="A768" s="191"/>
      <c r="B768" s="191"/>
      <c r="C768" s="191"/>
      <c r="D768" s="191"/>
      <c r="E768" s="191"/>
      <c r="F768" s="191"/>
      <c r="G768" s="386"/>
      <c r="H768" s="386"/>
      <c r="I768" s="46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 spans="1:26" ht="14.4">
      <c r="A769" s="191"/>
      <c r="B769" s="191"/>
      <c r="C769" s="191"/>
      <c r="D769" s="191"/>
      <c r="E769" s="191"/>
      <c r="F769" s="191"/>
      <c r="G769" s="386"/>
      <c r="H769" s="386"/>
      <c r="I769" s="46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 spans="1:26" ht="14.4">
      <c r="A770" s="191"/>
      <c r="B770" s="191"/>
      <c r="C770" s="191"/>
      <c r="D770" s="191"/>
      <c r="E770" s="191"/>
      <c r="F770" s="191"/>
      <c r="G770" s="386"/>
      <c r="H770" s="386"/>
      <c r="I770" s="46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 spans="1:26" ht="14.4">
      <c r="A771" s="191"/>
      <c r="B771" s="191"/>
      <c r="C771" s="191"/>
      <c r="D771" s="191"/>
      <c r="E771" s="191"/>
      <c r="F771" s="191"/>
      <c r="G771" s="386"/>
      <c r="H771" s="386"/>
      <c r="I771" s="46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 spans="1:26" ht="14.4">
      <c r="A772" s="191"/>
      <c r="B772" s="191"/>
      <c r="C772" s="191"/>
      <c r="D772" s="191"/>
      <c r="E772" s="191"/>
      <c r="F772" s="191"/>
      <c r="G772" s="386"/>
      <c r="H772" s="386"/>
      <c r="I772" s="46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 spans="1:26" ht="14.4">
      <c r="A773" s="191"/>
      <c r="B773" s="191"/>
      <c r="C773" s="191"/>
      <c r="D773" s="191"/>
      <c r="E773" s="191"/>
      <c r="F773" s="191"/>
      <c r="G773" s="386"/>
      <c r="H773" s="386"/>
      <c r="I773" s="46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 spans="1:26" ht="14.4">
      <c r="A774" s="191"/>
      <c r="B774" s="191"/>
      <c r="C774" s="191"/>
      <c r="D774" s="191"/>
      <c r="E774" s="191"/>
      <c r="F774" s="191"/>
      <c r="G774" s="386"/>
      <c r="H774" s="386"/>
      <c r="I774" s="46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 spans="1:26" ht="14.4">
      <c r="A775" s="191"/>
      <c r="B775" s="191"/>
      <c r="C775" s="191"/>
      <c r="D775" s="191"/>
      <c r="E775" s="191"/>
      <c r="F775" s="191"/>
      <c r="G775" s="386"/>
      <c r="H775" s="386"/>
      <c r="I775" s="46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 spans="1:26" ht="14.4">
      <c r="A776" s="191"/>
      <c r="B776" s="191"/>
      <c r="C776" s="191"/>
      <c r="D776" s="191"/>
      <c r="E776" s="191"/>
      <c r="F776" s="191"/>
      <c r="G776" s="386"/>
      <c r="H776" s="386"/>
      <c r="I776" s="46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 spans="1:26" ht="14.4">
      <c r="A777" s="191"/>
      <c r="B777" s="191"/>
      <c r="C777" s="191"/>
      <c r="D777" s="191"/>
      <c r="E777" s="191"/>
      <c r="F777" s="191"/>
      <c r="G777" s="386"/>
      <c r="H777" s="386"/>
      <c r="I777" s="46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 spans="1:26" ht="14.4">
      <c r="A778" s="191"/>
      <c r="B778" s="191"/>
      <c r="C778" s="191"/>
      <c r="D778" s="191"/>
      <c r="E778" s="191"/>
      <c r="F778" s="191"/>
      <c r="G778" s="386"/>
      <c r="H778" s="386"/>
      <c r="I778" s="46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 spans="1:26" ht="14.4">
      <c r="A779" s="191"/>
      <c r="B779" s="191"/>
      <c r="C779" s="191"/>
      <c r="D779" s="191"/>
      <c r="E779" s="191"/>
      <c r="F779" s="191"/>
      <c r="G779" s="386"/>
      <c r="H779" s="386"/>
      <c r="I779" s="46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 spans="1:26" ht="14.4">
      <c r="A780" s="191"/>
      <c r="B780" s="191"/>
      <c r="C780" s="191"/>
      <c r="D780" s="191"/>
      <c r="E780" s="191"/>
      <c r="F780" s="191"/>
      <c r="G780" s="386"/>
      <c r="H780" s="386"/>
      <c r="I780" s="46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 spans="1:26" ht="14.4">
      <c r="A781" s="191"/>
      <c r="B781" s="191"/>
      <c r="C781" s="191"/>
      <c r="D781" s="191"/>
      <c r="E781" s="191"/>
      <c r="F781" s="191"/>
      <c r="G781" s="386"/>
      <c r="H781" s="386"/>
      <c r="I781" s="46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 spans="1:26" ht="14.4">
      <c r="A782" s="191"/>
      <c r="B782" s="191"/>
      <c r="C782" s="191"/>
      <c r="D782" s="191"/>
      <c r="E782" s="191"/>
      <c r="F782" s="191"/>
      <c r="G782" s="386"/>
      <c r="H782" s="386"/>
      <c r="I782" s="46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 spans="1:26" ht="14.4">
      <c r="A783" s="191"/>
      <c r="B783" s="191"/>
      <c r="C783" s="191"/>
      <c r="D783" s="191"/>
      <c r="E783" s="191"/>
      <c r="F783" s="191"/>
      <c r="G783" s="386"/>
      <c r="H783" s="386"/>
      <c r="I783" s="46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 spans="1:26" ht="14.4">
      <c r="A784" s="191"/>
      <c r="B784" s="191"/>
      <c r="C784" s="191"/>
      <c r="D784" s="191"/>
      <c r="E784" s="191"/>
      <c r="F784" s="191"/>
      <c r="G784" s="386"/>
      <c r="H784" s="386"/>
      <c r="I784" s="46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 spans="1:26" ht="14.4">
      <c r="A785" s="191"/>
      <c r="B785" s="191"/>
      <c r="C785" s="191"/>
      <c r="D785" s="191"/>
      <c r="E785" s="191"/>
      <c r="F785" s="191"/>
      <c r="G785" s="386"/>
      <c r="H785" s="386"/>
      <c r="I785" s="46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 spans="1:26" ht="14.4">
      <c r="A786" s="191"/>
      <c r="B786" s="191"/>
      <c r="C786" s="191"/>
      <c r="D786" s="191"/>
      <c r="E786" s="191"/>
      <c r="F786" s="191"/>
      <c r="G786" s="386"/>
      <c r="H786" s="386"/>
      <c r="I786" s="46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 spans="1:26" ht="14.4">
      <c r="A787" s="191"/>
      <c r="B787" s="191"/>
      <c r="C787" s="191"/>
      <c r="D787" s="191"/>
      <c r="E787" s="191"/>
      <c r="F787" s="191"/>
      <c r="G787" s="386"/>
      <c r="H787" s="386"/>
      <c r="I787" s="46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 spans="1:26" ht="14.4">
      <c r="A788" s="191"/>
      <c r="B788" s="191"/>
      <c r="C788" s="191"/>
      <c r="D788" s="191"/>
      <c r="E788" s="191"/>
      <c r="F788" s="191"/>
      <c r="G788" s="386"/>
      <c r="H788" s="386"/>
      <c r="I788" s="46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 spans="1:26" ht="14.4">
      <c r="A789" s="191"/>
      <c r="B789" s="191"/>
      <c r="C789" s="191"/>
      <c r="D789" s="191"/>
      <c r="E789" s="191"/>
      <c r="F789" s="191"/>
      <c r="G789" s="386"/>
      <c r="H789" s="386"/>
      <c r="I789" s="46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 spans="1:26" ht="14.4">
      <c r="A790" s="191"/>
      <c r="B790" s="191"/>
      <c r="C790" s="191"/>
      <c r="D790" s="191"/>
      <c r="E790" s="191"/>
      <c r="F790" s="191"/>
      <c r="G790" s="386"/>
      <c r="H790" s="386"/>
      <c r="I790" s="46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 spans="1:26" ht="14.4">
      <c r="A791" s="191"/>
      <c r="B791" s="191"/>
      <c r="C791" s="191"/>
      <c r="D791" s="191"/>
      <c r="E791" s="191"/>
      <c r="F791" s="191"/>
      <c r="G791" s="386"/>
      <c r="H791" s="386"/>
      <c r="I791" s="46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 spans="1:26" ht="14.4">
      <c r="A792" s="191"/>
      <c r="B792" s="191"/>
      <c r="C792" s="191"/>
      <c r="D792" s="191"/>
      <c r="E792" s="191"/>
      <c r="F792" s="191"/>
      <c r="G792" s="386"/>
      <c r="H792" s="386"/>
      <c r="I792" s="46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 spans="1:26" ht="14.4">
      <c r="A793" s="191"/>
      <c r="B793" s="191"/>
      <c r="C793" s="191"/>
      <c r="D793" s="191"/>
      <c r="E793" s="191"/>
      <c r="F793" s="191"/>
      <c r="G793" s="386"/>
      <c r="H793" s="386"/>
      <c r="I793" s="46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 spans="1:26" ht="14.4">
      <c r="A794" s="191"/>
      <c r="B794" s="191"/>
      <c r="C794" s="191"/>
      <c r="D794" s="191"/>
      <c r="E794" s="191"/>
      <c r="F794" s="191"/>
      <c r="G794" s="386"/>
      <c r="H794" s="386"/>
      <c r="I794" s="46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 spans="1:26" ht="14.4">
      <c r="A795" s="191"/>
      <c r="B795" s="191"/>
      <c r="C795" s="191"/>
      <c r="D795" s="191"/>
      <c r="E795" s="191"/>
      <c r="F795" s="191"/>
      <c r="G795" s="386"/>
      <c r="H795" s="386"/>
      <c r="I795" s="46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 spans="1:26" ht="14.4">
      <c r="A796" s="191"/>
      <c r="B796" s="191"/>
      <c r="C796" s="191"/>
      <c r="D796" s="191"/>
      <c r="E796" s="191"/>
      <c r="F796" s="191"/>
      <c r="G796" s="386"/>
      <c r="H796" s="386"/>
      <c r="I796" s="46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 spans="1:26" ht="14.4">
      <c r="A797" s="191"/>
      <c r="B797" s="191"/>
      <c r="C797" s="191"/>
      <c r="D797" s="191"/>
      <c r="E797" s="191"/>
      <c r="F797" s="191"/>
      <c r="G797" s="386"/>
      <c r="H797" s="386"/>
      <c r="I797" s="46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 spans="1:26" ht="14.4">
      <c r="A798" s="191"/>
      <c r="B798" s="191"/>
      <c r="C798" s="191"/>
      <c r="D798" s="191"/>
      <c r="E798" s="191"/>
      <c r="F798" s="191"/>
      <c r="G798" s="386"/>
      <c r="H798" s="386"/>
      <c r="I798" s="46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 spans="1:26" ht="14.4">
      <c r="A799" s="191"/>
      <c r="B799" s="191"/>
      <c r="C799" s="191"/>
      <c r="D799" s="191"/>
      <c r="E799" s="191"/>
      <c r="F799" s="191"/>
      <c r="G799" s="386"/>
      <c r="H799" s="386"/>
      <c r="I799" s="46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 spans="1:26" ht="14.4">
      <c r="A800" s="191"/>
      <c r="B800" s="191"/>
      <c r="C800" s="191"/>
      <c r="D800" s="191"/>
      <c r="E800" s="191"/>
      <c r="F800" s="191"/>
      <c r="G800" s="386"/>
      <c r="H800" s="386"/>
      <c r="I800" s="46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 spans="1:26" ht="14.4">
      <c r="A801" s="191"/>
      <c r="B801" s="191"/>
      <c r="C801" s="191"/>
      <c r="D801" s="191"/>
      <c r="E801" s="191"/>
      <c r="F801" s="191"/>
      <c r="G801" s="386"/>
      <c r="H801" s="386"/>
      <c r="I801" s="46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 spans="1:26" ht="14.4">
      <c r="A802" s="191"/>
      <c r="B802" s="191"/>
      <c r="C802" s="191"/>
      <c r="D802" s="191"/>
      <c r="E802" s="191"/>
      <c r="F802" s="191"/>
      <c r="G802" s="386"/>
      <c r="H802" s="386"/>
      <c r="I802" s="46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 spans="1:26" ht="14.4">
      <c r="A803" s="191"/>
      <c r="B803" s="191"/>
      <c r="C803" s="191"/>
      <c r="D803" s="191"/>
      <c r="E803" s="191"/>
      <c r="F803" s="191"/>
      <c r="G803" s="386"/>
      <c r="H803" s="386"/>
      <c r="I803" s="46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 spans="1:26" ht="14.4">
      <c r="A804" s="191"/>
      <c r="B804" s="191"/>
      <c r="C804" s="191"/>
      <c r="D804" s="191"/>
      <c r="E804" s="191"/>
      <c r="F804" s="191"/>
      <c r="G804" s="386"/>
      <c r="H804" s="386"/>
      <c r="I804" s="46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 spans="1:26" ht="14.4">
      <c r="A805" s="191"/>
      <c r="B805" s="191"/>
      <c r="C805" s="191"/>
      <c r="D805" s="191"/>
      <c r="E805" s="191"/>
      <c r="F805" s="191"/>
      <c r="G805" s="386"/>
      <c r="H805" s="386"/>
      <c r="I805" s="46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 spans="1:26" ht="14.4">
      <c r="A806" s="191"/>
      <c r="B806" s="191"/>
      <c r="C806" s="191"/>
      <c r="D806" s="191"/>
      <c r="E806" s="191"/>
      <c r="F806" s="191"/>
      <c r="G806" s="386"/>
      <c r="H806" s="386"/>
      <c r="I806" s="46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 spans="1:26" ht="14.4">
      <c r="A807" s="191"/>
      <c r="B807" s="191"/>
      <c r="C807" s="191"/>
      <c r="D807" s="191"/>
      <c r="E807" s="191"/>
      <c r="F807" s="191"/>
      <c r="G807" s="386"/>
      <c r="H807" s="386"/>
      <c r="I807" s="46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 spans="1:26" ht="14.4">
      <c r="A808" s="191"/>
      <c r="B808" s="191"/>
      <c r="C808" s="191"/>
      <c r="D808" s="191"/>
      <c r="E808" s="191"/>
      <c r="F808" s="191"/>
      <c r="G808" s="386"/>
      <c r="H808" s="386"/>
      <c r="I808" s="46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 spans="1:26" ht="14.4">
      <c r="A809" s="191"/>
      <c r="B809" s="191"/>
      <c r="C809" s="191"/>
      <c r="D809" s="191"/>
      <c r="E809" s="191"/>
      <c r="F809" s="191"/>
      <c r="G809" s="386"/>
      <c r="H809" s="386"/>
      <c r="I809" s="46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 spans="1:26" ht="14.4">
      <c r="A810" s="191"/>
      <c r="B810" s="191"/>
      <c r="C810" s="191"/>
      <c r="D810" s="191"/>
      <c r="E810" s="191"/>
      <c r="F810" s="191"/>
      <c r="G810" s="386"/>
      <c r="H810" s="386"/>
      <c r="I810" s="46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 spans="1:26" ht="14.4">
      <c r="A811" s="191"/>
      <c r="B811" s="191"/>
      <c r="C811" s="191"/>
      <c r="D811" s="191"/>
      <c r="E811" s="191"/>
      <c r="F811" s="191"/>
      <c r="G811" s="386"/>
      <c r="H811" s="386"/>
      <c r="I811" s="46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 spans="1:26" ht="14.4">
      <c r="A812" s="191"/>
      <c r="B812" s="191"/>
      <c r="C812" s="191"/>
      <c r="D812" s="191"/>
      <c r="E812" s="191"/>
      <c r="F812" s="191"/>
      <c r="G812" s="386"/>
      <c r="H812" s="386"/>
      <c r="I812" s="46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 spans="1:26" ht="14.4">
      <c r="A813" s="191"/>
      <c r="B813" s="191"/>
      <c r="C813" s="191"/>
      <c r="D813" s="191"/>
      <c r="E813" s="191"/>
      <c r="F813" s="191"/>
      <c r="G813" s="386"/>
      <c r="H813" s="386"/>
      <c r="I813" s="46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 spans="1:26" ht="14.4">
      <c r="A814" s="191"/>
      <c r="B814" s="191"/>
      <c r="C814" s="191"/>
      <c r="D814" s="191"/>
      <c r="E814" s="191"/>
      <c r="F814" s="191"/>
      <c r="G814" s="386"/>
      <c r="H814" s="386"/>
      <c r="I814" s="46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 spans="1:26" ht="14.4">
      <c r="A815" s="191"/>
      <c r="B815" s="191"/>
      <c r="C815" s="191"/>
      <c r="D815" s="191"/>
      <c r="E815" s="191"/>
      <c r="F815" s="191"/>
      <c r="G815" s="386"/>
      <c r="H815" s="386"/>
      <c r="I815" s="46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 spans="1:26" ht="14.4">
      <c r="A816" s="191"/>
      <c r="B816" s="191"/>
      <c r="C816" s="191"/>
      <c r="D816" s="191"/>
      <c r="E816" s="191"/>
      <c r="F816" s="191"/>
      <c r="G816" s="386"/>
      <c r="H816" s="386"/>
      <c r="I816" s="46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 spans="1:26" ht="14.4">
      <c r="A817" s="191"/>
      <c r="B817" s="191"/>
      <c r="C817" s="191"/>
      <c r="D817" s="191"/>
      <c r="E817" s="191"/>
      <c r="F817" s="191"/>
      <c r="G817" s="386"/>
      <c r="H817" s="386"/>
      <c r="I817" s="46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 spans="1:26" ht="14.4">
      <c r="A818" s="191"/>
      <c r="B818" s="191"/>
      <c r="C818" s="191"/>
      <c r="D818" s="191"/>
      <c r="E818" s="191"/>
      <c r="F818" s="191"/>
      <c r="G818" s="386"/>
      <c r="H818" s="386"/>
      <c r="I818" s="46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 spans="1:26" ht="14.4">
      <c r="A819" s="191"/>
      <c r="B819" s="191"/>
      <c r="C819" s="191"/>
      <c r="D819" s="191"/>
      <c r="E819" s="191"/>
      <c r="F819" s="191"/>
      <c r="G819" s="386"/>
      <c r="H819" s="386"/>
      <c r="I819" s="46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 spans="1:26" ht="14.4">
      <c r="A820" s="191"/>
      <c r="B820" s="191"/>
      <c r="C820" s="191"/>
      <c r="D820" s="191"/>
      <c r="E820" s="191"/>
      <c r="F820" s="191"/>
      <c r="G820" s="386"/>
      <c r="H820" s="386"/>
      <c r="I820" s="46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 spans="1:26" ht="14.4">
      <c r="A821" s="191"/>
      <c r="B821" s="191"/>
      <c r="C821" s="191"/>
      <c r="D821" s="191"/>
      <c r="E821" s="191"/>
      <c r="F821" s="191"/>
      <c r="G821" s="386"/>
      <c r="H821" s="386"/>
      <c r="I821" s="46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 spans="1:26" ht="14.4">
      <c r="A822" s="191"/>
      <c r="B822" s="191"/>
      <c r="C822" s="191"/>
      <c r="D822" s="191"/>
      <c r="E822" s="191"/>
      <c r="F822" s="191"/>
      <c r="G822" s="386"/>
      <c r="H822" s="386"/>
      <c r="I822" s="46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 spans="1:26" ht="14.4">
      <c r="A823" s="191"/>
      <c r="B823" s="191"/>
      <c r="C823" s="191"/>
      <c r="D823" s="191"/>
      <c r="E823" s="191"/>
      <c r="F823" s="191"/>
      <c r="G823" s="386"/>
      <c r="H823" s="386"/>
      <c r="I823" s="46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 spans="1:26" ht="14.4">
      <c r="A824" s="191"/>
      <c r="B824" s="191"/>
      <c r="C824" s="191"/>
      <c r="D824" s="191"/>
      <c r="E824" s="191"/>
      <c r="F824" s="191"/>
      <c r="G824" s="386"/>
      <c r="H824" s="386"/>
      <c r="I824" s="46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 spans="1:26" ht="14.4">
      <c r="A825" s="191"/>
      <c r="B825" s="191"/>
      <c r="C825" s="191"/>
      <c r="D825" s="191"/>
      <c r="E825" s="191"/>
      <c r="F825" s="191"/>
      <c r="G825" s="386"/>
      <c r="H825" s="386"/>
      <c r="I825" s="46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 spans="1:26" ht="14.4">
      <c r="A826" s="191"/>
      <c r="B826" s="191"/>
      <c r="C826" s="191"/>
      <c r="D826" s="191"/>
      <c r="E826" s="191"/>
      <c r="F826" s="191"/>
      <c r="G826" s="386"/>
      <c r="H826" s="386"/>
      <c r="I826" s="46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 spans="1:26" ht="14.4">
      <c r="A827" s="191"/>
      <c r="B827" s="191"/>
      <c r="C827" s="191"/>
      <c r="D827" s="191"/>
      <c r="E827" s="191"/>
      <c r="F827" s="191"/>
      <c r="G827" s="386"/>
      <c r="H827" s="386"/>
      <c r="I827" s="46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 spans="1:26" ht="14.4">
      <c r="A828" s="191"/>
      <c r="B828" s="191"/>
      <c r="C828" s="191"/>
      <c r="D828" s="191"/>
      <c r="E828" s="191"/>
      <c r="F828" s="191"/>
      <c r="G828" s="386"/>
      <c r="H828" s="386"/>
      <c r="I828" s="46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 spans="1:26" ht="14.4">
      <c r="A829" s="191"/>
      <c r="B829" s="191"/>
      <c r="C829" s="191"/>
      <c r="D829" s="191"/>
      <c r="E829" s="191"/>
      <c r="F829" s="191"/>
      <c r="G829" s="386"/>
      <c r="H829" s="386"/>
      <c r="I829" s="46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 spans="1:26" ht="14.4">
      <c r="A830" s="191"/>
      <c r="B830" s="191"/>
      <c r="C830" s="191"/>
      <c r="D830" s="191"/>
      <c r="E830" s="191"/>
      <c r="F830" s="191"/>
      <c r="G830" s="386"/>
      <c r="H830" s="386"/>
      <c r="I830" s="46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 spans="1:26" ht="14.4">
      <c r="A831" s="191"/>
      <c r="B831" s="191"/>
      <c r="C831" s="191"/>
      <c r="D831" s="191"/>
      <c r="E831" s="191"/>
      <c r="F831" s="191"/>
      <c r="G831" s="386"/>
      <c r="H831" s="386"/>
      <c r="I831" s="46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 spans="1:26" ht="14.4">
      <c r="A832" s="191"/>
      <c r="B832" s="191"/>
      <c r="C832" s="191"/>
      <c r="D832" s="191"/>
      <c r="E832" s="191"/>
      <c r="F832" s="191"/>
      <c r="G832" s="386"/>
      <c r="H832" s="386"/>
      <c r="I832" s="46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 spans="1:26" ht="14.4">
      <c r="A833" s="191"/>
      <c r="B833" s="191"/>
      <c r="C833" s="191"/>
      <c r="D833" s="191"/>
      <c r="E833" s="191"/>
      <c r="F833" s="191"/>
      <c r="G833" s="386"/>
      <c r="H833" s="386"/>
      <c r="I833" s="46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 spans="1:26" ht="14.4">
      <c r="A834" s="191"/>
      <c r="B834" s="191"/>
      <c r="C834" s="191"/>
      <c r="D834" s="191"/>
      <c r="E834" s="191"/>
      <c r="F834" s="191"/>
      <c r="G834" s="386"/>
      <c r="H834" s="386"/>
      <c r="I834" s="46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 spans="1:26" ht="14.4">
      <c r="A835" s="191"/>
      <c r="B835" s="191"/>
      <c r="C835" s="191"/>
      <c r="D835" s="191"/>
      <c r="E835" s="191"/>
      <c r="F835" s="191"/>
      <c r="G835" s="386"/>
      <c r="H835" s="386"/>
      <c r="I835" s="46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 spans="1:26" ht="14.4">
      <c r="A836" s="191"/>
      <c r="B836" s="191"/>
      <c r="C836" s="191"/>
      <c r="D836" s="191"/>
      <c r="E836" s="191"/>
      <c r="F836" s="191"/>
      <c r="G836" s="386"/>
      <c r="H836" s="386"/>
      <c r="I836" s="46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 spans="1:26" ht="14.4">
      <c r="A837" s="191"/>
      <c r="B837" s="191"/>
      <c r="C837" s="191"/>
      <c r="D837" s="191"/>
      <c r="E837" s="191"/>
      <c r="F837" s="191"/>
      <c r="G837" s="386"/>
      <c r="H837" s="386"/>
      <c r="I837" s="46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 spans="1:26" ht="14.4">
      <c r="A838" s="191"/>
      <c r="B838" s="191"/>
      <c r="C838" s="191"/>
      <c r="D838" s="191"/>
      <c r="E838" s="191"/>
      <c r="F838" s="191"/>
      <c r="G838" s="386"/>
      <c r="H838" s="386"/>
      <c r="I838" s="46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 spans="1:26" ht="14.4">
      <c r="A839" s="191"/>
      <c r="B839" s="191"/>
      <c r="C839" s="191"/>
      <c r="D839" s="191"/>
      <c r="E839" s="191"/>
      <c r="F839" s="191"/>
      <c r="G839" s="386"/>
      <c r="H839" s="386"/>
      <c r="I839" s="46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 spans="1:26" ht="14.4">
      <c r="A840" s="191"/>
      <c r="B840" s="191"/>
      <c r="C840" s="191"/>
      <c r="D840" s="191"/>
      <c r="E840" s="191"/>
      <c r="F840" s="191"/>
      <c r="G840" s="386"/>
      <c r="H840" s="386"/>
      <c r="I840" s="46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 spans="1:26" ht="14.4">
      <c r="A841" s="191"/>
      <c r="B841" s="191"/>
      <c r="C841" s="191"/>
      <c r="D841" s="191"/>
      <c r="E841" s="191"/>
      <c r="F841" s="191"/>
      <c r="G841" s="386"/>
      <c r="H841" s="386"/>
      <c r="I841" s="46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 spans="1:26" ht="14.4">
      <c r="A842" s="191"/>
      <c r="B842" s="191"/>
      <c r="C842" s="191"/>
      <c r="D842" s="191"/>
      <c r="E842" s="191"/>
      <c r="F842" s="191"/>
      <c r="G842" s="386"/>
      <c r="H842" s="386"/>
      <c r="I842" s="46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 spans="1:26" ht="14.4">
      <c r="A843" s="191"/>
      <c r="B843" s="191"/>
      <c r="C843" s="191"/>
      <c r="D843" s="191"/>
      <c r="E843" s="191"/>
      <c r="F843" s="191"/>
      <c r="G843" s="386"/>
      <c r="H843" s="386"/>
      <c r="I843" s="46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 spans="1:26" ht="14.4">
      <c r="A844" s="191"/>
      <c r="B844" s="191"/>
      <c r="C844" s="191"/>
      <c r="D844" s="191"/>
      <c r="E844" s="191"/>
      <c r="F844" s="191"/>
      <c r="G844" s="386"/>
      <c r="H844" s="386"/>
      <c r="I844" s="46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 spans="1:26" ht="14.4">
      <c r="A845" s="191"/>
      <c r="B845" s="191"/>
      <c r="C845" s="191"/>
      <c r="D845" s="191"/>
      <c r="E845" s="191"/>
      <c r="F845" s="191"/>
      <c r="G845" s="386"/>
      <c r="H845" s="386"/>
      <c r="I845" s="46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 spans="1:26" ht="14.4">
      <c r="A846" s="191"/>
      <c r="B846" s="191"/>
      <c r="C846" s="191"/>
      <c r="D846" s="191"/>
      <c r="E846" s="191"/>
      <c r="F846" s="191"/>
      <c r="G846" s="386"/>
      <c r="H846" s="386"/>
      <c r="I846" s="46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 spans="1:26" ht="14.4">
      <c r="A847" s="191"/>
      <c r="B847" s="191"/>
      <c r="C847" s="191"/>
      <c r="D847" s="191"/>
      <c r="E847" s="191"/>
      <c r="F847" s="191"/>
      <c r="G847" s="386"/>
      <c r="H847" s="386"/>
      <c r="I847" s="46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 spans="1:26" ht="14.4">
      <c r="A848" s="191"/>
      <c r="B848" s="191"/>
      <c r="C848" s="191"/>
      <c r="D848" s="191"/>
      <c r="E848" s="191"/>
      <c r="F848" s="191"/>
      <c r="G848" s="386"/>
      <c r="H848" s="386"/>
      <c r="I848" s="46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 spans="1:26" ht="14.4">
      <c r="A849" s="191"/>
      <c r="B849" s="191"/>
      <c r="C849" s="191"/>
      <c r="D849" s="191"/>
      <c r="E849" s="191"/>
      <c r="F849" s="191"/>
      <c r="G849" s="386"/>
      <c r="H849" s="386"/>
      <c r="I849" s="46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 spans="1:26" ht="14.4">
      <c r="A850" s="191"/>
      <c r="B850" s="191"/>
      <c r="C850" s="191"/>
      <c r="D850" s="191"/>
      <c r="E850" s="191"/>
      <c r="F850" s="191"/>
      <c r="G850" s="386"/>
      <c r="H850" s="386"/>
      <c r="I850" s="46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 spans="1:26" ht="14.4">
      <c r="A851" s="191"/>
      <c r="B851" s="191"/>
      <c r="C851" s="191"/>
      <c r="D851" s="191"/>
      <c r="E851" s="191"/>
      <c r="F851" s="191"/>
      <c r="G851" s="386"/>
      <c r="H851" s="386"/>
      <c r="I851" s="46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 spans="1:26" ht="14.4">
      <c r="A852" s="191"/>
      <c r="B852" s="191"/>
      <c r="C852" s="191"/>
      <c r="D852" s="191"/>
      <c r="E852" s="191"/>
      <c r="F852" s="191"/>
      <c r="G852" s="386"/>
      <c r="H852" s="386"/>
      <c r="I852" s="46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 spans="1:26" ht="14.4">
      <c r="A853" s="191"/>
      <c r="B853" s="191"/>
      <c r="C853" s="191"/>
      <c r="D853" s="191"/>
      <c r="E853" s="191"/>
      <c r="F853" s="191"/>
      <c r="G853" s="386"/>
      <c r="H853" s="386"/>
      <c r="I853" s="46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 spans="1:26" ht="14.4">
      <c r="A854" s="191"/>
      <c r="B854" s="191"/>
      <c r="C854" s="191"/>
      <c r="D854" s="191"/>
      <c r="E854" s="191"/>
      <c r="F854" s="191"/>
      <c r="G854" s="386"/>
      <c r="H854" s="386"/>
      <c r="I854" s="46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 spans="1:26" ht="14.4">
      <c r="A855" s="191"/>
      <c r="B855" s="191"/>
      <c r="C855" s="191"/>
      <c r="D855" s="191"/>
      <c r="E855" s="191"/>
      <c r="F855" s="191"/>
      <c r="G855" s="386"/>
      <c r="H855" s="386"/>
      <c r="I855" s="46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 spans="1:26" ht="14.4">
      <c r="A856" s="191"/>
      <c r="B856" s="191"/>
      <c r="C856" s="191"/>
      <c r="D856" s="191"/>
      <c r="E856" s="191"/>
      <c r="F856" s="191"/>
      <c r="G856" s="386"/>
      <c r="H856" s="386"/>
      <c r="I856" s="46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 spans="1:26" ht="14.4">
      <c r="A857" s="191"/>
      <c r="B857" s="191"/>
      <c r="C857" s="191"/>
      <c r="D857" s="191"/>
      <c r="E857" s="191"/>
      <c r="F857" s="191"/>
      <c r="G857" s="386"/>
      <c r="H857" s="386"/>
      <c r="I857" s="46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 spans="1:26" ht="14.4">
      <c r="A858" s="191"/>
      <c r="B858" s="191"/>
      <c r="C858" s="191"/>
      <c r="D858" s="191"/>
      <c r="E858" s="191"/>
      <c r="F858" s="191"/>
      <c r="G858" s="386"/>
      <c r="H858" s="386"/>
      <c r="I858" s="46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 spans="1:26" ht="14.4">
      <c r="A859" s="191"/>
      <c r="B859" s="191"/>
      <c r="C859" s="191"/>
      <c r="D859" s="191"/>
      <c r="E859" s="191"/>
      <c r="F859" s="191"/>
      <c r="G859" s="386"/>
      <c r="H859" s="386"/>
      <c r="I859" s="46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 spans="1:26" ht="14.4">
      <c r="A860" s="191"/>
      <c r="B860" s="191"/>
      <c r="C860" s="191"/>
      <c r="D860" s="191"/>
      <c r="E860" s="191"/>
      <c r="F860" s="191"/>
      <c r="G860" s="386"/>
      <c r="H860" s="386"/>
      <c r="I860" s="46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 spans="1:26" ht="14.4">
      <c r="A861" s="191"/>
      <c r="B861" s="191"/>
      <c r="C861" s="191"/>
      <c r="D861" s="191"/>
      <c r="E861" s="191"/>
      <c r="F861" s="191"/>
      <c r="G861" s="386"/>
      <c r="H861" s="386"/>
      <c r="I861" s="46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 spans="1:26" ht="14.4">
      <c r="A862" s="191"/>
      <c r="B862" s="191"/>
      <c r="C862" s="191"/>
      <c r="D862" s="191"/>
      <c r="E862" s="191"/>
      <c r="F862" s="191"/>
      <c r="G862" s="386"/>
      <c r="H862" s="386"/>
      <c r="I862" s="46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 spans="1:26" ht="14.4">
      <c r="A863" s="191"/>
      <c r="B863" s="191"/>
      <c r="C863" s="191"/>
      <c r="D863" s="191"/>
      <c r="E863" s="191"/>
      <c r="F863" s="191"/>
      <c r="G863" s="386"/>
      <c r="H863" s="386"/>
      <c r="I863" s="46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 spans="1:26" ht="14.4">
      <c r="A864" s="191"/>
      <c r="B864" s="191"/>
      <c r="C864" s="191"/>
      <c r="D864" s="191"/>
      <c r="E864" s="191"/>
      <c r="F864" s="191"/>
      <c r="G864" s="386"/>
      <c r="H864" s="386"/>
      <c r="I864" s="46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 spans="1:26" ht="14.4">
      <c r="A865" s="191"/>
      <c r="B865" s="191"/>
      <c r="C865" s="191"/>
      <c r="D865" s="191"/>
      <c r="E865" s="191"/>
      <c r="F865" s="191"/>
      <c r="G865" s="386"/>
      <c r="H865" s="386"/>
      <c r="I865" s="46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 spans="1:26" ht="14.4">
      <c r="A866" s="191"/>
      <c r="B866" s="191"/>
      <c r="C866" s="191"/>
      <c r="D866" s="191"/>
      <c r="E866" s="191"/>
      <c r="F866" s="191"/>
      <c r="G866" s="386"/>
      <c r="H866" s="386"/>
      <c r="I866" s="46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 spans="1:26" ht="14.4">
      <c r="A867" s="191"/>
      <c r="B867" s="191"/>
      <c r="C867" s="191"/>
      <c r="D867" s="191"/>
      <c r="E867" s="191"/>
      <c r="F867" s="191"/>
      <c r="G867" s="386"/>
      <c r="H867" s="386"/>
      <c r="I867" s="46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 spans="1:26" ht="14.4">
      <c r="A868" s="191"/>
      <c r="B868" s="191"/>
      <c r="C868" s="191"/>
      <c r="D868" s="191"/>
      <c r="E868" s="191"/>
      <c r="F868" s="191"/>
      <c r="G868" s="386"/>
      <c r="H868" s="386"/>
      <c r="I868" s="46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 spans="1:26" ht="14.4">
      <c r="A869" s="191"/>
      <c r="B869" s="191"/>
      <c r="C869" s="191"/>
      <c r="D869" s="191"/>
      <c r="E869" s="191"/>
      <c r="F869" s="191"/>
      <c r="G869" s="386"/>
      <c r="H869" s="386"/>
      <c r="I869" s="46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 spans="1:26" ht="14.4">
      <c r="A870" s="191"/>
      <c r="B870" s="191"/>
      <c r="C870" s="191"/>
      <c r="D870" s="191"/>
      <c r="E870" s="191"/>
      <c r="F870" s="191"/>
      <c r="G870" s="386"/>
      <c r="H870" s="386"/>
      <c r="I870" s="46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 spans="1:26" ht="14.4">
      <c r="A871" s="191"/>
      <c r="B871" s="191"/>
      <c r="C871" s="191"/>
      <c r="D871" s="191"/>
      <c r="E871" s="191"/>
      <c r="F871" s="191"/>
      <c r="G871" s="386"/>
      <c r="H871" s="386"/>
      <c r="I871" s="46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 spans="1:26" ht="14.4">
      <c r="A872" s="191"/>
      <c r="B872" s="191"/>
      <c r="C872" s="191"/>
      <c r="D872" s="191"/>
      <c r="E872" s="191"/>
      <c r="F872" s="191"/>
      <c r="G872" s="386"/>
      <c r="H872" s="386"/>
      <c r="I872" s="46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 spans="1:26" ht="14.4">
      <c r="A873" s="191"/>
      <c r="B873" s="191"/>
      <c r="C873" s="191"/>
      <c r="D873" s="191"/>
      <c r="E873" s="191"/>
      <c r="F873" s="191"/>
      <c r="G873" s="386"/>
      <c r="H873" s="386"/>
      <c r="I873" s="46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 spans="1:26" ht="14.4">
      <c r="A874" s="191"/>
      <c r="B874" s="191"/>
      <c r="C874" s="191"/>
      <c r="D874" s="191"/>
      <c r="E874" s="191"/>
      <c r="F874" s="191"/>
      <c r="G874" s="386"/>
      <c r="H874" s="386"/>
      <c r="I874" s="46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 spans="1:26" ht="14.4">
      <c r="A875" s="191"/>
      <c r="B875" s="191"/>
      <c r="C875" s="191"/>
      <c r="D875" s="191"/>
      <c r="E875" s="191"/>
      <c r="F875" s="191"/>
      <c r="G875" s="386"/>
      <c r="H875" s="386"/>
      <c r="I875" s="46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 spans="1:26" ht="14.4">
      <c r="A876" s="191"/>
      <c r="B876" s="191"/>
      <c r="C876" s="191"/>
      <c r="D876" s="191"/>
      <c r="E876" s="191"/>
      <c r="F876" s="191"/>
      <c r="G876" s="386"/>
      <c r="H876" s="386"/>
      <c r="I876" s="46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 spans="1:26" ht="14.4">
      <c r="A877" s="191"/>
      <c r="B877" s="191"/>
      <c r="C877" s="191"/>
      <c r="D877" s="191"/>
      <c r="E877" s="191"/>
      <c r="F877" s="191"/>
      <c r="G877" s="386"/>
      <c r="H877" s="386"/>
      <c r="I877" s="46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 spans="1:26" ht="14.4">
      <c r="A878" s="191"/>
      <c r="B878" s="191"/>
      <c r="C878" s="191"/>
      <c r="D878" s="191"/>
      <c r="E878" s="191"/>
      <c r="F878" s="191"/>
      <c r="G878" s="386"/>
      <c r="H878" s="386"/>
      <c r="I878" s="46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 spans="1:26" ht="14.4">
      <c r="A879" s="191"/>
      <c r="B879" s="191"/>
      <c r="C879" s="191"/>
      <c r="D879" s="191"/>
      <c r="E879" s="191"/>
      <c r="F879" s="191"/>
      <c r="G879" s="386"/>
      <c r="H879" s="386"/>
      <c r="I879" s="46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 spans="1:26" ht="14.4">
      <c r="A880" s="191"/>
      <c r="B880" s="191"/>
      <c r="C880" s="191"/>
      <c r="D880" s="191"/>
      <c r="E880" s="191"/>
      <c r="F880" s="191"/>
      <c r="G880" s="386"/>
      <c r="H880" s="386"/>
      <c r="I880" s="46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 spans="1:26" ht="14.4">
      <c r="A881" s="191"/>
      <c r="B881" s="191"/>
      <c r="C881" s="191"/>
      <c r="D881" s="191"/>
      <c r="E881" s="191"/>
      <c r="F881" s="191"/>
      <c r="G881" s="386"/>
      <c r="H881" s="386"/>
      <c r="I881" s="46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 spans="1:26" ht="14.4">
      <c r="A882" s="191"/>
      <c r="B882" s="191"/>
      <c r="C882" s="191"/>
      <c r="D882" s="191"/>
      <c r="E882" s="191"/>
      <c r="F882" s="191"/>
      <c r="G882" s="386"/>
      <c r="H882" s="386"/>
      <c r="I882" s="46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 spans="1:26" ht="14.4">
      <c r="A883" s="191"/>
      <c r="B883" s="191"/>
      <c r="C883" s="191"/>
      <c r="D883" s="191"/>
      <c r="E883" s="191"/>
      <c r="F883" s="191"/>
      <c r="G883" s="386"/>
      <c r="H883" s="386"/>
      <c r="I883" s="46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 spans="1:26" ht="14.4">
      <c r="A884" s="191"/>
      <c r="B884" s="191"/>
      <c r="C884" s="191"/>
      <c r="D884" s="191"/>
      <c r="E884" s="191"/>
      <c r="F884" s="191"/>
      <c r="G884" s="386"/>
      <c r="H884" s="386"/>
      <c r="I884" s="46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 spans="1:26" ht="14.4">
      <c r="A885" s="191"/>
      <c r="B885" s="191"/>
      <c r="C885" s="191"/>
      <c r="D885" s="191"/>
      <c r="E885" s="191"/>
      <c r="F885" s="191"/>
      <c r="G885" s="386"/>
      <c r="H885" s="386"/>
      <c r="I885" s="46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 spans="1:26" ht="14.4">
      <c r="A886" s="191"/>
      <c r="B886" s="191"/>
      <c r="C886" s="191"/>
      <c r="D886" s="191"/>
      <c r="E886" s="191"/>
      <c r="F886" s="191"/>
      <c r="G886" s="386"/>
      <c r="H886" s="386"/>
      <c r="I886" s="46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 spans="1:26" ht="14.4">
      <c r="A887" s="191"/>
      <c r="B887" s="191"/>
      <c r="C887" s="191"/>
      <c r="D887" s="191"/>
      <c r="E887" s="191"/>
      <c r="F887" s="191"/>
      <c r="G887" s="386"/>
      <c r="H887" s="386"/>
      <c r="I887" s="46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 spans="1:26" ht="14.4">
      <c r="A888" s="191"/>
      <c r="B888" s="191"/>
      <c r="C888" s="191"/>
      <c r="D888" s="191"/>
      <c r="E888" s="191"/>
      <c r="F888" s="191"/>
      <c r="G888" s="386"/>
      <c r="H888" s="386"/>
      <c r="I888" s="46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 spans="1:26" ht="14.4">
      <c r="A889" s="191"/>
      <c r="B889" s="191"/>
      <c r="C889" s="191"/>
      <c r="D889" s="191"/>
      <c r="E889" s="191"/>
      <c r="F889" s="191"/>
      <c r="G889" s="386"/>
      <c r="H889" s="386"/>
      <c r="I889" s="46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 spans="1:26" ht="14.4">
      <c r="A890" s="191"/>
      <c r="B890" s="191"/>
      <c r="C890" s="191"/>
      <c r="D890" s="191"/>
      <c r="E890" s="191"/>
      <c r="F890" s="191"/>
      <c r="G890" s="386"/>
      <c r="H890" s="386"/>
      <c r="I890" s="46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 spans="1:26" ht="14.4">
      <c r="A891" s="191"/>
      <c r="B891" s="191"/>
      <c r="C891" s="191"/>
      <c r="D891" s="191"/>
      <c r="E891" s="191"/>
      <c r="F891" s="191"/>
      <c r="G891" s="386"/>
      <c r="H891" s="386"/>
      <c r="I891" s="46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 spans="1:26" ht="14.4">
      <c r="A892" s="191"/>
      <c r="B892" s="191"/>
      <c r="C892" s="191"/>
      <c r="D892" s="191"/>
      <c r="E892" s="191"/>
      <c r="F892" s="191"/>
      <c r="G892" s="386"/>
      <c r="H892" s="386"/>
      <c r="I892" s="46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 spans="1:26" ht="14.4">
      <c r="A893" s="191"/>
      <c r="B893" s="191"/>
      <c r="C893" s="191"/>
      <c r="D893" s="191"/>
      <c r="E893" s="191"/>
      <c r="F893" s="191"/>
      <c r="G893" s="386"/>
      <c r="H893" s="386"/>
      <c r="I893" s="46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 spans="1:26" ht="14.4">
      <c r="A894" s="191"/>
      <c r="B894" s="191"/>
      <c r="C894" s="191"/>
      <c r="D894" s="191"/>
      <c r="E894" s="191"/>
      <c r="F894" s="191"/>
      <c r="G894" s="386"/>
      <c r="H894" s="386"/>
      <c r="I894" s="46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 spans="1:26" ht="14.4">
      <c r="A895" s="191"/>
      <c r="B895" s="191"/>
      <c r="C895" s="191"/>
      <c r="D895" s="191"/>
      <c r="E895" s="191"/>
      <c r="F895" s="191"/>
      <c r="G895" s="386"/>
      <c r="H895" s="386"/>
      <c r="I895" s="46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 spans="1:26" ht="14.4">
      <c r="A896" s="191"/>
      <c r="B896" s="191"/>
      <c r="C896" s="191"/>
      <c r="D896" s="191"/>
      <c r="E896" s="191"/>
      <c r="F896" s="191"/>
      <c r="G896" s="386"/>
      <c r="H896" s="386"/>
      <c r="I896" s="46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 spans="1:26" ht="14.4">
      <c r="A897" s="191"/>
      <c r="B897" s="191"/>
      <c r="C897" s="191"/>
      <c r="D897" s="191"/>
      <c r="E897" s="191"/>
      <c r="F897" s="191"/>
      <c r="G897" s="386"/>
      <c r="H897" s="386"/>
      <c r="I897" s="46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 spans="1:26" ht="14.4">
      <c r="A898" s="191"/>
      <c r="B898" s="191"/>
      <c r="C898" s="191"/>
      <c r="D898" s="191"/>
      <c r="E898" s="191"/>
      <c r="F898" s="191"/>
      <c r="G898" s="386"/>
      <c r="H898" s="386"/>
      <c r="I898" s="46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 spans="1:26" ht="14.4">
      <c r="A899" s="191"/>
      <c r="B899" s="191"/>
      <c r="C899" s="191"/>
      <c r="D899" s="191"/>
      <c r="E899" s="191"/>
      <c r="F899" s="191"/>
      <c r="G899" s="386"/>
      <c r="H899" s="386"/>
      <c r="I899" s="46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 spans="1:26" ht="14.4">
      <c r="A900" s="191"/>
      <c r="B900" s="191"/>
      <c r="C900" s="191"/>
      <c r="D900" s="191"/>
      <c r="E900" s="191"/>
      <c r="F900" s="191"/>
      <c r="G900" s="386"/>
      <c r="H900" s="386"/>
      <c r="I900" s="46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 spans="1:26" ht="14.4">
      <c r="A901" s="191"/>
      <c r="B901" s="191"/>
      <c r="C901" s="191"/>
      <c r="D901" s="191"/>
      <c r="E901" s="191"/>
      <c r="F901" s="191"/>
      <c r="G901" s="386"/>
      <c r="H901" s="386"/>
      <c r="I901" s="46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 spans="1:26" ht="14.4">
      <c r="A902" s="191"/>
      <c r="B902" s="191"/>
      <c r="C902" s="191"/>
      <c r="D902" s="191"/>
      <c r="E902" s="191"/>
      <c r="F902" s="191"/>
      <c r="G902" s="386"/>
      <c r="H902" s="386"/>
      <c r="I902" s="46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 spans="1:26" ht="14.4">
      <c r="A903" s="191"/>
      <c r="B903" s="191"/>
      <c r="C903" s="191"/>
      <c r="D903" s="191"/>
      <c r="E903" s="191"/>
      <c r="F903" s="191"/>
      <c r="G903" s="386"/>
      <c r="H903" s="386"/>
      <c r="I903" s="46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 spans="1:26" ht="14.4">
      <c r="A904" s="191"/>
      <c r="B904" s="191"/>
      <c r="C904" s="191"/>
      <c r="D904" s="191"/>
      <c r="E904" s="191"/>
      <c r="F904" s="191"/>
      <c r="G904" s="386"/>
      <c r="H904" s="386"/>
      <c r="I904" s="46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 spans="1:26" ht="14.4">
      <c r="A905" s="191"/>
      <c r="B905" s="191"/>
      <c r="C905" s="191"/>
      <c r="D905" s="191"/>
      <c r="E905" s="191"/>
      <c r="F905" s="191"/>
      <c r="G905" s="386"/>
      <c r="H905" s="386"/>
      <c r="I905" s="46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 spans="1:26" ht="14.4">
      <c r="A906" s="191"/>
      <c r="B906" s="191"/>
      <c r="C906" s="191"/>
      <c r="D906" s="191"/>
      <c r="E906" s="191"/>
      <c r="F906" s="191"/>
      <c r="G906" s="386"/>
      <c r="H906" s="386"/>
      <c r="I906" s="46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 spans="1:26" ht="14.4">
      <c r="A907" s="191"/>
      <c r="B907" s="191"/>
      <c r="C907" s="191"/>
      <c r="D907" s="191"/>
      <c r="E907" s="191"/>
      <c r="F907" s="191"/>
      <c r="G907" s="386"/>
      <c r="H907" s="386"/>
      <c r="I907" s="46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 spans="1:26" ht="14.4">
      <c r="A908" s="191"/>
      <c r="B908" s="191"/>
      <c r="C908" s="191"/>
      <c r="D908" s="191"/>
      <c r="E908" s="191"/>
      <c r="F908" s="191"/>
      <c r="G908" s="386"/>
      <c r="H908" s="386"/>
      <c r="I908" s="46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 spans="1:26" ht="14.4">
      <c r="A909" s="191"/>
      <c r="B909" s="191"/>
      <c r="C909" s="191"/>
      <c r="D909" s="191"/>
      <c r="E909" s="191"/>
      <c r="F909" s="191"/>
      <c r="G909" s="386"/>
      <c r="H909" s="386"/>
      <c r="I909" s="46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 spans="1:26" ht="14.4">
      <c r="A910" s="191"/>
      <c r="B910" s="191"/>
      <c r="C910" s="191"/>
      <c r="D910" s="191"/>
      <c r="E910" s="191"/>
      <c r="F910" s="191"/>
      <c r="G910" s="386"/>
      <c r="H910" s="386"/>
      <c r="I910" s="46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 spans="1:26" ht="14.4">
      <c r="A911" s="191"/>
      <c r="B911" s="191"/>
      <c r="C911" s="191"/>
      <c r="D911" s="191"/>
      <c r="E911" s="191"/>
      <c r="F911" s="191"/>
      <c r="G911" s="386"/>
      <c r="H911" s="386"/>
      <c r="I911" s="46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 spans="1:26" ht="14.4">
      <c r="A912" s="191"/>
      <c r="B912" s="191"/>
      <c r="C912" s="191"/>
      <c r="D912" s="191"/>
      <c r="E912" s="191"/>
      <c r="F912" s="191"/>
      <c r="G912" s="386"/>
      <c r="H912" s="386"/>
      <c r="I912" s="46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 spans="1:26" ht="14.4">
      <c r="A913" s="191"/>
      <c r="B913" s="191"/>
      <c r="C913" s="191"/>
      <c r="D913" s="191"/>
      <c r="E913" s="191"/>
      <c r="F913" s="191"/>
      <c r="G913" s="386"/>
      <c r="H913" s="386"/>
      <c r="I913" s="46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 spans="1:26" ht="14.4">
      <c r="A914" s="191"/>
      <c r="B914" s="191"/>
      <c r="C914" s="191"/>
      <c r="D914" s="191"/>
      <c r="E914" s="191"/>
      <c r="F914" s="191"/>
      <c r="G914" s="386"/>
      <c r="H914" s="386"/>
      <c r="I914" s="46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 spans="1:26" ht="14.4">
      <c r="A915" s="191"/>
      <c r="B915" s="191"/>
      <c r="C915" s="191"/>
      <c r="D915" s="191"/>
      <c r="E915" s="191"/>
      <c r="F915" s="191"/>
      <c r="G915" s="386"/>
      <c r="H915" s="386"/>
      <c r="I915" s="46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 spans="1:26" ht="14.4">
      <c r="A916" s="191"/>
      <c r="B916" s="191"/>
      <c r="C916" s="191"/>
      <c r="D916" s="191"/>
      <c r="E916" s="191"/>
      <c r="F916" s="191"/>
      <c r="G916" s="386"/>
      <c r="H916" s="386"/>
      <c r="I916" s="46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 spans="1:26" ht="14.4">
      <c r="A917" s="191"/>
      <c r="B917" s="191"/>
      <c r="C917" s="191"/>
      <c r="D917" s="191"/>
      <c r="E917" s="191"/>
      <c r="F917" s="191"/>
      <c r="G917" s="386"/>
      <c r="H917" s="386"/>
      <c r="I917" s="46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 spans="1:26" ht="14.4">
      <c r="A918" s="191"/>
      <c r="B918" s="191"/>
      <c r="C918" s="191"/>
      <c r="D918" s="191"/>
      <c r="E918" s="191"/>
      <c r="F918" s="191"/>
      <c r="G918" s="386"/>
      <c r="H918" s="386"/>
      <c r="I918" s="46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 spans="1:26" ht="14.4">
      <c r="A919" s="191"/>
      <c r="B919" s="191"/>
      <c r="C919" s="191"/>
      <c r="D919" s="191"/>
      <c r="E919" s="191"/>
      <c r="F919" s="191"/>
      <c r="G919" s="386"/>
      <c r="H919" s="386"/>
      <c r="I919" s="46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 spans="1:26" ht="14.4">
      <c r="A920" s="191"/>
      <c r="B920" s="191"/>
      <c r="C920" s="191"/>
      <c r="D920" s="191"/>
      <c r="E920" s="191"/>
      <c r="F920" s="191"/>
      <c r="G920" s="386"/>
      <c r="H920" s="386"/>
      <c r="I920" s="46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 spans="1:26" ht="14.4">
      <c r="A921" s="191"/>
      <c r="B921" s="191"/>
      <c r="C921" s="191"/>
      <c r="D921" s="191"/>
      <c r="E921" s="191"/>
      <c r="F921" s="191"/>
      <c r="G921" s="386"/>
      <c r="H921" s="386"/>
      <c r="I921" s="46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 spans="1:26" ht="14.4">
      <c r="A922" s="191"/>
      <c r="B922" s="191"/>
      <c r="C922" s="191"/>
      <c r="D922" s="191"/>
      <c r="E922" s="191"/>
      <c r="F922" s="191"/>
      <c r="G922" s="386"/>
      <c r="H922" s="386"/>
      <c r="I922" s="46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 spans="1:26" ht="14.4">
      <c r="A923" s="191"/>
      <c r="B923" s="191"/>
      <c r="C923" s="191"/>
      <c r="D923" s="191"/>
      <c r="E923" s="191"/>
      <c r="F923" s="191"/>
      <c r="G923" s="386"/>
      <c r="H923" s="386"/>
      <c r="I923" s="46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 spans="1:26" ht="14.4">
      <c r="A924" s="191"/>
      <c r="B924" s="191"/>
      <c r="C924" s="191"/>
      <c r="D924" s="191"/>
      <c r="E924" s="191"/>
      <c r="F924" s="191"/>
      <c r="G924" s="386"/>
      <c r="H924" s="386"/>
      <c r="I924" s="46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 spans="1:26" ht="14.4">
      <c r="A925" s="191"/>
      <c r="B925" s="191"/>
      <c r="C925" s="191"/>
      <c r="D925" s="191"/>
      <c r="E925" s="191"/>
      <c r="F925" s="191"/>
      <c r="G925" s="386"/>
      <c r="H925" s="386"/>
      <c r="I925" s="46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 spans="1:26" ht="14.4">
      <c r="A926" s="191"/>
      <c r="B926" s="191"/>
      <c r="C926" s="191"/>
      <c r="D926" s="191"/>
      <c r="E926" s="191"/>
      <c r="F926" s="191"/>
      <c r="G926" s="386"/>
      <c r="H926" s="386"/>
      <c r="I926" s="46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 spans="1:26" ht="14.4">
      <c r="A927" s="191"/>
      <c r="B927" s="191"/>
      <c r="C927" s="191"/>
      <c r="D927" s="191"/>
      <c r="E927" s="191"/>
      <c r="F927" s="191"/>
      <c r="G927" s="386"/>
      <c r="H927" s="386"/>
      <c r="I927" s="46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 spans="1:26" ht="14.4">
      <c r="A928" s="191"/>
      <c r="B928" s="191"/>
      <c r="C928" s="191"/>
      <c r="D928" s="191"/>
      <c r="E928" s="191"/>
      <c r="F928" s="191"/>
      <c r="G928" s="386"/>
      <c r="H928" s="386"/>
      <c r="I928" s="46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 spans="1:26" ht="14.4">
      <c r="A929" s="191"/>
      <c r="B929" s="191"/>
      <c r="C929" s="191"/>
      <c r="D929" s="191"/>
      <c r="E929" s="191"/>
      <c r="F929" s="191"/>
      <c r="G929" s="386"/>
      <c r="H929" s="386"/>
      <c r="I929" s="46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 spans="1:26" ht="14.4">
      <c r="A930" s="191"/>
      <c r="B930" s="191"/>
      <c r="C930" s="191"/>
      <c r="D930" s="191"/>
      <c r="E930" s="191"/>
      <c r="F930" s="191"/>
      <c r="G930" s="386"/>
      <c r="H930" s="386"/>
      <c r="I930" s="46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 spans="1:26" ht="14.4">
      <c r="A931" s="191"/>
      <c r="B931" s="191"/>
      <c r="C931" s="191"/>
      <c r="D931" s="191"/>
      <c r="E931" s="191"/>
      <c r="F931" s="191"/>
      <c r="G931" s="386"/>
      <c r="H931" s="386"/>
      <c r="I931" s="46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 spans="1:26" ht="14.4">
      <c r="A932" s="191"/>
      <c r="B932" s="191"/>
      <c r="C932" s="191"/>
      <c r="D932" s="191"/>
      <c r="E932" s="191"/>
      <c r="F932" s="191"/>
      <c r="G932" s="386"/>
      <c r="H932" s="386"/>
      <c r="I932" s="46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 spans="1:26" ht="14.4">
      <c r="A933" s="191"/>
      <c r="B933" s="191"/>
      <c r="C933" s="191"/>
      <c r="D933" s="191"/>
      <c r="E933" s="191"/>
      <c r="F933" s="191"/>
      <c r="G933" s="386"/>
      <c r="H933" s="386"/>
      <c r="I933" s="46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 spans="1:26" ht="14.4">
      <c r="A934" s="191"/>
      <c r="B934" s="191"/>
      <c r="C934" s="191"/>
      <c r="D934" s="191"/>
      <c r="E934" s="191"/>
      <c r="F934" s="191"/>
      <c r="G934" s="386"/>
      <c r="H934" s="386"/>
      <c r="I934" s="46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 spans="1:26" ht="14.4">
      <c r="A935" s="191"/>
      <c r="B935" s="191"/>
      <c r="C935" s="191"/>
      <c r="D935" s="191"/>
      <c r="E935" s="191"/>
      <c r="F935" s="191"/>
      <c r="G935" s="386"/>
      <c r="H935" s="386"/>
      <c r="I935" s="46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 spans="1:26" ht="14.4">
      <c r="A936" s="191"/>
      <c r="B936" s="191"/>
      <c r="C936" s="191"/>
      <c r="D936" s="191"/>
      <c r="E936" s="191"/>
      <c r="F936" s="191"/>
      <c r="G936" s="386"/>
      <c r="H936" s="386"/>
      <c r="I936" s="46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 spans="1:26" ht="14.4">
      <c r="A937" s="191"/>
      <c r="B937" s="191"/>
      <c r="C937" s="191"/>
      <c r="D937" s="191"/>
      <c r="E937" s="191"/>
      <c r="F937" s="191"/>
      <c r="G937" s="386"/>
      <c r="H937" s="386"/>
      <c r="I937" s="46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 spans="1:26" ht="14.4">
      <c r="A938" s="191"/>
      <c r="B938" s="191"/>
      <c r="C938" s="191"/>
      <c r="D938" s="191"/>
      <c r="E938" s="191"/>
      <c r="F938" s="191"/>
      <c r="G938" s="386"/>
      <c r="H938" s="386"/>
      <c r="I938" s="46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 spans="1:26" ht="14.4">
      <c r="A939" s="191"/>
      <c r="B939" s="191"/>
      <c r="C939" s="191"/>
      <c r="D939" s="191"/>
      <c r="E939" s="191"/>
      <c r="F939" s="191"/>
      <c r="G939" s="386"/>
      <c r="H939" s="386"/>
      <c r="I939" s="46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 spans="1:26" ht="14.4">
      <c r="A940" s="191"/>
      <c r="B940" s="191"/>
      <c r="C940" s="191"/>
      <c r="D940" s="191"/>
      <c r="E940" s="191"/>
      <c r="F940" s="191"/>
      <c r="G940" s="386"/>
      <c r="H940" s="386"/>
      <c r="I940" s="46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 spans="1:26" ht="14.4">
      <c r="A941" s="191"/>
      <c r="B941" s="191"/>
      <c r="C941" s="191"/>
      <c r="D941" s="191"/>
      <c r="E941" s="191"/>
      <c r="F941" s="191"/>
      <c r="G941" s="386"/>
      <c r="H941" s="386"/>
      <c r="I941" s="46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 spans="1:26" ht="14.4">
      <c r="A942" s="191"/>
      <c r="B942" s="191"/>
      <c r="C942" s="191"/>
      <c r="D942" s="191"/>
      <c r="E942" s="191"/>
      <c r="F942" s="191"/>
      <c r="G942" s="386"/>
      <c r="H942" s="386"/>
      <c r="I942" s="46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 spans="1:26" ht="14.4">
      <c r="A943" s="191"/>
      <c r="B943" s="191"/>
      <c r="C943" s="191"/>
      <c r="D943" s="191"/>
      <c r="E943" s="191"/>
      <c r="F943" s="191"/>
      <c r="G943" s="386"/>
      <c r="H943" s="386"/>
      <c r="I943" s="46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 spans="1:26" ht="14.4">
      <c r="A944" s="191"/>
      <c r="B944" s="191"/>
      <c r="C944" s="191"/>
      <c r="D944" s="191"/>
      <c r="E944" s="191"/>
      <c r="F944" s="191"/>
      <c r="G944" s="386"/>
      <c r="H944" s="386"/>
      <c r="I944" s="46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 spans="1:26" ht="14.4">
      <c r="A945" s="191"/>
      <c r="B945" s="191"/>
      <c r="C945" s="191"/>
      <c r="D945" s="191"/>
      <c r="E945" s="191"/>
      <c r="F945" s="191"/>
      <c r="G945" s="386"/>
      <c r="H945" s="386"/>
      <c r="I945" s="46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 spans="1:26" ht="14.4">
      <c r="A946" s="191"/>
      <c r="B946" s="191"/>
      <c r="C946" s="191"/>
      <c r="D946" s="191"/>
      <c r="E946" s="191"/>
      <c r="F946" s="191"/>
      <c r="G946" s="386"/>
      <c r="H946" s="386"/>
      <c r="I946" s="46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 spans="1:26" ht="14.4">
      <c r="A947" s="191"/>
      <c r="B947" s="191"/>
      <c r="C947" s="191"/>
      <c r="D947" s="191"/>
      <c r="E947" s="191"/>
      <c r="F947" s="191"/>
      <c r="G947" s="386"/>
      <c r="H947" s="386"/>
      <c r="I947" s="46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 spans="1:26" ht="14.4">
      <c r="A948" s="191"/>
      <c r="B948" s="191"/>
      <c r="C948" s="191"/>
      <c r="D948" s="191"/>
      <c r="E948" s="191"/>
      <c r="F948" s="191"/>
      <c r="G948" s="386"/>
      <c r="H948" s="386"/>
      <c r="I948" s="46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 spans="1:26" ht="14.4">
      <c r="A949" s="191"/>
      <c r="B949" s="191"/>
      <c r="C949" s="191"/>
      <c r="D949" s="191"/>
      <c r="E949" s="191"/>
      <c r="F949" s="191"/>
      <c r="G949" s="386"/>
      <c r="H949" s="386"/>
      <c r="I949" s="46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 spans="1:26" ht="14.4">
      <c r="A950" s="191"/>
      <c r="B950" s="191"/>
      <c r="C950" s="191"/>
      <c r="D950" s="191"/>
      <c r="E950" s="191"/>
      <c r="F950" s="191"/>
      <c r="G950" s="386"/>
      <c r="H950" s="386"/>
      <c r="I950" s="46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 spans="1:26" ht="14.4">
      <c r="A951" s="191"/>
      <c r="B951" s="191"/>
      <c r="C951" s="191"/>
      <c r="D951" s="191"/>
      <c r="E951" s="191"/>
      <c r="F951" s="191"/>
      <c r="G951" s="386"/>
      <c r="H951" s="386"/>
      <c r="I951" s="46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 spans="1:26" ht="14.4">
      <c r="A952" s="191"/>
      <c r="B952" s="191"/>
      <c r="C952" s="191"/>
      <c r="D952" s="191"/>
      <c r="E952" s="191"/>
      <c r="F952" s="191"/>
      <c r="G952" s="386"/>
      <c r="H952" s="386"/>
      <c r="I952" s="46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 spans="1:26" ht="14.4">
      <c r="A953" s="191"/>
      <c r="B953" s="191"/>
      <c r="C953" s="191"/>
      <c r="D953" s="191"/>
      <c r="E953" s="191"/>
      <c r="F953" s="191"/>
      <c r="G953" s="386"/>
      <c r="H953" s="386"/>
      <c r="I953" s="46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 spans="1:26" ht="14.4">
      <c r="A954" s="191"/>
      <c r="B954" s="191"/>
      <c r="C954" s="191"/>
      <c r="D954" s="191"/>
      <c r="E954" s="191"/>
      <c r="F954" s="191"/>
      <c r="G954" s="386"/>
      <c r="H954" s="386"/>
      <c r="I954" s="46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 spans="1:26" ht="14.4">
      <c r="A955" s="191"/>
      <c r="B955" s="191"/>
      <c r="C955" s="191"/>
      <c r="D955" s="191"/>
      <c r="E955" s="191"/>
      <c r="F955" s="191"/>
      <c r="G955" s="386"/>
      <c r="H955" s="386"/>
      <c r="I955" s="46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 spans="1:26" ht="14.4">
      <c r="A956" s="191"/>
      <c r="B956" s="191"/>
      <c r="C956" s="191"/>
      <c r="D956" s="191"/>
      <c r="E956" s="191"/>
      <c r="F956" s="191"/>
      <c r="G956" s="386"/>
      <c r="H956" s="386"/>
      <c r="I956" s="46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 spans="1:26" ht="14.4">
      <c r="A957" s="191"/>
      <c r="B957" s="191"/>
      <c r="C957" s="191"/>
      <c r="D957" s="191"/>
      <c r="E957" s="191"/>
      <c r="F957" s="191"/>
      <c r="G957" s="386"/>
      <c r="H957" s="386"/>
      <c r="I957" s="46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 spans="1:26" ht="14.4">
      <c r="A958" s="191"/>
      <c r="B958" s="191"/>
      <c r="C958" s="191"/>
      <c r="D958" s="191"/>
      <c r="E958" s="191"/>
      <c r="F958" s="191"/>
      <c r="G958" s="386"/>
      <c r="H958" s="386"/>
      <c r="I958" s="46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 spans="1:26" ht="14.4">
      <c r="A959" s="191"/>
      <c r="B959" s="191"/>
      <c r="C959" s="191"/>
      <c r="D959" s="191"/>
      <c r="E959" s="191"/>
      <c r="F959" s="191"/>
      <c r="G959" s="386"/>
      <c r="H959" s="386"/>
      <c r="I959" s="46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 spans="1:26" ht="14.4">
      <c r="A960" s="191"/>
      <c r="B960" s="191"/>
      <c r="C960" s="191"/>
      <c r="D960" s="191"/>
      <c r="E960" s="191"/>
      <c r="F960" s="191"/>
      <c r="G960" s="386"/>
      <c r="H960" s="386"/>
      <c r="I960" s="46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 spans="1:26" ht="14.4">
      <c r="A961" s="191"/>
      <c r="B961" s="191"/>
      <c r="C961" s="191"/>
      <c r="D961" s="191"/>
      <c r="E961" s="191"/>
      <c r="F961" s="191"/>
      <c r="G961" s="386"/>
      <c r="H961" s="386"/>
      <c r="I961" s="46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 spans="1:26" ht="14.4">
      <c r="A962" s="191"/>
      <c r="B962" s="191"/>
      <c r="C962" s="191"/>
      <c r="D962" s="191"/>
      <c r="E962" s="191"/>
      <c r="F962" s="191"/>
      <c r="G962" s="386"/>
      <c r="H962" s="386"/>
      <c r="I962" s="46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 spans="1:26" ht="14.4">
      <c r="A963" s="191"/>
      <c r="B963" s="191"/>
      <c r="C963" s="191"/>
      <c r="D963" s="191"/>
      <c r="E963" s="191"/>
      <c r="F963" s="191"/>
      <c r="G963" s="386"/>
      <c r="H963" s="386"/>
      <c r="I963" s="46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  <row r="964" spans="1:26" ht="14.4">
      <c r="A964" s="191"/>
      <c r="B964" s="191"/>
      <c r="C964" s="191"/>
      <c r="D964" s="191"/>
      <c r="E964" s="191"/>
      <c r="F964" s="191"/>
      <c r="G964" s="386"/>
      <c r="H964" s="386"/>
      <c r="I964" s="463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</row>
    <row r="965" spans="1:26" ht="14.4">
      <c r="A965" s="191"/>
      <c r="B965" s="191"/>
      <c r="C965" s="191"/>
      <c r="D965" s="191"/>
      <c r="E965" s="191"/>
      <c r="F965" s="191"/>
      <c r="G965" s="386"/>
      <c r="H965" s="386"/>
      <c r="I965" s="463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</row>
    <row r="966" spans="1:26" ht="14.4">
      <c r="A966" s="191"/>
      <c r="B966" s="191"/>
      <c r="C966" s="191"/>
      <c r="D966" s="191"/>
      <c r="E966" s="191"/>
      <c r="F966" s="191"/>
      <c r="G966" s="386"/>
      <c r="H966" s="386"/>
      <c r="I966" s="463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</row>
    <row r="967" spans="1:26" ht="14.4">
      <c r="A967" s="191"/>
      <c r="B967" s="191"/>
      <c r="C967" s="191"/>
      <c r="D967" s="191"/>
      <c r="E967" s="191"/>
      <c r="F967" s="191"/>
      <c r="G967" s="386"/>
      <c r="H967" s="386"/>
      <c r="I967" s="463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</row>
    <row r="968" spans="1:26" ht="14.4">
      <c r="A968" s="191"/>
      <c r="B968" s="191"/>
      <c r="C968" s="191"/>
      <c r="D968" s="191"/>
      <c r="E968" s="191"/>
      <c r="F968" s="191"/>
      <c r="G968" s="386"/>
      <c r="H968" s="386"/>
      <c r="I968" s="463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</row>
    <row r="969" spans="1:26" ht="14.4">
      <c r="A969" s="191"/>
      <c r="B969" s="191"/>
      <c r="C969" s="191"/>
      <c r="D969" s="191"/>
      <c r="E969" s="191"/>
      <c r="F969" s="191"/>
      <c r="G969" s="386"/>
      <c r="H969" s="386"/>
      <c r="I969" s="463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</row>
    <row r="970" spans="1:26" ht="14.4">
      <c r="A970" s="191"/>
      <c r="B970" s="191"/>
      <c r="C970" s="191"/>
      <c r="D970" s="191"/>
      <c r="E970" s="191"/>
      <c r="F970" s="191"/>
      <c r="G970" s="386"/>
      <c r="H970" s="386"/>
      <c r="I970" s="463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</row>
    <row r="971" spans="1:26" ht="14.4">
      <c r="A971" s="191"/>
      <c r="B971" s="191"/>
      <c r="C971" s="191"/>
      <c r="D971" s="191"/>
      <c r="E971" s="191"/>
      <c r="F971" s="191"/>
      <c r="G971" s="386"/>
      <c r="H971" s="386"/>
      <c r="I971" s="463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</row>
    <row r="972" spans="1:26" ht="14.4">
      <c r="A972" s="191"/>
      <c r="B972" s="191"/>
      <c r="C972" s="191"/>
      <c r="D972" s="191"/>
      <c r="E972" s="191"/>
      <c r="F972" s="191"/>
      <c r="G972" s="386"/>
      <c r="H972" s="386"/>
      <c r="I972" s="463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</row>
    <row r="973" spans="1:26" ht="14.4">
      <c r="A973" s="191"/>
      <c r="B973" s="191"/>
      <c r="C973" s="191"/>
      <c r="D973" s="191"/>
      <c r="E973" s="191"/>
      <c r="F973" s="191"/>
      <c r="G973" s="386"/>
      <c r="H973" s="386"/>
      <c r="I973" s="463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</row>
    <row r="974" spans="1:26" ht="14.4">
      <c r="A974" s="191"/>
      <c r="B974" s="191"/>
      <c r="C974" s="191"/>
      <c r="D974" s="191"/>
      <c r="E974" s="191"/>
      <c r="F974" s="191"/>
      <c r="G974" s="386"/>
      <c r="H974" s="386"/>
      <c r="I974" s="463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</row>
  </sheetData>
  <mergeCells count="12">
    <mergeCell ref="A148:A159"/>
    <mergeCell ref="A160:A182"/>
    <mergeCell ref="A1:B1"/>
    <mergeCell ref="A3:A22"/>
    <mergeCell ref="A23:A60"/>
    <mergeCell ref="A61:A87"/>
    <mergeCell ref="A88:A147"/>
    <mergeCell ref="A245:A307"/>
    <mergeCell ref="A308:A325"/>
    <mergeCell ref="H327:I327"/>
    <mergeCell ref="K327:L327"/>
    <mergeCell ref="A344:B3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outlinePr summaryBelow="0" summaryRight="0"/>
  </sheetPr>
  <dimension ref="A1:Z974"/>
  <sheetViews>
    <sheetView workbookViewId="0"/>
  </sheetViews>
  <sheetFormatPr baseColWidth="10" defaultColWidth="12.6640625" defaultRowHeight="15.75" customHeight="1"/>
  <cols>
    <col min="2" max="2" width="38.21875" customWidth="1"/>
    <col min="8" max="8" width="16" customWidth="1"/>
    <col min="11" max="11" width="15.44140625" customWidth="1"/>
  </cols>
  <sheetData>
    <row r="1" spans="1:26" ht="28.8">
      <c r="A1" s="681" t="s">
        <v>124</v>
      </c>
      <c r="B1" s="652"/>
      <c r="C1" s="1" t="s">
        <v>125</v>
      </c>
      <c r="D1" s="2" t="s">
        <v>126</v>
      </c>
      <c r="E1" s="2" t="s">
        <v>127</v>
      </c>
      <c r="F1" s="2" t="s">
        <v>0</v>
      </c>
      <c r="G1" s="186" t="s">
        <v>1</v>
      </c>
      <c r="H1" s="186" t="s">
        <v>128</v>
      </c>
      <c r="I1" s="187" t="s">
        <v>129</v>
      </c>
      <c r="J1" s="188" t="s">
        <v>130</v>
      </c>
      <c r="K1" s="189" t="s">
        <v>131</v>
      </c>
      <c r="L1" s="190" t="s">
        <v>2</v>
      </c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4.4">
      <c r="A2" s="192"/>
      <c r="B2" s="192"/>
      <c r="C2" s="193"/>
      <c r="D2" s="194"/>
      <c r="E2" s="194"/>
      <c r="F2" s="194"/>
      <c r="G2" s="195"/>
      <c r="H2" s="195"/>
      <c r="I2" s="196"/>
      <c r="J2" s="197"/>
      <c r="K2" s="198"/>
      <c r="L2" s="198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spans="1:26" ht="14.4">
      <c r="A3" s="682" t="s">
        <v>3</v>
      </c>
      <c r="B3" s="199" t="s">
        <v>4</v>
      </c>
      <c r="C3" s="200">
        <f>99.5+2</f>
        <v>101.5</v>
      </c>
      <c r="D3" s="201"/>
      <c r="E3" s="201"/>
      <c r="F3" s="202">
        <f t="shared" ref="F3:F21" si="0">+C3+D3-E3</f>
        <v>101.5</v>
      </c>
      <c r="G3" s="203">
        <v>63202</v>
      </c>
      <c r="H3" s="203">
        <v>65000</v>
      </c>
      <c r="I3" s="204"/>
      <c r="J3" s="205">
        <f t="shared" ref="J3:J21" si="1">+H3*I3</f>
        <v>0</v>
      </c>
      <c r="K3" s="205">
        <f t="shared" ref="K3:K21" si="2">+(H3-G3)*I3</f>
        <v>0</v>
      </c>
      <c r="L3" s="205">
        <f t="shared" ref="L3:L21" si="3">+G3*F3</f>
        <v>6415003</v>
      </c>
      <c r="M3" s="206">
        <f t="shared" ref="M3:M21" si="4">F3*H3</f>
        <v>6597500</v>
      </c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26" ht="14.4">
      <c r="A4" s="654"/>
      <c r="B4" s="199" t="s">
        <v>5</v>
      </c>
      <c r="C4" s="200">
        <v>7.75</v>
      </c>
      <c r="D4" s="201"/>
      <c r="E4" s="201"/>
      <c r="F4" s="202">
        <f t="shared" si="0"/>
        <v>7.75</v>
      </c>
      <c r="G4" s="203">
        <v>60456</v>
      </c>
      <c r="H4" s="203">
        <v>62000</v>
      </c>
      <c r="I4" s="204"/>
      <c r="J4" s="205">
        <f t="shared" si="1"/>
        <v>0</v>
      </c>
      <c r="K4" s="205">
        <f t="shared" si="2"/>
        <v>0</v>
      </c>
      <c r="L4" s="205">
        <f t="shared" si="3"/>
        <v>468534</v>
      </c>
      <c r="M4" s="207">
        <f t="shared" si="4"/>
        <v>480500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26" ht="14.4">
      <c r="A5" s="654"/>
      <c r="B5" s="199" t="s">
        <v>132</v>
      </c>
      <c r="C5" s="200">
        <v>40</v>
      </c>
      <c r="D5" s="201"/>
      <c r="E5" s="201"/>
      <c r="F5" s="202">
        <f t="shared" si="0"/>
        <v>40</v>
      </c>
      <c r="G5" s="203">
        <v>50000</v>
      </c>
      <c r="H5" s="203">
        <v>55000</v>
      </c>
      <c r="I5" s="204"/>
      <c r="J5" s="205">
        <f t="shared" si="1"/>
        <v>0</v>
      </c>
      <c r="K5" s="205">
        <f t="shared" si="2"/>
        <v>0</v>
      </c>
      <c r="L5" s="205">
        <f t="shared" si="3"/>
        <v>2000000</v>
      </c>
      <c r="M5" s="207">
        <f t="shared" si="4"/>
        <v>2200000</v>
      </c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26" ht="14.4">
      <c r="A6" s="654"/>
      <c r="B6" s="199" t="s">
        <v>20</v>
      </c>
      <c r="C6" s="200">
        <v>1</v>
      </c>
      <c r="D6" s="201"/>
      <c r="E6" s="201"/>
      <c r="F6" s="202">
        <f t="shared" si="0"/>
        <v>1</v>
      </c>
      <c r="G6" s="203">
        <v>59000</v>
      </c>
      <c r="H6" s="203">
        <v>62000</v>
      </c>
      <c r="I6" s="204"/>
      <c r="J6" s="205">
        <f t="shared" si="1"/>
        <v>0</v>
      </c>
      <c r="K6" s="205">
        <f t="shared" si="2"/>
        <v>0</v>
      </c>
      <c r="L6" s="205">
        <f t="shared" si="3"/>
        <v>59000</v>
      </c>
      <c r="M6" s="207">
        <f t="shared" si="4"/>
        <v>62000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14.4">
      <c r="A7" s="654"/>
      <c r="B7" s="199" t="s">
        <v>7</v>
      </c>
      <c r="C7" s="200">
        <v>40</v>
      </c>
      <c r="D7" s="201"/>
      <c r="E7" s="201"/>
      <c r="F7" s="202">
        <f t="shared" si="0"/>
        <v>40</v>
      </c>
      <c r="G7" s="203">
        <v>50262</v>
      </c>
      <c r="H7" s="203">
        <v>52000</v>
      </c>
      <c r="I7" s="204"/>
      <c r="J7" s="205">
        <f t="shared" si="1"/>
        <v>0</v>
      </c>
      <c r="K7" s="205">
        <f t="shared" si="2"/>
        <v>0</v>
      </c>
      <c r="L7" s="205">
        <f t="shared" si="3"/>
        <v>2010480</v>
      </c>
      <c r="M7" s="207">
        <f t="shared" si="4"/>
        <v>2080000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14.4">
      <c r="A8" s="654"/>
      <c r="B8" s="199" t="s">
        <v>8</v>
      </c>
      <c r="C8" s="200">
        <v>7</v>
      </c>
      <c r="D8" s="201"/>
      <c r="E8" s="201"/>
      <c r="F8" s="202">
        <f t="shared" si="0"/>
        <v>7</v>
      </c>
      <c r="G8" s="203">
        <v>57359</v>
      </c>
      <c r="H8" s="203">
        <v>62000</v>
      </c>
      <c r="I8" s="204"/>
      <c r="J8" s="205">
        <f t="shared" si="1"/>
        <v>0</v>
      </c>
      <c r="K8" s="205">
        <f t="shared" si="2"/>
        <v>0</v>
      </c>
      <c r="L8" s="205">
        <f t="shared" si="3"/>
        <v>401513</v>
      </c>
      <c r="M8" s="207">
        <f t="shared" si="4"/>
        <v>434000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spans="1:26" ht="14.4">
      <c r="A9" s="654"/>
      <c r="B9" s="199" t="s">
        <v>9</v>
      </c>
      <c r="C9" s="200">
        <f>76.5</f>
        <v>76.5</v>
      </c>
      <c r="D9" s="201"/>
      <c r="E9" s="201"/>
      <c r="F9" s="202">
        <f t="shared" si="0"/>
        <v>76.5</v>
      </c>
      <c r="G9" s="203">
        <v>80000</v>
      </c>
      <c r="H9" s="203">
        <v>85000</v>
      </c>
      <c r="I9" s="204"/>
      <c r="J9" s="205">
        <f t="shared" si="1"/>
        <v>0</v>
      </c>
      <c r="K9" s="205">
        <f t="shared" si="2"/>
        <v>0</v>
      </c>
      <c r="L9" s="205">
        <f t="shared" si="3"/>
        <v>6120000</v>
      </c>
      <c r="M9" s="207">
        <f t="shared" si="4"/>
        <v>6502500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spans="1:26" ht="14.4">
      <c r="A10" s="654"/>
      <c r="B10" s="199" t="s">
        <v>133</v>
      </c>
      <c r="C10" s="208">
        <v>3</v>
      </c>
      <c r="D10" s="201"/>
      <c r="E10" s="201"/>
      <c r="F10" s="202">
        <f t="shared" si="0"/>
        <v>3</v>
      </c>
      <c r="G10" s="203">
        <v>84091</v>
      </c>
      <c r="H10" s="203">
        <v>85000</v>
      </c>
      <c r="I10" s="204"/>
      <c r="J10" s="205">
        <f t="shared" si="1"/>
        <v>0</v>
      </c>
      <c r="K10" s="205">
        <f t="shared" si="2"/>
        <v>0</v>
      </c>
      <c r="L10" s="205">
        <f t="shared" si="3"/>
        <v>252273</v>
      </c>
      <c r="M10" s="207">
        <f t="shared" si="4"/>
        <v>255000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spans="1:26" ht="14.4">
      <c r="A11" s="654"/>
      <c r="B11" s="199" t="s">
        <v>10</v>
      </c>
      <c r="C11" s="200">
        <v>5</v>
      </c>
      <c r="D11" s="201"/>
      <c r="E11" s="201"/>
      <c r="F11" s="202">
        <f t="shared" si="0"/>
        <v>5</v>
      </c>
      <c r="G11" s="203">
        <v>84091</v>
      </c>
      <c r="H11" s="203">
        <v>85000</v>
      </c>
      <c r="I11" s="204"/>
      <c r="J11" s="205">
        <f t="shared" si="1"/>
        <v>0</v>
      </c>
      <c r="K11" s="205">
        <f t="shared" si="2"/>
        <v>0</v>
      </c>
      <c r="L11" s="205">
        <f t="shared" si="3"/>
        <v>420455</v>
      </c>
      <c r="M11" s="207">
        <f t="shared" si="4"/>
        <v>425000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spans="1:26" ht="14.4">
      <c r="A12" s="654"/>
      <c r="B12" s="199" t="s">
        <v>11</v>
      </c>
      <c r="C12" s="200">
        <f>12</f>
        <v>12</v>
      </c>
      <c r="D12" s="201"/>
      <c r="E12" s="201"/>
      <c r="F12" s="202">
        <f t="shared" si="0"/>
        <v>12</v>
      </c>
      <c r="G12" s="203">
        <v>50682</v>
      </c>
      <c r="H12" s="203">
        <v>52000</v>
      </c>
      <c r="I12" s="204"/>
      <c r="J12" s="205">
        <f t="shared" si="1"/>
        <v>0</v>
      </c>
      <c r="K12" s="205">
        <f t="shared" si="2"/>
        <v>0</v>
      </c>
      <c r="L12" s="205">
        <f t="shared" si="3"/>
        <v>608184</v>
      </c>
      <c r="M12" s="207">
        <f t="shared" si="4"/>
        <v>624000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spans="1:26" ht="14.4">
      <c r="A13" s="654"/>
      <c r="B13" s="199" t="s">
        <v>12</v>
      </c>
      <c r="C13" s="200">
        <f>5</f>
        <v>5</v>
      </c>
      <c r="D13" s="201"/>
      <c r="E13" s="201"/>
      <c r="F13" s="202">
        <f t="shared" si="0"/>
        <v>5</v>
      </c>
      <c r="G13" s="203">
        <v>59857</v>
      </c>
      <c r="H13" s="203">
        <v>61000</v>
      </c>
      <c r="I13" s="204"/>
      <c r="J13" s="205">
        <f t="shared" si="1"/>
        <v>0</v>
      </c>
      <c r="K13" s="205">
        <f t="shared" si="2"/>
        <v>0</v>
      </c>
      <c r="L13" s="205">
        <f t="shared" si="3"/>
        <v>299285</v>
      </c>
      <c r="M13" s="207">
        <f t="shared" si="4"/>
        <v>305000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spans="1:26" ht="14.4">
      <c r="A14" s="654"/>
      <c r="B14" s="199" t="s">
        <v>13</v>
      </c>
      <c r="C14" s="200">
        <f>233</f>
        <v>233</v>
      </c>
      <c r="D14" s="201"/>
      <c r="E14" s="201"/>
      <c r="F14" s="202">
        <f t="shared" si="0"/>
        <v>233</v>
      </c>
      <c r="G14" s="203">
        <v>45494</v>
      </c>
      <c r="H14" s="203">
        <v>47000</v>
      </c>
      <c r="I14" s="204"/>
      <c r="J14" s="205">
        <f t="shared" si="1"/>
        <v>0</v>
      </c>
      <c r="K14" s="205">
        <f t="shared" si="2"/>
        <v>0</v>
      </c>
      <c r="L14" s="205">
        <f t="shared" si="3"/>
        <v>10600102</v>
      </c>
      <c r="M14" s="207">
        <f t="shared" si="4"/>
        <v>10951000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spans="1:26" ht="14.4">
      <c r="A15" s="654"/>
      <c r="B15" s="209" t="s">
        <v>14</v>
      </c>
      <c r="C15" s="200">
        <v>2</v>
      </c>
      <c r="D15" s="201"/>
      <c r="E15" s="201"/>
      <c r="F15" s="202">
        <f t="shared" si="0"/>
        <v>2</v>
      </c>
      <c r="G15" s="203">
        <v>84091</v>
      </c>
      <c r="H15" s="203">
        <v>85000</v>
      </c>
      <c r="I15" s="204"/>
      <c r="J15" s="205">
        <f t="shared" si="1"/>
        <v>0</v>
      </c>
      <c r="K15" s="205">
        <f t="shared" si="2"/>
        <v>0</v>
      </c>
      <c r="L15" s="205">
        <f t="shared" si="3"/>
        <v>168182</v>
      </c>
      <c r="M15" s="207">
        <f t="shared" si="4"/>
        <v>170000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ht="14.4">
      <c r="A16" s="654"/>
      <c r="B16" s="209" t="s">
        <v>15</v>
      </c>
      <c r="C16" s="200">
        <v>18.5</v>
      </c>
      <c r="D16" s="201"/>
      <c r="E16" s="201"/>
      <c r="F16" s="202">
        <f t="shared" si="0"/>
        <v>18.5</v>
      </c>
      <c r="G16" s="203">
        <v>42676</v>
      </c>
      <c r="H16" s="203">
        <v>44000</v>
      </c>
      <c r="I16" s="204"/>
      <c r="J16" s="205">
        <f t="shared" si="1"/>
        <v>0</v>
      </c>
      <c r="K16" s="205">
        <f t="shared" si="2"/>
        <v>0</v>
      </c>
      <c r="L16" s="205">
        <f t="shared" si="3"/>
        <v>789506</v>
      </c>
      <c r="M16" s="207">
        <f t="shared" si="4"/>
        <v>814000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ht="14.4">
      <c r="A17" s="654"/>
      <c r="B17" s="209" t="s">
        <v>134</v>
      </c>
      <c r="C17" s="200">
        <v>22</v>
      </c>
      <c r="D17" s="201"/>
      <c r="E17" s="201"/>
      <c r="F17" s="202">
        <f t="shared" si="0"/>
        <v>22</v>
      </c>
      <c r="G17" s="203">
        <v>60500</v>
      </c>
      <c r="H17" s="203">
        <v>63000</v>
      </c>
      <c r="I17" s="204"/>
      <c r="J17" s="205">
        <f t="shared" si="1"/>
        <v>0</v>
      </c>
      <c r="K17" s="205">
        <f t="shared" si="2"/>
        <v>0</v>
      </c>
      <c r="L17" s="205">
        <f t="shared" si="3"/>
        <v>1331000</v>
      </c>
      <c r="M17" s="207">
        <f t="shared" si="4"/>
        <v>1386000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spans="1:26" ht="14.4">
      <c r="A18" s="654"/>
      <c r="B18" s="199" t="s">
        <v>17</v>
      </c>
      <c r="C18" s="200">
        <f>79</f>
        <v>79</v>
      </c>
      <c r="D18" s="201"/>
      <c r="E18" s="201"/>
      <c r="F18" s="202">
        <f t="shared" si="0"/>
        <v>79</v>
      </c>
      <c r="G18" s="210">
        <v>67780</v>
      </c>
      <c r="H18" s="210">
        <v>69000</v>
      </c>
      <c r="I18" s="204"/>
      <c r="J18" s="205">
        <f t="shared" si="1"/>
        <v>0</v>
      </c>
      <c r="K18" s="205">
        <f t="shared" si="2"/>
        <v>0</v>
      </c>
      <c r="L18" s="205">
        <f t="shared" si="3"/>
        <v>5354620</v>
      </c>
      <c r="M18" s="207">
        <f t="shared" si="4"/>
        <v>5451000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4.4">
      <c r="A19" s="654"/>
      <c r="B19" s="211" t="s">
        <v>18</v>
      </c>
      <c r="C19" s="200">
        <f>18</f>
        <v>18</v>
      </c>
      <c r="D19" s="201"/>
      <c r="E19" s="201"/>
      <c r="F19" s="202">
        <f t="shared" si="0"/>
        <v>18</v>
      </c>
      <c r="G19" s="210">
        <v>63202</v>
      </c>
      <c r="H19" s="210">
        <v>65000</v>
      </c>
      <c r="I19" s="204"/>
      <c r="J19" s="205">
        <f t="shared" si="1"/>
        <v>0</v>
      </c>
      <c r="K19" s="205">
        <f t="shared" si="2"/>
        <v>0</v>
      </c>
      <c r="L19" s="205">
        <f t="shared" si="3"/>
        <v>1137636</v>
      </c>
      <c r="M19" s="207">
        <f t="shared" si="4"/>
        <v>1170000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spans="1:26" ht="14.4">
      <c r="A20" s="654"/>
      <c r="B20" s="211" t="s">
        <v>135</v>
      </c>
      <c r="C20" s="200">
        <v>1</v>
      </c>
      <c r="D20" s="201"/>
      <c r="E20" s="201"/>
      <c r="F20" s="202">
        <f t="shared" si="0"/>
        <v>1</v>
      </c>
      <c r="G20" s="210">
        <v>63954</v>
      </c>
      <c r="H20" s="210">
        <v>63000</v>
      </c>
      <c r="I20" s="204"/>
      <c r="J20" s="205">
        <f t="shared" si="1"/>
        <v>0</v>
      </c>
      <c r="K20" s="205">
        <f t="shared" si="2"/>
        <v>0</v>
      </c>
      <c r="L20" s="205">
        <f t="shared" si="3"/>
        <v>63954</v>
      </c>
      <c r="M20" s="207">
        <f t="shared" si="4"/>
        <v>63000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spans="1:26" ht="14.4">
      <c r="A21" s="654"/>
      <c r="B21" s="211" t="s">
        <v>136</v>
      </c>
      <c r="C21" s="200"/>
      <c r="D21" s="201"/>
      <c r="E21" s="201"/>
      <c r="F21" s="202">
        <f t="shared" si="0"/>
        <v>0</v>
      </c>
      <c r="G21" s="212">
        <v>60453</v>
      </c>
      <c r="H21" s="212">
        <v>62000</v>
      </c>
      <c r="I21" s="213"/>
      <c r="J21" s="205">
        <f t="shared" si="1"/>
        <v>0</v>
      </c>
      <c r="K21" s="205">
        <f t="shared" si="2"/>
        <v>0</v>
      </c>
      <c r="L21" s="205">
        <f t="shared" si="3"/>
        <v>0</v>
      </c>
      <c r="M21" s="214">
        <f t="shared" si="4"/>
        <v>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spans="1:26" ht="14.4">
      <c r="A22" s="655"/>
      <c r="B22" s="215"/>
      <c r="C22" s="216">
        <f t="shared" ref="C22:F22" si="5">+SUM(C3:C18)</f>
        <v>653.25</v>
      </c>
      <c r="D22" s="216">
        <f t="shared" si="5"/>
        <v>0</v>
      </c>
      <c r="E22" s="216">
        <f t="shared" si="5"/>
        <v>0</v>
      </c>
      <c r="F22" s="216">
        <f t="shared" si="5"/>
        <v>653.25</v>
      </c>
      <c r="G22" s="217">
        <f t="shared" ref="G22:M22" si="6">SUM(G3:G21)</f>
        <v>1187150</v>
      </c>
      <c r="H22" s="217">
        <f t="shared" si="6"/>
        <v>1224000</v>
      </c>
      <c r="I22" s="218">
        <f t="shared" si="6"/>
        <v>0</v>
      </c>
      <c r="J22" s="219">
        <f t="shared" si="6"/>
        <v>0</v>
      </c>
      <c r="K22" s="220">
        <f t="shared" si="6"/>
        <v>0</v>
      </c>
      <c r="L22" s="220">
        <f t="shared" si="6"/>
        <v>38499727</v>
      </c>
      <c r="M22" s="221">
        <f t="shared" si="6"/>
        <v>39970500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spans="1:26" ht="14.4">
      <c r="A23" s="683" t="s">
        <v>137</v>
      </c>
      <c r="B23" s="222" t="s">
        <v>138</v>
      </c>
      <c r="C23" s="223">
        <v>0.75</v>
      </c>
      <c r="D23" s="201"/>
      <c r="E23" s="201"/>
      <c r="F23" s="202">
        <f t="shared" ref="F23:F35" si="7">+C23+D23-E23</f>
        <v>0.75</v>
      </c>
      <c r="G23" s="203">
        <v>43252</v>
      </c>
      <c r="H23" s="203">
        <v>44000</v>
      </c>
      <c r="I23" s="224"/>
      <c r="J23" s="205">
        <f t="shared" ref="J23:J59" si="8">+I23*H23</f>
        <v>0</v>
      </c>
      <c r="K23" s="205">
        <f t="shared" ref="K23:K59" si="9">+(H23-G23)*I23</f>
        <v>0</v>
      </c>
      <c r="L23" s="225">
        <f t="shared" ref="L23:L59" si="10">+G23*F23</f>
        <v>32439</v>
      </c>
      <c r="M23" s="226">
        <f t="shared" ref="M23:M59" si="11">F23*H23</f>
        <v>33000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spans="1:26" ht="14.4">
      <c r="A24" s="684"/>
      <c r="B24" s="222" t="s">
        <v>21</v>
      </c>
      <c r="C24" s="227">
        <f>633+2.25</f>
        <v>635.25</v>
      </c>
      <c r="D24" s="201"/>
      <c r="E24" s="201"/>
      <c r="F24" s="202">
        <f t="shared" si="7"/>
        <v>635.25</v>
      </c>
      <c r="G24" s="203">
        <v>62000</v>
      </c>
      <c r="H24" s="203">
        <v>67000</v>
      </c>
      <c r="I24" s="224"/>
      <c r="J24" s="205">
        <f t="shared" si="8"/>
        <v>0</v>
      </c>
      <c r="K24" s="205">
        <f t="shared" si="9"/>
        <v>0</v>
      </c>
      <c r="L24" s="225">
        <f t="shared" si="10"/>
        <v>39385500</v>
      </c>
      <c r="M24" s="226">
        <f t="shared" si="11"/>
        <v>42561750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spans="1:26" ht="14.4">
      <c r="A25" s="684"/>
      <c r="B25" s="222" t="s">
        <v>139</v>
      </c>
      <c r="C25" s="227">
        <v>4</v>
      </c>
      <c r="D25" s="201"/>
      <c r="E25" s="201"/>
      <c r="F25" s="202">
        <f t="shared" si="7"/>
        <v>4</v>
      </c>
      <c r="G25" s="203">
        <v>41000</v>
      </c>
      <c r="H25" s="203">
        <v>44000</v>
      </c>
      <c r="I25" s="224"/>
      <c r="J25" s="205">
        <f t="shared" si="8"/>
        <v>0</v>
      </c>
      <c r="K25" s="205">
        <f t="shared" si="9"/>
        <v>0</v>
      </c>
      <c r="L25" s="225">
        <f t="shared" si="10"/>
        <v>164000</v>
      </c>
      <c r="M25" s="226">
        <f t="shared" si="11"/>
        <v>176000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26" ht="14.4">
      <c r="A26" s="684"/>
      <c r="B26" s="222" t="s">
        <v>140</v>
      </c>
      <c r="C26" s="227">
        <v>3</v>
      </c>
      <c r="D26" s="201"/>
      <c r="E26" s="201"/>
      <c r="F26" s="202">
        <f t="shared" si="7"/>
        <v>3</v>
      </c>
      <c r="G26" s="203">
        <v>53523</v>
      </c>
      <c r="H26" s="203">
        <v>50000</v>
      </c>
      <c r="I26" s="224"/>
      <c r="J26" s="205">
        <f t="shared" si="8"/>
        <v>0</v>
      </c>
      <c r="K26" s="205">
        <f t="shared" si="9"/>
        <v>0</v>
      </c>
      <c r="L26" s="225">
        <f t="shared" si="10"/>
        <v>160569</v>
      </c>
      <c r="M26" s="226">
        <f t="shared" si="11"/>
        <v>150000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t="14.4">
      <c r="A27" s="684"/>
      <c r="B27" s="222" t="s">
        <v>141</v>
      </c>
      <c r="C27" s="227">
        <f>5+1</f>
        <v>6</v>
      </c>
      <c r="D27" s="201"/>
      <c r="E27" s="201"/>
      <c r="F27" s="202">
        <f t="shared" si="7"/>
        <v>6</v>
      </c>
      <c r="G27" s="203">
        <v>39714</v>
      </c>
      <c r="H27" s="203">
        <v>42000</v>
      </c>
      <c r="I27" s="224"/>
      <c r="J27" s="205">
        <f t="shared" si="8"/>
        <v>0</v>
      </c>
      <c r="K27" s="205">
        <f t="shared" si="9"/>
        <v>0</v>
      </c>
      <c r="L27" s="225">
        <f t="shared" si="10"/>
        <v>238284</v>
      </c>
      <c r="M27" s="226">
        <f t="shared" si="11"/>
        <v>252000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spans="1:26" ht="14.4">
      <c r="A28" s="684"/>
      <c r="B28" s="222" t="s">
        <v>142</v>
      </c>
      <c r="C28" s="227">
        <v>4</v>
      </c>
      <c r="D28" s="201"/>
      <c r="E28" s="201"/>
      <c r="F28" s="202">
        <f t="shared" si="7"/>
        <v>4</v>
      </c>
      <c r="G28" s="203">
        <v>80900</v>
      </c>
      <c r="H28" s="203">
        <v>84000</v>
      </c>
      <c r="I28" s="224"/>
      <c r="J28" s="205">
        <f t="shared" si="8"/>
        <v>0</v>
      </c>
      <c r="K28" s="205">
        <f t="shared" si="9"/>
        <v>0</v>
      </c>
      <c r="L28" s="225">
        <f t="shared" si="10"/>
        <v>323600</v>
      </c>
      <c r="M28" s="226">
        <f t="shared" si="11"/>
        <v>336000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spans="1:26" ht="14.4">
      <c r="A29" s="684"/>
      <c r="B29" s="222" t="s">
        <v>143</v>
      </c>
      <c r="C29" s="227">
        <v>3.5</v>
      </c>
      <c r="D29" s="201"/>
      <c r="E29" s="201"/>
      <c r="F29" s="202">
        <f t="shared" si="7"/>
        <v>3.5</v>
      </c>
      <c r="G29" s="203">
        <v>71369</v>
      </c>
      <c r="H29" s="203">
        <v>73000</v>
      </c>
      <c r="I29" s="224"/>
      <c r="J29" s="205">
        <f t="shared" si="8"/>
        <v>0</v>
      </c>
      <c r="K29" s="205">
        <f t="shared" si="9"/>
        <v>0</v>
      </c>
      <c r="L29" s="225">
        <f t="shared" si="10"/>
        <v>249791.5</v>
      </c>
      <c r="M29" s="226">
        <f t="shared" si="11"/>
        <v>255500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spans="1:26" ht="14.4">
      <c r="A30" s="684"/>
      <c r="B30" s="222" t="s">
        <v>144</v>
      </c>
      <c r="C30" s="227">
        <f>125+5.25</f>
        <v>130.25</v>
      </c>
      <c r="D30" s="201"/>
      <c r="E30" s="201"/>
      <c r="F30" s="202">
        <f t="shared" si="7"/>
        <v>130.25</v>
      </c>
      <c r="G30" s="203">
        <v>47000</v>
      </c>
      <c r="H30" s="203">
        <v>53000</v>
      </c>
      <c r="I30" s="224"/>
      <c r="J30" s="205">
        <f t="shared" si="8"/>
        <v>0</v>
      </c>
      <c r="K30" s="205">
        <f t="shared" si="9"/>
        <v>0</v>
      </c>
      <c r="L30" s="225">
        <f t="shared" si="10"/>
        <v>6121750</v>
      </c>
      <c r="M30" s="226">
        <f t="shared" si="11"/>
        <v>6903250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spans="1:26" ht="14.4">
      <c r="A31" s="684"/>
      <c r="B31" s="222" t="s">
        <v>145</v>
      </c>
      <c r="C31" s="227"/>
      <c r="D31" s="201"/>
      <c r="E31" s="201"/>
      <c r="F31" s="202">
        <f t="shared" si="7"/>
        <v>0</v>
      </c>
      <c r="G31" s="203">
        <v>51536</v>
      </c>
      <c r="H31" s="203">
        <v>53000</v>
      </c>
      <c r="I31" s="224"/>
      <c r="J31" s="205">
        <f t="shared" si="8"/>
        <v>0</v>
      </c>
      <c r="K31" s="205">
        <f t="shared" si="9"/>
        <v>0</v>
      </c>
      <c r="L31" s="225">
        <f t="shared" si="10"/>
        <v>0</v>
      </c>
      <c r="M31" s="226">
        <f t="shared" si="11"/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spans="1:26" ht="14.4">
      <c r="A32" s="684"/>
      <c r="B32" s="222" t="s">
        <v>146</v>
      </c>
      <c r="C32" s="227">
        <v>4</v>
      </c>
      <c r="D32" s="201"/>
      <c r="E32" s="201"/>
      <c r="F32" s="202">
        <f t="shared" si="7"/>
        <v>4</v>
      </c>
      <c r="G32" s="203">
        <v>71369</v>
      </c>
      <c r="H32" s="203">
        <v>73000</v>
      </c>
      <c r="I32" s="224"/>
      <c r="J32" s="205">
        <f t="shared" si="8"/>
        <v>0</v>
      </c>
      <c r="K32" s="205">
        <f t="shared" si="9"/>
        <v>0</v>
      </c>
      <c r="L32" s="225">
        <f t="shared" si="10"/>
        <v>285476</v>
      </c>
      <c r="M32" s="226">
        <f t="shared" si="11"/>
        <v>292000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spans="1:26" ht="14.4">
      <c r="A33" s="684"/>
      <c r="B33" s="228" t="s">
        <v>147</v>
      </c>
      <c r="C33" s="229"/>
      <c r="D33" s="201"/>
      <c r="E33" s="201"/>
      <c r="F33" s="202">
        <f t="shared" si="7"/>
        <v>0</v>
      </c>
      <c r="G33" s="203">
        <v>71369</v>
      </c>
      <c r="H33" s="203">
        <v>73000</v>
      </c>
      <c r="I33" s="224"/>
      <c r="J33" s="205">
        <f t="shared" si="8"/>
        <v>0</v>
      </c>
      <c r="K33" s="205">
        <f t="shared" si="9"/>
        <v>0</v>
      </c>
      <c r="L33" s="225">
        <f t="shared" si="10"/>
        <v>0</v>
      </c>
      <c r="M33" s="226">
        <f t="shared" si="11"/>
        <v>0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spans="1:26" ht="14.4">
      <c r="A34" s="684"/>
      <c r="B34" s="222" t="s">
        <v>148</v>
      </c>
      <c r="C34" s="229">
        <v>2</v>
      </c>
      <c r="D34" s="201"/>
      <c r="E34" s="201"/>
      <c r="F34" s="202">
        <f t="shared" si="7"/>
        <v>2</v>
      </c>
      <c r="G34" s="203">
        <v>71369</v>
      </c>
      <c r="H34" s="203">
        <v>73000</v>
      </c>
      <c r="I34" s="224"/>
      <c r="J34" s="205">
        <f t="shared" si="8"/>
        <v>0</v>
      </c>
      <c r="K34" s="205">
        <f t="shared" si="9"/>
        <v>0</v>
      </c>
      <c r="L34" s="225">
        <f t="shared" si="10"/>
        <v>142738</v>
      </c>
      <c r="M34" s="226">
        <f t="shared" si="11"/>
        <v>146000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spans="1:26" ht="14.4">
      <c r="A35" s="684"/>
      <c r="B35" s="222" t="s">
        <v>149</v>
      </c>
      <c r="C35" s="229">
        <v>0.25</v>
      </c>
      <c r="D35" s="201"/>
      <c r="E35" s="201"/>
      <c r="F35" s="202">
        <f t="shared" si="7"/>
        <v>0.25</v>
      </c>
      <c r="G35" s="203">
        <v>25500</v>
      </c>
      <c r="H35" s="203">
        <v>26000</v>
      </c>
      <c r="I35" s="224"/>
      <c r="J35" s="205">
        <f t="shared" si="8"/>
        <v>0</v>
      </c>
      <c r="K35" s="205">
        <f t="shared" si="9"/>
        <v>0</v>
      </c>
      <c r="L35" s="225">
        <f t="shared" si="10"/>
        <v>6375</v>
      </c>
      <c r="M35" s="226">
        <f t="shared" si="11"/>
        <v>6500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spans="1:26" ht="14.4">
      <c r="A36" s="684"/>
      <c r="B36" s="222" t="s">
        <v>150</v>
      </c>
      <c r="C36" s="227">
        <v>1.25</v>
      </c>
      <c r="D36" s="201"/>
      <c r="E36" s="201"/>
      <c r="F36" s="202">
        <f>+C36+D36-E38</f>
        <v>1.25</v>
      </c>
      <c r="G36" s="203">
        <v>44000</v>
      </c>
      <c r="H36" s="203">
        <v>50000</v>
      </c>
      <c r="I36" s="224"/>
      <c r="J36" s="205">
        <f t="shared" si="8"/>
        <v>0</v>
      </c>
      <c r="K36" s="205">
        <f t="shared" si="9"/>
        <v>0</v>
      </c>
      <c r="L36" s="225">
        <f t="shared" si="10"/>
        <v>55000</v>
      </c>
      <c r="M36" s="226">
        <f t="shared" si="11"/>
        <v>62500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spans="1:26" ht="14.4">
      <c r="A37" s="684"/>
      <c r="B37" s="222" t="s">
        <v>151</v>
      </c>
      <c r="C37" s="227">
        <v>4.75</v>
      </c>
      <c r="D37" s="201"/>
      <c r="E37" s="201"/>
      <c r="F37" s="202">
        <f t="shared" ref="F37:F59" si="12">+C37+D37-E37</f>
        <v>4.75</v>
      </c>
      <c r="G37" s="203">
        <v>34500</v>
      </c>
      <c r="H37" s="203">
        <v>36000</v>
      </c>
      <c r="I37" s="224"/>
      <c r="J37" s="205">
        <f t="shared" si="8"/>
        <v>0</v>
      </c>
      <c r="K37" s="205">
        <f t="shared" si="9"/>
        <v>0</v>
      </c>
      <c r="L37" s="225">
        <f t="shared" si="10"/>
        <v>163875</v>
      </c>
      <c r="M37" s="226">
        <f t="shared" si="11"/>
        <v>171000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spans="1:26" ht="14.4">
      <c r="A38" s="684"/>
      <c r="B38" s="222" t="s">
        <v>152</v>
      </c>
      <c r="C38" s="227">
        <f>24</f>
        <v>24</v>
      </c>
      <c r="D38" s="201"/>
      <c r="E38" s="201"/>
      <c r="F38" s="202">
        <f t="shared" si="12"/>
        <v>24</v>
      </c>
      <c r="G38" s="203">
        <v>79000</v>
      </c>
      <c r="H38" s="203">
        <v>88000</v>
      </c>
      <c r="I38" s="224"/>
      <c r="J38" s="205">
        <f t="shared" si="8"/>
        <v>0</v>
      </c>
      <c r="K38" s="205">
        <f t="shared" si="9"/>
        <v>0</v>
      </c>
      <c r="L38" s="225">
        <f t="shared" si="10"/>
        <v>1896000</v>
      </c>
      <c r="M38" s="226">
        <f t="shared" si="11"/>
        <v>2112000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spans="1:26" ht="14.4">
      <c r="A39" s="684"/>
      <c r="B39" s="222" t="s">
        <v>153</v>
      </c>
      <c r="C39" s="227">
        <v>7.75</v>
      </c>
      <c r="D39" s="201"/>
      <c r="E39" s="201"/>
      <c r="F39" s="202">
        <f t="shared" si="12"/>
        <v>7.75</v>
      </c>
      <c r="G39" s="203">
        <v>82280</v>
      </c>
      <c r="H39" s="203">
        <v>86000</v>
      </c>
      <c r="I39" s="224"/>
      <c r="J39" s="205">
        <f t="shared" si="8"/>
        <v>0</v>
      </c>
      <c r="K39" s="205">
        <f t="shared" si="9"/>
        <v>0</v>
      </c>
      <c r="L39" s="225">
        <f t="shared" si="10"/>
        <v>637670</v>
      </c>
      <c r="M39" s="226">
        <f t="shared" si="11"/>
        <v>666500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spans="1:26" ht="14.4">
      <c r="A40" s="684"/>
      <c r="B40" s="222" t="s">
        <v>154</v>
      </c>
      <c r="C40" s="227">
        <v>51.25</v>
      </c>
      <c r="D40" s="201"/>
      <c r="E40" s="201"/>
      <c r="F40" s="202">
        <f t="shared" si="12"/>
        <v>51.25</v>
      </c>
      <c r="G40" s="203">
        <v>59000</v>
      </c>
      <c r="H40" s="203">
        <v>64000</v>
      </c>
      <c r="I40" s="224"/>
      <c r="J40" s="205">
        <f t="shared" si="8"/>
        <v>0</v>
      </c>
      <c r="K40" s="205">
        <f t="shared" si="9"/>
        <v>0</v>
      </c>
      <c r="L40" s="225">
        <f t="shared" si="10"/>
        <v>3023750</v>
      </c>
      <c r="M40" s="226">
        <f t="shared" si="11"/>
        <v>3280000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spans="1:26" ht="14.4">
      <c r="A41" s="684"/>
      <c r="B41" s="222" t="s">
        <v>155</v>
      </c>
      <c r="C41" s="227"/>
      <c r="D41" s="201"/>
      <c r="E41" s="201"/>
      <c r="F41" s="202">
        <f t="shared" si="12"/>
        <v>0</v>
      </c>
      <c r="G41" s="203">
        <v>25555</v>
      </c>
      <c r="H41" s="203">
        <v>27000</v>
      </c>
      <c r="I41" s="224"/>
      <c r="J41" s="205">
        <f t="shared" si="8"/>
        <v>0</v>
      </c>
      <c r="K41" s="205">
        <f t="shared" si="9"/>
        <v>0</v>
      </c>
      <c r="L41" s="225">
        <f t="shared" si="10"/>
        <v>0</v>
      </c>
      <c r="M41" s="226">
        <f t="shared" si="11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spans="1:26" ht="14.4">
      <c r="A42" s="684"/>
      <c r="B42" s="222" t="s">
        <v>22</v>
      </c>
      <c r="C42" s="227">
        <f>429.75</f>
        <v>429.75</v>
      </c>
      <c r="D42" s="201"/>
      <c r="E42" s="201"/>
      <c r="F42" s="202">
        <f t="shared" si="12"/>
        <v>429.75</v>
      </c>
      <c r="G42" s="203">
        <v>62000</v>
      </c>
      <c r="H42" s="203">
        <v>66000</v>
      </c>
      <c r="I42" s="224"/>
      <c r="J42" s="205">
        <f t="shared" si="8"/>
        <v>0</v>
      </c>
      <c r="K42" s="205">
        <f t="shared" si="9"/>
        <v>0</v>
      </c>
      <c r="L42" s="225">
        <f t="shared" si="10"/>
        <v>26644500</v>
      </c>
      <c r="M42" s="226">
        <f t="shared" si="11"/>
        <v>28363500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spans="1:26" ht="14.4">
      <c r="A43" s="684"/>
      <c r="B43" s="222" t="s">
        <v>23</v>
      </c>
      <c r="C43" s="227">
        <v>1</v>
      </c>
      <c r="D43" s="201"/>
      <c r="E43" s="201"/>
      <c r="F43" s="202">
        <f t="shared" si="12"/>
        <v>1</v>
      </c>
      <c r="G43" s="203">
        <v>42000</v>
      </c>
      <c r="H43" s="203">
        <v>48000</v>
      </c>
      <c r="I43" s="224"/>
      <c r="J43" s="205">
        <f t="shared" si="8"/>
        <v>0</v>
      </c>
      <c r="K43" s="205">
        <f t="shared" si="9"/>
        <v>0</v>
      </c>
      <c r="L43" s="225">
        <f t="shared" si="10"/>
        <v>42000</v>
      </c>
      <c r="M43" s="226">
        <f t="shared" si="11"/>
        <v>48000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spans="1:26" ht="14.4">
      <c r="A44" s="684"/>
      <c r="B44" s="222" t="s">
        <v>156</v>
      </c>
      <c r="C44" s="227">
        <f>162+3</f>
        <v>165</v>
      </c>
      <c r="D44" s="201"/>
      <c r="E44" s="201"/>
      <c r="F44" s="202">
        <f t="shared" si="12"/>
        <v>165</v>
      </c>
      <c r="G44" s="203">
        <v>37084</v>
      </c>
      <c r="H44" s="203">
        <v>40000</v>
      </c>
      <c r="I44" s="224"/>
      <c r="J44" s="205">
        <f t="shared" si="8"/>
        <v>0</v>
      </c>
      <c r="K44" s="205">
        <f t="shared" si="9"/>
        <v>0</v>
      </c>
      <c r="L44" s="225">
        <f t="shared" si="10"/>
        <v>6118860</v>
      </c>
      <c r="M44" s="226">
        <f t="shared" si="11"/>
        <v>6600000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spans="1:26" ht="14.4">
      <c r="A45" s="684"/>
      <c r="B45" s="230" t="s">
        <v>157</v>
      </c>
      <c r="C45" s="229">
        <v>24</v>
      </c>
      <c r="D45" s="201"/>
      <c r="E45" s="201"/>
      <c r="F45" s="202">
        <f t="shared" si="12"/>
        <v>24</v>
      </c>
      <c r="G45" s="203">
        <v>29750</v>
      </c>
      <c r="H45" s="203">
        <v>31500</v>
      </c>
      <c r="I45" s="224"/>
      <c r="J45" s="205">
        <f t="shared" si="8"/>
        <v>0</v>
      </c>
      <c r="K45" s="205">
        <f t="shared" si="9"/>
        <v>0</v>
      </c>
      <c r="L45" s="225">
        <f t="shared" si="10"/>
        <v>714000</v>
      </c>
      <c r="M45" s="226">
        <f t="shared" si="11"/>
        <v>756000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spans="1:26" ht="14.4">
      <c r="A46" s="684"/>
      <c r="B46" s="231" t="s">
        <v>158</v>
      </c>
      <c r="C46" s="232">
        <v>109</v>
      </c>
      <c r="D46" s="233"/>
      <c r="E46" s="233"/>
      <c r="F46" s="234">
        <f t="shared" si="12"/>
        <v>109</v>
      </c>
      <c r="G46" s="235">
        <v>6200</v>
      </c>
      <c r="H46" s="235">
        <v>7000</v>
      </c>
      <c r="I46" s="224"/>
      <c r="J46" s="205">
        <f t="shared" si="8"/>
        <v>0</v>
      </c>
      <c r="K46" s="205">
        <f t="shared" si="9"/>
        <v>0</v>
      </c>
      <c r="L46" s="225">
        <f t="shared" si="10"/>
        <v>675800</v>
      </c>
      <c r="M46" s="226">
        <f t="shared" si="11"/>
        <v>763000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spans="1:26" ht="14.4">
      <c r="A47" s="684"/>
      <c r="B47" s="231" t="s">
        <v>159</v>
      </c>
      <c r="C47" s="232">
        <v>41</v>
      </c>
      <c r="D47" s="233"/>
      <c r="E47" s="233"/>
      <c r="F47" s="234">
        <f t="shared" si="12"/>
        <v>41</v>
      </c>
      <c r="G47" s="235">
        <v>3333</v>
      </c>
      <c r="H47" s="235">
        <v>3600</v>
      </c>
      <c r="I47" s="224"/>
      <c r="J47" s="205">
        <f t="shared" si="8"/>
        <v>0</v>
      </c>
      <c r="K47" s="205">
        <f t="shared" si="9"/>
        <v>0</v>
      </c>
      <c r="L47" s="225">
        <f t="shared" si="10"/>
        <v>136653</v>
      </c>
      <c r="M47" s="226">
        <f t="shared" si="11"/>
        <v>147600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spans="1:26" ht="14.4">
      <c r="A48" s="684"/>
      <c r="B48" s="230" t="s">
        <v>160</v>
      </c>
      <c r="C48" s="236"/>
      <c r="D48" s="233"/>
      <c r="E48" s="233"/>
      <c r="F48" s="234">
        <f t="shared" si="12"/>
        <v>0</v>
      </c>
      <c r="G48" s="235">
        <v>39000</v>
      </c>
      <c r="H48" s="235">
        <v>44000</v>
      </c>
      <c r="I48" s="224"/>
      <c r="J48" s="205">
        <f t="shared" si="8"/>
        <v>0</v>
      </c>
      <c r="K48" s="205">
        <f t="shared" si="9"/>
        <v>0</v>
      </c>
      <c r="L48" s="225">
        <f t="shared" si="10"/>
        <v>0</v>
      </c>
      <c r="M48" s="226">
        <f t="shared" si="11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spans="1:26" ht="14.4">
      <c r="A49" s="684"/>
      <c r="B49" s="222" t="s">
        <v>161</v>
      </c>
      <c r="C49" s="232">
        <v>0.75</v>
      </c>
      <c r="D49" s="233"/>
      <c r="E49" s="233"/>
      <c r="F49" s="234">
        <f t="shared" si="12"/>
        <v>0.75</v>
      </c>
      <c r="G49" s="235">
        <v>65000</v>
      </c>
      <c r="H49" s="235">
        <v>70000</v>
      </c>
      <c r="I49" s="224"/>
      <c r="J49" s="205">
        <f t="shared" si="8"/>
        <v>0</v>
      </c>
      <c r="K49" s="205">
        <f t="shared" si="9"/>
        <v>0</v>
      </c>
      <c r="L49" s="225">
        <f t="shared" si="10"/>
        <v>48750</v>
      </c>
      <c r="M49" s="226">
        <f t="shared" si="11"/>
        <v>52500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spans="1:26" ht="14.4">
      <c r="A50" s="684"/>
      <c r="B50" s="228" t="s">
        <v>162</v>
      </c>
      <c r="C50" s="232">
        <v>71</v>
      </c>
      <c r="D50" s="233"/>
      <c r="E50" s="237"/>
      <c r="F50" s="234">
        <f t="shared" si="12"/>
        <v>71</v>
      </c>
      <c r="G50" s="235">
        <v>2500</v>
      </c>
      <c r="H50" s="235">
        <v>3000</v>
      </c>
      <c r="I50" s="224"/>
      <c r="J50" s="205">
        <f t="shared" si="8"/>
        <v>0</v>
      </c>
      <c r="K50" s="205">
        <f t="shared" si="9"/>
        <v>0</v>
      </c>
      <c r="L50" s="225">
        <f t="shared" si="10"/>
        <v>177500</v>
      </c>
      <c r="M50" s="226">
        <f t="shared" si="11"/>
        <v>213000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spans="1:26" ht="14.4">
      <c r="A51" s="684"/>
      <c r="B51" s="228" t="s">
        <v>163</v>
      </c>
      <c r="C51" s="232">
        <v>7.25</v>
      </c>
      <c r="D51" s="233"/>
      <c r="E51" s="237"/>
      <c r="F51" s="234">
        <f t="shared" si="12"/>
        <v>7.25</v>
      </c>
      <c r="G51" s="235">
        <v>50000</v>
      </c>
      <c r="H51" s="235">
        <v>12500</v>
      </c>
      <c r="I51" s="204"/>
      <c r="J51" s="205">
        <f t="shared" si="8"/>
        <v>0</v>
      </c>
      <c r="K51" s="205">
        <f t="shared" si="9"/>
        <v>0</v>
      </c>
      <c r="L51" s="225">
        <f t="shared" si="10"/>
        <v>362500</v>
      </c>
      <c r="M51" s="226">
        <f t="shared" si="11"/>
        <v>90625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spans="1:26" ht="14.4">
      <c r="A52" s="684"/>
      <c r="B52" s="222" t="s">
        <v>164</v>
      </c>
      <c r="C52" s="232">
        <v>0.25</v>
      </c>
      <c r="D52" s="233"/>
      <c r="E52" s="237"/>
      <c r="F52" s="234">
        <f t="shared" si="12"/>
        <v>0.25</v>
      </c>
      <c r="G52" s="235">
        <v>78640</v>
      </c>
      <c r="H52" s="235">
        <v>7000</v>
      </c>
      <c r="I52" s="224"/>
      <c r="J52" s="205">
        <f t="shared" si="8"/>
        <v>0</v>
      </c>
      <c r="K52" s="205">
        <f t="shared" si="9"/>
        <v>0</v>
      </c>
      <c r="L52" s="225">
        <f t="shared" si="10"/>
        <v>19660</v>
      </c>
      <c r="M52" s="226">
        <f t="shared" si="11"/>
        <v>1750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spans="1:26" ht="14.4">
      <c r="A53" s="684"/>
      <c r="B53" s="222" t="s">
        <v>165</v>
      </c>
      <c r="C53" s="232">
        <f>102+5</f>
        <v>107</v>
      </c>
      <c r="D53" s="233"/>
      <c r="E53" s="237"/>
      <c r="F53" s="234">
        <f t="shared" si="12"/>
        <v>107</v>
      </c>
      <c r="G53" s="235">
        <v>62000</v>
      </c>
      <c r="H53" s="235">
        <v>67000</v>
      </c>
      <c r="I53" s="224"/>
      <c r="J53" s="205">
        <f t="shared" si="8"/>
        <v>0</v>
      </c>
      <c r="K53" s="205">
        <f t="shared" si="9"/>
        <v>0</v>
      </c>
      <c r="L53" s="225">
        <f t="shared" si="10"/>
        <v>6634000</v>
      </c>
      <c r="M53" s="226">
        <f t="shared" si="11"/>
        <v>7169000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spans="1:26" ht="14.4">
      <c r="A54" s="684"/>
      <c r="B54" s="230" t="s">
        <v>166</v>
      </c>
      <c r="C54" s="232">
        <f>7</f>
        <v>7</v>
      </c>
      <c r="D54" s="233"/>
      <c r="E54" s="233"/>
      <c r="F54" s="234">
        <f t="shared" si="12"/>
        <v>7</v>
      </c>
      <c r="G54" s="235">
        <v>66987</v>
      </c>
      <c r="H54" s="235">
        <v>68000</v>
      </c>
      <c r="I54" s="224"/>
      <c r="J54" s="205">
        <f t="shared" si="8"/>
        <v>0</v>
      </c>
      <c r="K54" s="205">
        <f t="shared" si="9"/>
        <v>0</v>
      </c>
      <c r="L54" s="225">
        <f t="shared" si="10"/>
        <v>468909</v>
      </c>
      <c r="M54" s="226">
        <f t="shared" si="11"/>
        <v>476000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spans="1:26" ht="14.4">
      <c r="A55" s="684"/>
      <c r="B55" s="230" t="s">
        <v>167</v>
      </c>
      <c r="C55" s="238">
        <v>26</v>
      </c>
      <c r="D55" s="201"/>
      <c r="E55" s="201"/>
      <c r="F55" s="202">
        <f t="shared" si="12"/>
        <v>26</v>
      </c>
      <c r="G55" s="203">
        <v>80640</v>
      </c>
      <c r="H55" s="203">
        <v>86000</v>
      </c>
      <c r="I55" s="224"/>
      <c r="J55" s="205">
        <f t="shared" si="8"/>
        <v>0</v>
      </c>
      <c r="K55" s="205">
        <f t="shared" si="9"/>
        <v>0</v>
      </c>
      <c r="L55" s="225">
        <f t="shared" si="10"/>
        <v>2096640</v>
      </c>
      <c r="M55" s="226">
        <f t="shared" si="11"/>
        <v>2236000</v>
      </c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spans="1:26" ht="14.4">
      <c r="A56" s="684"/>
      <c r="B56" s="228" t="s">
        <v>168</v>
      </c>
      <c r="C56" s="227">
        <v>6</v>
      </c>
      <c r="D56" s="201"/>
      <c r="E56" s="201"/>
      <c r="F56" s="202">
        <f t="shared" si="12"/>
        <v>6</v>
      </c>
      <c r="G56" s="203">
        <v>68568</v>
      </c>
      <c r="H56" s="203">
        <v>72000</v>
      </c>
      <c r="I56" s="224"/>
      <c r="J56" s="205">
        <f t="shared" si="8"/>
        <v>0</v>
      </c>
      <c r="K56" s="205">
        <f t="shared" si="9"/>
        <v>0</v>
      </c>
      <c r="L56" s="225">
        <f t="shared" si="10"/>
        <v>411408</v>
      </c>
      <c r="M56" s="226">
        <f t="shared" si="11"/>
        <v>432000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spans="1:26" ht="14.4">
      <c r="A57" s="684"/>
      <c r="B57" s="231" t="s">
        <v>169</v>
      </c>
      <c r="C57" s="227"/>
      <c r="D57" s="201"/>
      <c r="E57" s="201"/>
      <c r="F57" s="202">
        <f t="shared" si="12"/>
        <v>0</v>
      </c>
      <c r="G57" s="203">
        <v>78640</v>
      </c>
      <c r="H57" s="203">
        <v>82000</v>
      </c>
      <c r="I57" s="224"/>
      <c r="J57" s="205">
        <f t="shared" si="8"/>
        <v>0</v>
      </c>
      <c r="K57" s="205">
        <f t="shared" si="9"/>
        <v>0</v>
      </c>
      <c r="L57" s="225">
        <f t="shared" si="10"/>
        <v>0</v>
      </c>
      <c r="M57" s="226">
        <f t="shared" si="11"/>
        <v>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spans="1:26" ht="14.4">
      <c r="A58" s="684"/>
      <c r="B58" s="231" t="s">
        <v>170</v>
      </c>
      <c r="C58" s="227">
        <v>0.5</v>
      </c>
      <c r="D58" s="201"/>
      <c r="E58" s="201"/>
      <c r="F58" s="202">
        <f t="shared" si="12"/>
        <v>0.5</v>
      </c>
      <c r="G58" s="203">
        <v>78640</v>
      </c>
      <c r="H58" s="203">
        <v>82000</v>
      </c>
      <c r="I58" s="224"/>
      <c r="J58" s="205">
        <f t="shared" si="8"/>
        <v>0</v>
      </c>
      <c r="K58" s="205">
        <f t="shared" si="9"/>
        <v>0</v>
      </c>
      <c r="L58" s="225">
        <f t="shared" si="10"/>
        <v>39320</v>
      </c>
      <c r="M58" s="226">
        <f t="shared" si="11"/>
        <v>41000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spans="1:26" ht="14.4">
      <c r="A59" s="684"/>
      <c r="B59" s="231" t="s">
        <v>171</v>
      </c>
      <c r="C59" s="227">
        <v>5</v>
      </c>
      <c r="D59" s="201"/>
      <c r="E59" s="201"/>
      <c r="F59" s="202">
        <f t="shared" si="12"/>
        <v>5</v>
      </c>
      <c r="G59" s="239">
        <v>44000</v>
      </c>
      <c r="H59" s="239">
        <v>48000</v>
      </c>
      <c r="I59" s="240"/>
      <c r="J59" s="205">
        <f t="shared" si="8"/>
        <v>0</v>
      </c>
      <c r="K59" s="205">
        <f t="shared" si="9"/>
        <v>0</v>
      </c>
      <c r="L59" s="225">
        <f t="shared" si="10"/>
        <v>220000</v>
      </c>
      <c r="M59" s="226">
        <f t="shared" si="11"/>
        <v>240000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spans="1:26" ht="14.4">
      <c r="A60" s="685"/>
      <c r="B60" s="241"/>
      <c r="C60" s="229"/>
      <c r="D60" s="242"/>
      <c r="E60" s="243"/>
      <c r="F60" s="244">
        <f>SUM(F23:F57)</f>
        <v>1877</v>
      </c>
      <c r="G60" s="245">
        <f t="shared" ref="G60:H60" si="13">SUM(G10:G57)</f>
        <v>3780599</v>
      </c>
      <c r="H60" s="245">
        <f t="shared" si="13"/>
        <v>3818600</v>
      </c>
      <c r="I60" s="246">
        <f>SUM(I23:I57)</f>
        <v>0</v>
      </c>
      <c r="J60" s="247">
        <f t="shared" ref="J60:M60" si="14">SUM(J23:J59)</f>
        <v>0</v>
      </c>
      <c r="K60" s="247">
        <f t="shared" si="14"/>
        <v>0</v>
      </c>
      <c r="L60" s="247">
        <f t="shared" si="14"/>
        <v>97697317.5</v>
      </c>
      <c r="M60" s="247">
        <f t="shared" si="14"/>
        <v>105033975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spans="1:26" ht="14.4">
      <c r="A61" s="686"/>
      <c r="B61" s="230" t="s">
        <v>172</v>
      </c>
      <c r="C61" s="229">
        <v>12</v>
      </c>
      <c r="D61" s="201"/>
      <c r="E61" s="201"/>
      <c r="F61" s="202">
        <f t="shared" ref="F61:F74" si="15">+C61+D61-E61</f>
        <v>12</v>
      </c>
      <c r="G61" s="203">
        <v>41500</v>
      </c>
      <c r="H61" s="203">
        <v>50000</v>
      </c>
      <c r="I61" s="204"/>
      <c r="J61" s="205">
        <f t="shared" ref="J61:J86" si="16">+I61*H61</f>
        <v>0</v>
      </c>
      <c r="K61" s="205">
        <f t="shared" ref="K61:K86" si="17">+(H61-G61)*I61</f>
        <v>0</v>
      </c>
      <c r="L61" s="248">
        <f t="shared" ref="L61:L86" si="18">+G61*F61</f>
        <v>498000</v>
      </c>
      <c r="M61" s="249">
        <f t="shared" ref="M61:M86" si="19">F61*H61</f>
        <v>600000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spans="1:26" ht="14.4">
      <c r="A62" s="687"/>
      <c r="B62" s="230" t="s">
        <v>173</v>
      </c>
      <c r="C62" s="227">
        <v>94</v>
      </c>
      <c r="D62" s="201"/>
      <c r="E62" s="201"/>
      <c r="F62" s="202">
        <f t="shared" si="15"/>
        <v>94</v>
      </c>
      <c r="G62" s="203">
        <v>43000</v>
      </c>
      <c r="H62" s="203">
        <v>50000</v>
      </c>
      <c r="I62" s="204"/>
      <c r="J62" s="205">
        <f t="shared" si="16"/>
        <v>0</v>
      </c>
      <c r="K62" s="205">
        <f t="shared" si="17"/>
        <v>0</v>
      </c>
      <c r="L62" s="248">
        <f t="shared" si="18"/>
        <v>4042000</v>
      </c>
      <c r="M62" s="249">
        <f t="shared" si="19"/>
        <v>4700000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spans="1:26" ht="14.4">
      <c r="A63" s="687"/>
      <c r="B63" s="230" t="s">
        <v>174</v>
      </c>
      <c r="C63" s="227">
        <v>0.5</v>
      </c>
      <c r="D63" s="201"/>
      <c r="E63" s="201"/>
      <c r="F63" s="202">
        <f t="shared" si="15"/>
        <v>0.5</v>
      </c>
      <c r="G63" s="203">
        <v>41600</v>
      </c>
      <c r="H63" s="203">
        <v>50000</v>
      </c>
      <c r="I63" s="204"/>
      <c r="J63" s="205">
        <f t="shared" si="16"/>
        <v>0</v>
      </c>
      <c r="K63" s="205">
        <f t="shared" si="17"/>
        <v>0</v>
      </c>
      <c r="L63" s="248">
        <f t="shared" si="18"/>
        <v>20800</v>
      </c>
      <c r="M63" s="249">
        <f t="shared" si="19"/>
        <v>25000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spans="1:26" ht="14.4">
      <c r="A64" s="687"/>
      <c r="B64" s="230" t="s">
        <v>175</v>
      </c>
      <c r="C64" s="227">
        <v>4.75</v>
      </c>
      <c r="D64" s="201"/>
      <c r="E64" s="201"/>
      <c r="F64" s="202">
        <f t="shared" si="15"/>
        <v>4.75</v>
      </c>
      <c r="G64" s="203">
        <v>51850</v>
      </c>
      <c r="H64" s="203">
        <v>51850</v>
      </c>
      <c r="I64" s="204"/>
      <c r="J64" s="205">
        <f t="shared" si="16"/>
        <v>0</v>
      </c>
      <c r="K64" s="205">
        <f t="shared" si="17"/>
        <v>0</v>
      </c>
      <c r="L64" s="248">
        <f t="shared" si="18"/>
        <v>246287.5</v>
      </c>
      <c r="M64" s="249">
        <f t="shared" si="19"/>
        <v>246287.5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spans="1:26" ht="14.4">
      <c r="A65" s="687"/>
      <c r="B65" s="230" t="s">
        <v>176</v>
      </c>
      <c r="C65" s="227">
        <v>2</v>
      </c>
      <c r="D65" s="201"/>
      <c r="E65" s="201"/>
      <c r="F65" s="202">
        <f t="shared" si="15"/>
        <v>2</v>
      </c>
      <c r="G65" s="203">
        <v>49890</v>
      </c>
      <c r="H65" s="203">
        <v>55000</v>
      </c>
      <c r="I65" s="204"/>
      <c r="J65" s="205">
        <f t="shared" si="16"/>
        <v>0</v>
      </c>
      <c r="K65" s="205">
        <f t="shared" si="17"/>
        <v>0</v>
      </c>
      <c r="L65" s="248">
        <f t="shared" si="18"/>
        <v>99780</v>
      </c>
      <c r="M65" s="249">
        <f t="shared" si="19"/>
        <v>110000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spans="1:26" ht="14.4">
      <c r="A66" s="687"/>
      <c r="B66" s="230" t="s">
        <v>177</v>
      </c>
      <c r="C66" s="238">
        <v>6.75</v>
      </c>
      <c r="D66" s="201"/>
      <c r="E66" s="201"/>
      <c r="F66" s="202">
        <f t="shared" si="15"/>
        <v>6.75</v>
      </c>
      <c r="G66" s="203">
        <v>60000</v>
      </c>
      <c r="H66" s="203">
        <v>63000</v>
      </c>
      <c r="I66" s="204"/>
      <c r="J66" s="205">
        <f t="shared" si="16"/>
        <v>0</v>
      </c>
      <c r="K66" s="205">
        <f t="shared" si="17"/>
        <v>0</v>
      </c>
      <c r="L66" s="248">
        <f t="shared" si="18"/>
        <v>405000</v>
      </c>
      <c r="M66" s="249">
        <f t="shared" si="19"/>
        <v>425250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spans="1:26" ht="14.4">
      <c r="A67" s="687"/>
      <c r="B67" s="230" t="s">
        <v>178</v>
      </c>
      <c r="C67" s="227">
        <v>7.25</v>
      </c>
      <c r="D67" s="201"/>
      <c r="E67" s="201"/>
      <c r="F67" s="202">
        <f t="shared" si="15"/>
        <v>7.25</v>
      </c>
      <c r="G67" s="203">
        <v>44116</v>
      </c>
      <c r="H67" s="203">
        <v>50000</v>
      </c>
      <c r="I67" s="204"/>
      <c r="J67" s="205">
        <f t="shared" si="16"/>
        <v>0</v>
      </c>
      <c r="K67" s="205">
        <f t="shared" si="17"/>
        <v>0</v>
      </c>
      <c r="L67" s="248">
        <f t="shared" si="18"/>
        <v>319841</v>
      </c>
      <c r="M67" s="249">
        <f t="shared" si="19"/>
        <v>362500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spans="1:26" ht="14.4">
      <c r="A68" s="687"/>
      <c r="B68" s="230" t="s">
        <v>179</v>
      </c>
      <c r="C68" s="238">
        <v>3</v>
      </c>
      <c r="D68" s="201"/>
      <c r="E68" s="201"/>
      <c r="F68" s="202">
        <f t="shared" si="15"/>
        <v>3</v>
      </c>
      <c r="G68" s="203">
        <v>25000</v>
      </c>
      <c r="H68" s="203">
        <v>26000</v>
      </c>
      <c r="I68" s="204"/>
      <c r="J68" s="205">
        <f t="shared" si="16"/>
        <v>0</v>
      </c>
      <c r="K68" s="205">
        <f t="shared" si="17"/>
        <v>0</v>
      </c>
      <c r="L68" s="248">
        <f t="shared" si="18"/>
        <v>75000</v>
      </c>
      <c r="M68" s="249">
        <f t="shared" si="19"/>
        <v>78000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spans="1:26" ht="14.4">
      <c r="A69" s="687"/>
      <c r="B69" s="230" t="s">
        <v>41</v>
      </c>
      <c r="C69" s="227">
        <f>33.5</f>
        <v>33.5</v>
      </c>
      <c r="D69" s="201"/>
      <c r="E69" s="201"/>
      <c r="F69" s="202">
        <f t="shared" si="15"/>
        <v>33.5</v>
      </c>
      <c r="G69" s="203">
        <v>43600</v>
      </c>
      <c r="H69" s="203">
        <v>49000</v>
      </c>
      <c r="I69" s="204"/>
      <c r="J69" s="205">
        <f t="shared" si="16"/>
        <v>0</v>
      </c>
      <c r="K69" s="205">
        <f t="shared" si="17"/>
        <v>0</v>
      </c>
      <c r="L69" s="248">
        <f t="shared" si="18"/>
        <v>1460600</v>
      </c>
      <c r="M69" s="249">
        <f t="shared" si="19"/>
        <v>1641500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spans="1:26" ht="14.4">
      <c r="A70" s="687"/>
      <c r="B70" s="230" t="s">
        <v>180</v>
      </c>
      <c r="C70" s="227">
        <v>9.5</v>
      </c>
      <c r="D70" s="201"/>
      <c r="E70" s="201"/>
      <c r="F70" s="202">
        <f t="shared" si="15"/>
        <v>9.5</v>
      </c>
      <c r="G70" s="203">
        <v>49000</v>
      </c>
      <c r="H70" s="203">
        <v>55000</v>
      </c>
      <c r="I70" s="204"/>
      <c r="J70" s="205">
        <f t="shared" si="16"/>
        <v>0</v>
      </c>
      <c r="K70" s="205">
        <f t="shared" si="17"/>
        <v>0</v>
      </c>
      <c r="L70" s="248">
        <f t="shared" si="18"/>
        <v>465500</v>
      </c>
      <c r="M70" s="249">
        <f t="shared" si="19"/>
        <v>522500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spans="1:26" ht="18" customHeight="1">
      <c r="A71" s="687"/>
      <c r="B71" s="230" t="s">
        <v>181</v>
      </c>
      <c r="C71" s="227">
        <v>9</v>
      </c>
      <c r="D71" s="201"/>
      <c r="E71" s="201"/>
      <c r="F71" s="202">
        <f t="shared" si="15"/>
        <v>9</v>
      </c>
      <c r="G71" s="203">
        <v>58050</v>
      </c>
      <c r="H71" s="203">
        <v>63700</v>
      </c>
      <c r="I71" s="204"/>
      <c r="J71" s="205">
        <f t="shared" si="16"/>
        <v>0</v>
      </c>
      <c r="K71" s="205">
        <f t="shared" si="17"/>
        <v>0</v>
      </c>
      <c r="L71" s="248">
        <f t="shared" si="18"/>
        <v>522450</v>
      </c>
      <c r="M71" s="249">
        <f t="shared" si="19"/>
        <v>573300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spans="1:26" ht="18" customHeight="1">
      <c r="A72" s="687"/>
      <c r="B72" s="230" t="s">
        <v>182</v>
      </c>
      <c r="C72" s="227">
        <v>0.5</v>
      </c>
      <c r="D72" s="201"/>
      <c r="E72" s="201"/>
      <c r="F72" s="202">
        <f t="shared" si="15"/>
        <v>0.5</v>
      </c>
      <c r="G72" s="203">
        <v>46000</v>
      </c>
      <c r="H72" s="203">
        <v>52000</v>
      </c>
      <c r="I72" s="204"/>
      <c r="J72" s="205">
        <f t="shared" si="16"/>
        <v>0</v>
      </c>
      <c r="K72" s="205">
        <f t="shared" si="17"/>
        <v>0</v>
      </c>
      <c r="L72" s="248">
        <f t="shared" si="18"/>
        <v>23000</v>
      </c>
      <c r="M72" s="249">
        <f t="shared" si="19"/>
        <v>26000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spans="1:26" ht="14.4">
      <c r="A73" s="687"/>
      <c r="B73" s="230" t="s">
        <v>183</v>
      </c>
      <c r="C73" s="227">
        <v>10</v>
      </c>
      <c r="D73" s="201"/>
      <c r="E73" s="201"/>
      <c r="F73" s="202">
        <f t="shared" si="15"/>
        <v>10</v>
      </c>
      <c r="G73" s="203">
        <v>53000</v>
      </c>
      <c r="H73" s="203">
        <v>63000</v>
      </c>
      <c r="I73" s="204"/>
      <c r="J73" s="205">
        <f t="shared" si="16"/>
        <v>0</v>
      </c>
      <c r="K73" s="205">
        <f t="shared" si="17"/>
        <v>0</v>
      </c>
      <c r="L73" s="248">
        <f t="shared" si="18"/>
        <v>530000</v>
      </c>
      <c r="M73" s="249">
        <f t="shared" si="19"/>
        <v>630000</v>
      </c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spans="1:26" ht="14.4">
      <c r="A74" s="687"/>
      <c r="B74" s="230" t="s">
        <v>184</v>
      </c>
      <c r="C74" s="227"/>
      <c r="D74" s="201"/>
      <c r="E74" s="201"/>
      <c r="F74" s="202">
        <f t="shared" si="15"/>
        <v>0</v>
      </c>
      <c r="G74" s="203">
        <v>62500</v>
      </c>
      <c r="H74" s="203">
        <v>68000</v>
      </c>
      <c r="I74" s="204"/>
      <c r="J74" s="205">
        <f t="shared" si="16"/>
        <v>0</v>
      </c>
      <c r="K74" s="205">
        <f t="shared" si="17"/>
        <v>0</v>
      </c>
      <c r="L74" s="248">
        <f t="shared" si="18"/>
        <v>0</v>
      </c>
      <c r="M74" s="249">
        <f t="shared" si="19"/>
        <v>0</v>
      </c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spans="1:26" ht="14.4">
      <c r="A75" s="687"/>
      <c r="B75" s="230" t="s">
        <v>44</v>
      </c>
      <c r="C75" s="227">
        <f>139</f>
        <v>139</v>
      </c>
      <c r="D75" s="201"/>
      <c r="E75" s="201"/>
      <c r="F75" s="202">
        <f t="shared" ref="F75:F76" si="20">+C75+D75-E66</f>
        <v>139</v>
      </c>
      <c r="G75" s="203">
        <v>31200</v>
      </c>
      <c r="H75" s="203">
        <v>34500</v>
      </c>
      <c r="I75" s="204"/>
      <c r="J75" s="205">
        <f t="shared" si="16"/>
        <v>0</v>
      </c>
      <c r="K75" s="205">
        <f t="shared" si="17"/>
        <v>0</v>
      </c>
      <c r="L75" s="248">
        <f t="shared" si="18"/>
        <v>4336800</v>
      </c>
      <c r="M75" s="249">
        <f t="shared" si="19"/>
        <v>4795500</v>
      </c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spans="1:26" ht="14.4">
      <c r="A76" s="687"/>
      <c r="B76" s="230" t="s">
        <v>185</v>
      </c>
      <c r="C76" s="227">
        <v>103.5</v>
      </c>
      <c r="D76" s="201"/>
      <c r="E76" s="201"/>
      <c r="F76" s="202">
        <f t="shared" si="20"/>
        <v>103.5</v>
      </c>
      <c r="G76" s="203">
        <v>34000</v>
      </c>
      <c r="H76" s="203">
        <v>37500</v>
      </c>
      <c r="I76" s="204"/>
      <c r="J76" s="205">
        <f t="shared" si="16"/>
        <v>0</v>
      </c>
      <c r="K76" s="205">
        <f t="shared" si="17"/>
        <v>0</v>
      </c>
      <c r="L76" s="248">
        <f t="shared" si="18"/>
        <v>3519000</v>
      </c>
      <c r="M76" s="249">
        <f t="shared" si="19"/>
        <v>3881250</v>
      </c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spans="1:26" ht="14.4">
      <c r="A77" s="687"/>
      <c r="B77" s="230" t="s">
        <v>186</v>
      </c>
      <c r="C77" s="227">
        <v>1.75</v>
      </c>
      <c r="D77" s="201"/>
      <c r="E77" s="201"/>
      <c r="F77" s="202">
        <f t="shared" ref="F77:F86" si="21">+C77+D77-E77</f>
        <v>1.75</v>
      </c>
      <c r="G77" s="203">
        <v>64000</v>
      </c>
      <c r="H77" s="203">
        <v>68000</v>
      </c>
      <c r="I77" s="204"/>
      <c r="J77" s="205">
        <f t="shared" si="16"/>
        <v>0</v>
      </c>
      <c r="K77" s="205">
        <f t="shared" si="17"/>
        <v>0</v>
      </c>
      <c r="L77" s="250">
        <f t="shared" si="18"/>
        <v>112000</v>
      </c>
      <c r="M77" s="251">
        <f t="shared" si="19"/>
        <v>119000</v>
      </c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spans="1:26" ht="14.4">
      <c r="A78" s="687"/>
      <c r="B78" s="230" t="s">
        <v>187</v>
      </c>
      <c r="C78" s="227">
        <v>2.5</v>
      </c>
      <c r="D78" s="201"/>
      <c r="E78" s="201"/>
      <c r="F78" s="202">
        <f t="shared" si="21"/>
        <v>2.5</v>
      </c>
      <c r="G78" s="203">
        <v>50000</v>
      </c>
      <c r="H78" s="203">
        <v>55500</v>
      </c>
      <c r="I78" s="204"/>
      <c r="J78" s="205">
        <f t="shared" si="16"/>
        <v>0</v>
      </c>
      <c r="K78" s="205">
        <f t="shared" si="17"/>
        <v>0</v>
      </c>
      <c r="L78" s="248">
        <f t="shared" si="18"/>
        <v>125000</v>
      </c>
      <c r="M78" s="249">
        <f t="shared" si="19"/>
        <v>138750</v>
      </c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spans="1:26" ht="14.4">
      <c r="A79" s="687"/>
      <c r="B79" s="230" t="s">
        <v>188</v>
      </c>
      <c r="C79" s="227">
        <v>0.25</v>
      </c>
      <c r="D79" s="201"/>
      <c r="E79" s="201"/>
      <c r="F79" s="202">
        <f t="shared" si="21"/>
        <v>0.25</v>
      </c>
      <c r="G79" s="203">
        <v>55111</v>
      </c>
      <c r="H79" s="203">
        <v>60000</v>
      </c>
      <c r="I79" s="204"/>
      <c r="J79" s="205">
        <f t="shared" si="16"/>
        <v>0</v>
      </c>
      <c r="K79" s="205">
        <f t="shared" si="17"/>
        <v>0</v>
      </c>
      <c r="L79" s="248">
        <f t="shared" si="18"/>
        <v>13777.75</v>
      </c>
      <c r="M79" s="249">
        <f t="shared" si="19"/>
        <v>15000</v>
      </c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spans="1:26" ht="14.4">
      <c r="A80" s="687"/>
      <c r="B80" s="230" t="s">
        <v>46</v>
      </c>
      <c r="C80" s="252">
        <f>87</f>
        <v>87</v>
      </c>
      <c r="D80" s="201"/>
      <c r="E80" s="201"/>
      <c r="F80" s="202">
        <f t="shared" si="21"/>
        <v>87</v>
      </c>
      <c r="G80" s="203">
        <v>37000</v>
      </c>
      <c r="H80" s="203">
        <v>39000</v>
      </c>
      <c r="I80" s="204"/>
      <c r="J80" s="205">
        <f t="shared" si="16"/>
        <v>0</v>
      </c>
      <c r="K80" s="205">
        <f t="shared" si="17"/>
        <v>0</v>
      </c>
      <c r="L80" s="248">
        <f t="shared" si="18"/>
        <v>3219000</v>
      </c>
      <c r="M80" s="249">
        <f t="shared" si="19"/>
        <v>3393000</v>
      </c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spans="1:26" ht="14.4">
      <c r="A81" s="687"/>
      <c r="B81" s="230" t="s">
        <v>189</v>
      </c>
      <c r="C81" s="227">
        <v>9</v>
      </c>
      <c r="D81" s="201"/>
      <c r="E81" s="201"/>
      <c r="F81" s="202">
        <f t="shared" si="21"/>
        <v>9</v>
      </c>
      <c r="G81" s="203">
        <v>37700</v>
      </c>
      <c r="H81" s="203">
        <v>40500</v>
      </c>
      <c r="I81" s="204"/>
      <c r="J81" s="205">
        <f t="shared" si="16"/>
        <v>0</v>
      </c>
      <c r="K81" s="205">
        <f t="shared" si="17"/>
        <v>0</v>
      </c>
      <c r="L81" s="248">
        <f t="shared" si="18"/>
        <v>339300</v>
      </c>
      <c r="M81" s="249">
        <f t="shared" si="19"/>
        <v>364500</v>
      </c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spans="1:26" ht="14.4">
      <c r="A82" s="687"/>
      <c r="B82" s="230" t="s">
        <v>49</v>
      </c>
      <c r="C82" s="238">
        <v>0.25</v>
      </c>
      <c r="D82" s="201"/>
      <c r="E82" s="201"/>
      <c r="F82" s="202">
        <f t="shared" si="21"/>
        <v>0.25</v>
      </c>
      <c r="G82" s="203">
        <v>44000</v>
      </c>
      <c r="H82" s="203">
        <v>50000</v>
      </c>
      <c r="I82" s="204"/>
      <c r="J82" s="205">
        <f t="shared" si="16"/>
        <v>0</v>
      </c>
      <c r="K82" s="205">
        <f t="shared" si="17"/>
        <v>0</v>
      </c>
      <c r="L82" s="248">
        <f t="shared" si="18"/>
        <v>11000</v>
      </c>
      <c r="M82" s="249">
        <f t="shared" si="19"/>
        <v>12500</v>
      </c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spans="1:26" ht="14.4">
      <c r="A83" s="687"/>
      <c r="B83" s="230" t="s">
        <v>190</v>
      </c>
      <c r="C83" s="238">
        <v>1.75</v>
      </c>
      <c r="D83" s="201"/>
      <c r="E83" s="201"/>
      <c r="F83" s="202">
        <f t="shared" si="21"/>
        <v>1.75</v>
      </c>
      <c r="G83" s="203">
        <v>40000</v>
      </c>
      <c r="H83" s="203">
        <v>43000</v>
      </c>
      <c r="I83" s="204"/>
      <c r="J83" s="205">
        <f t="shared" si="16"/>
        <v>0</v>
      </c>
      <c r="K83" s="205">
        <f t="shared" si="17"/>
        <v>0</v>
      </c>
      <c r="L83" s="248">
        <f t="shared" si="18"/>
        <v>70000</v>
      </c>
      <c r="M83" s="249">
        <f t="shared" si="19"/>
        <v>75250</v>
      </c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spans="1:26" ht="14.4">
      <c r="A84" s="687"/>
      <c r="B84" s="230" t="s">
        <v>191</v>
      </c>
      <c r="C84" s="253">
        <v>0.75</v>
      </c>
      <c r="D84" s="201"/>
      <c r="E84" s="201"/>
      <c r="F84" s="202">
        <f t="shared" si="21"/>
        <v>0.75</v>
      </c>
      <c r="G84" s="203">
        <v>58700</v>
      </c>
      <c r="H84" s="203">
        <v>68000</v>
      </c>
      <c r="I84" s="204"/>
      <c r="J84" s="205">
        <f t="shared" si="16"/>
        <v>0</v>
      </c>
      <c r="K84" s="205">
        <f t="shared" si="17"/>
        <v>0</v>
      </c>
      <c r="L84" s="248">
        <f t="shared" si="18"/>
        <v>44025</v>
      </c>
      <c r="M84" s="249">
        <f t="shared" si="19"/>
        <v>51000</v>
      </c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spans="1:26" ht="14.4">
      <c r="A85" s="687"/>
      <c r="B85" s="230" t="s">
        <v>192</v>
      </c>
      <c r="C85" s="227">
        <v>11.5</v>
      </c>
      <c r="D85" s="201"/>
      <c r="E85" s="201"/>
      <c r="F85" s="202">
        <f t="shared" si="21"/>
        <v>11.5</v>
      </c>
      <c r="G85" s="239">
        <v>68000</v>
      </c>
      <c r="H85" s="239">
        <v>73500</v>
      </c>
      <c r="I85" s="204"/>
      <c r="J85" s="205">
        <f t="shared" si="16"/>
        <v>0</v>
      </c>
      <c r="K85" s="205">
        <f t="shared" si="17"/>
        <v>0</v>
      </c>
      <c r="L85" s="248">
        <f t="shared" si="18"/>
        <v>782000</v>
      </c>
      <c r="M85" s="249">
        <f t="shared" si="19"/>
        <v>845250</v>
      </c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spans="1:26" ht="14.4">
      <c r="A86" s="687"/>
      <c r="B86" s="230" t="s">
        <v>193</v>
      </c>
      <c r="C86" s="227">
        <v>1</v>
      </c>
      <c r="D86" s="201"/>
      <c r="E86" s="201"/>
      <c r="F86" s="202">
        <f t="shared" si="21"/>
        <v>1</v>
      </c>
      <c r="G86" s="239">
        <v>86000</v>
      </c>
      <c r="H86" s="239">
        <v>90000</v>
      </c>
      <c r="I86" s="204"/>
      <c r="J86" s="205">
        <f t="shared" si="16"/>
        <v>0</v>
      </c>
      <c r="K86" s="205">
        <f t="shared" si="17"/>
        <v>0</v>
      </c>
      <c r="L86" s="248">
        <f t="shared" si="18"/>
        <v>86000</v>
      </c>
      <c r="M86" s="249">
        <f t="shared" si="19"/>
        <v>90000</v>
      </c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spans="1:26" ht="14.4">
      <c r="A87" s="688"/>
      <c r="B87" s="254"/>
      <c r="C87" s="255"/>
      <c r="D87" s="255"/>
      <c r="E87" s="256"/>
      <c r="F87" s="257">
        <f t="shared" ref="F87:I87" si="22">SUM(F61:F81)</f>
        <v>535.75</v>
      </c>
      <c r="G87" s="258">
        <f t="shared" si="22"/>
        <v>978117</v>
      </c>
      <c r="H87" s="258">
        <f t="shared" si="22"/>
        <v>1081550</v>
      </c>
      <c r="I87" s="259">
        <f t="shared" si="22"/>
        <v>0</v>
      </c>
      <c r="J87" s="260">
        <f t="shared" ref="J87:K87" si="23">SUM(J61:J85)</f>
        <v>0</v>
      </c>
      <c r="K87" s="260">
        <f t="shared" si="23"/>
        <v>0</v>
      </c>
      <c r="L87" s="260">
        <f>SUM(L61:L86)</f>
        <v>21366161.25</v>
      </c>
      <c r="M87" s="260">
        <f>SUM(M61:M85)</f>
        <v>23631337.5</v>
      </c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spans="1:26" ht="14.4">
      <c r="A88" s="689" t="s">
        <v>194</v>
      </c>
      <c r="B88" s="230" t="s">
        <v>195</v>
      </c>
      <c r="C88" s="261">
        <v>9</v>
      </c>
      <c r="D88" s="201"/>
      <c r="E88" s="201"/>
      <c r="F88" s="202">
        <f t="shared" ref="F88:F146" si="24">+C88+D88-E88</f>
        <v>9</v>
      </c>
      <c r="G88" s="203">
        <v>49000</v>
      </c>
      <c r="H88" s="203">
        <v>52000</v>
      </c>
      <c r="I88" s="224"/>
      <c r="J88" s="205">
        <f t="shared" ref="J88:J146" si="25">+I88*H88</f>
        <v>0</v>
      </c>
      <c r="K88" s="205">
        <f t="shared" ref="K88:K146" si="26">+(H88-G88)*I88</f>
        <v>0</v>
      </c>
      <c r="L88" s="262">
        <f t="shared" ref="L88:L146" si="27">+G88*F88</f>
        <v>441000</v>
      </c>
      <c r="M88" s="263">
        <f t="shared" ref="M88:M146" si="28">F88*H88</f>
        <v>468000</v>
      </c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spans="1:26" ht="14.4">
      <c r="A89" s="690"/>
      <c r="B89" s="230" t="s">
        <v>196</v>
      </c>
      <c r="C89" s="227">
        <v>4</v>
      </c>
      <c r="D89" s="201"/>
      <c r="E89" s="201"/>
      <c r="F89" s="202">
        <f t="shared" si="24"/>
        <v>4</v>
      </c>
      <c r="G89" s="203">
        <v>93664</v>
      </c>
      <c r="H89" s="203">
        <v>98000</v>
      </c>
      <c r="I89" s="204"/>
      <c r="J89" s="205">
        <f t="shared" si="25"/>
        <v>0</v>
      </c>
      <c r="K89" s="205">
        <f t="shared" si="26"/>
        <v>0</v>
      </c>
      <c r="L89" s="262">
        <f t="shared" si="27"/>
        <v>374656</v>
      </c>
      <c r="M89" s="263">
        <f t="shared" si="28"/>
        <v>392000</v>
      </c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spans="1:26" ht="14.4">
      <c r="A90" s="690"/>
      <c r="B90" s="230" t="s">
        <v>197</v>
      </c>
      <c r="C90" s="261">
        <v>20</v>
      </c>
      <c r="D90" s="201"/>
      <c r="E90" s="201"/>
      <c r="F90" s="202">
        <f t="shared" si="24"/>
        <v>20</v>
      </c>
      <c r="G90" s="203">
        <v>26900</v>
      </c>
      <c r="H90" s="203">
        <v>29000</v>
      </c>
      <c r="I90" s="204"/>
      <c r="J90" s="205">
        <f t="shared" si="25"/>
        <v>0</v>
      </c>
      <c r="K90" s="205">
        <f t="shared" si="26"/>
        <v>0</v>
      </c>
      <c r="L90" s="262">
        <f t="shared" si="27"/>
        <v>538000</v>
      </c>
      <c r="M90" s="263">
        <f t="shared" si="28"/>
        <v>580000</v>
      </c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spans="1:26" ht="14.4">
      <c r="A91" s="690"/>
      <c r="B91" s="230" t="s">
        <v>198</v>
      </c>
      <c r="C91" s="227">
        <v>10</v>
      </c>
      <c r="D91" s="201"/>
      <c r="E91" s="201"/>
      <c r="F91" s="202">
        <f t="shared" si="24"/>
        <v>10</v>
      </c>
      <c r="G91" s="203">
        <v>43449</v>
      </c>
      <c r="H91" s="203">
        <v>46000</v>
      </c>
      <c r="I91" s="204"/>
      <c r="J91" s="205">
        <f t="shared" si="25"/>
        <v>0</v>
      </c>
      <c r="K91" s="205">
        <f t="shared" si="26"/>
        <v>0</v>
      </c>
      <c r="L91" s="262">
        <f t="shared" si="27"/>
        <v>434490</v>
      </c>
      <c r="M91" s="263">
        <f t="shared" si="28"/>
        <v>460000</v>
      </c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spans="1:26" ht="14.4">
      <c r="A92" s="690"/>
      <c r="B92" s="264" t="s">
        <v>199</v>
      </c>
      <c r="C92" s="227">
        <v>1</v>
      </c>
      <c r="D92" s="201"/>
      <c r="E92" s="201"/>
      <c r="F92" s="202">
        <f t="shared" si="24"/>
        <v>1</v>
      </c>
      <c r="G92" s="210">
        <v>113000</v>
      </c>
      <c r="H92" s="210">
        <v>118000</v>
      </c>
      <c r="I92" s="204"/>
      <c r="J92" s="205">
        <f t="shared" si="25"/>
        <v>0</v>
      </c>
      <c r="K92" s="205">
        <f t="shared" si="26"/>
        <v>0</v>
      </c>
      <c r="L92" s="262">
        <f t="shared" si="27"/>
        <v>113000</v>
      </c>
      <c r="M92" s="263">
        <f t="shared" si="28"/>
        <v>118000</v>
      </c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spans="1:26" ht="14.4">
      <c r="A93" s="690"/>
      <c r="B93" s="230" t="s">
        <v>200</v>
      </c>
      <c r="C93" s="261">
        <v>22</v>
      </c>
      <c r="D93" s="201"/>
      <c r="E93" s="201"/>
      <c r="F93" s="202">
        <f t="shared" si="24"/>
        <v>22</v>
      </c>
      <c r="G93" s="203">
        <v>12678</v>
      </c>
      <c r="H93" s="203">
        <v>13000</v>
      </c>
      <c r="I93" s="204"/>
      <c r="J93" s="205">
        <f t="shared" si="25"/>
        <v>0</v>
      </c>
      <c r="K93" s="205">
        <f t="shared" si="26"/>
        <v>0</v>
      </c>
      <c r="L93" s="262">
        <f t="shared" si="27"/>
        <v>278916</v>
      </c>
      <c r="M93" s="263">
        <f t="shared" si="28"/>
        <v>286000</v>
      </c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spans="1:26" ht="14.4">
      <c r="A94" s="690"/>
      <c r="B94" s="230" t="s">
        <v>201</v>
      </c>
      <c r="C94" s="229">
        <v>3</v>
      </c>
      <c r="D94" s="201"/>
      <c r="E94" s="201"/>
      <c r="F94" s="202">
        <f t="shared" si="24"/>
        <v>3</v>
      </c>
      <c r="G94" s="203">
        <v>50231</v>
      </c>
      <c r="H94" s="203">
        <v>52000</v>
      </c>
      <c r="I94" s="204"/>
      <c r="J94" s="205">
        <f t="shared" si="25"/>
        <v>0</v>
      </c>
      <c r="K94" s="205">
        <f t="shared" si="26"/>
        <v>0</v>
      </c>
      <c r="L94" s="262">
        <f t="shared" si="27"/>
        <v>150693</v>
      </c>
      <c r="M94" s="263">
        <f t="shared" si="28"/>
        <v>156000</v>
      </c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spans="1:26" ht="14.4">
      <c r="A95" s="690"/>
      <c r="B95" s="230" t="s">
        <v>202</v>
      </c>
      <c r="C95" s="261">
        <v>4</v>
      </c>
      <c r="D95" s="201"/>
      <c r="E95" s="201"/>
      <c r="F95" s="202">
        <f t="shared" si="24"/>
        <v>4</v>
      </c>
      <c r="G95" s="203">
        <v>27677</v>
      </c>
      <c r="H95" s="203">
        <v>30000</v>
      </c>
      <c r="I95" s="204"/>
      <c r="J95" s="205">
        <f t="shared" si="25"/>
        <v>0</v>
      </c>
      <c r="K95" s="205">
        <f t="shared" si="26"/>
        <v>0</v>
      </c>
      <c r="L95" s="262">
        <f t="shared" si="27"/>
        <v>110708</v>
      </c>
      <c r="M95" s="263">
        <f t="shared" si="28"/>
        <v>120000</v>
      </c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spans="1:26" ht="14.4">
      <c r="A96" s="690"/>
      <c r="B96" s="230" t="s">
        <v>203</v>
      </c>
      <c r="C96" s="227"/>
      <c r="D96" s="201"/>
      <c r="E96" s="201"/>
      <c r="F96" s="202">
        <f t="shared" si="24"/>
        <v>0</v>
      </c>
      <c r="G96" s="203">
        <v>13257</v>
      </c>
      <c r="H96" s="203">
        <v>13500</v>
      </c>
      <c r="I96" s="204"/>
      <c r="J96" s="205">
        <f t="shared" si="25"/>
        <v>0</v>
      </c>
      <c r="K96" s="205">
        <f t="shared" si="26"/>
        <v>0</v>
      </c>
      <c r="L96" s="262">
        <f t="shared" si="27"/>
        <v>0</v>
      </c>
      <c r="M96" s="263">
        <f t="shared" si="28"/>
        <v>0</v>
      </c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spans="1:26" ht="14.4">
      <c r="A97" s="690"/>
      <c r="B97" s="230" t="s">
        <v>204</v>
      </c>
      <c r="C97" s="227">
        <v>1</v>
      </c>
      <c r="D97" s="201"/>
      <c r="E97" s="201"/>
      <c r="F97" s="202">
        <f t="shared" si="24"/>
        <v>1</v>
      </c>
      <c r="G97" s="203">
        <v>94624</v>
      </c>
      <c r="H97" s="203">
        <v>104000</v>
      </c>
      <c r="I97" s="204"/>
      <c r="J97" s="205">
        <f t="shared" si="25"/>
        <v>0</v>
      </c>
      <c r="K97" s="205">
        <f t="shared" si="26"/>
        <v>0</v>
      </c>
      <c r="L97" s="262">
        <f t="shared" si="27"/>
        <v>94624</v>
      </c>
      <c r="M97" s="263">
        <f t="shared" si="28"/>
        <v>104000</v>
      </c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spans="1:26" ht="14.4">
      <c r="A98" s="690"/>
      <c r="B98" s="230" t="s">
        <v>205</v>
      </c>
      <c r="C98" s="229">
        <v>5</v>
      </c>
      <c r="D98" s="201"/>
      <c r="E98" s="201"/>
      <c r="F98" s="202">
        <f t="shared" si="24"/>
        <v>5</v>
      </c>
      <c r="G98" s="203">
        <v>42926</v>
      </c>
      <c r="H98" s="203">
        <v>45000</v>
      </c>
      <c r="I98" s="204"/>
      <c r="J98" s="205">
        <f t="shared" si="25"/>
        <v>0</v>
      </c>
      <c r="K98" s="205">
        <f t="shared" si="26"/>
        <v>0</v>
      </c>
      <c r="L98" s="262">
        <f t="shared" si="27"/>
        <v>214630</v>
      </c>
      <c r="M98" s="263">
        <f t="shared" si="28"/>
        <v>225000</v>
      </c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spans="1:26" ht="14.4">
      <c r="A99" s="690"/>
      <c r="B99" s="230" t="s">
        <v>206</v>
      </c>
      <c r="C99" s="227"/>
      <c r="D99" s="201"/>
      <c r="E99" s="201"/>
      <c r="F99" s="202">
        <f t="shared" si="24"/>
        <v>0</v>
      </c>
      <c r="G99" s="203">
        <v>22505</v>
      </c>
      <c r="H99" s="203">
        <v>24000</v>
      </c>
      <c r="I99" s="204"/>
      <c r="J99" s="205">
        <f t="shared" si="25"/>
        <v>0</v>
      </c>
      <c r="K99" s="205">
        <f t="shared" si="26"/>
        <v>0</v>
      </c>
      <c r="L99" s="262">
        <f t="shared" si="27"/>
        <v>0</v>
      </c>
      <c r="M99" s="263">
        <f t="shared" si="28"/>
        <v>0</v>
      </c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spans="1:26" ht="14.4">
      <c r="A100" s="690"/>
      <c r="B100" s="230" t="s">
        <v>207</v>
      </c>
      <c r="C100" s="227"/>
      <c r="D100" s="201"/>
      <c r="E100" s="201"/>
      <c r="F100" s="202">
        <f t="shared" si="24"/>
        <v>0</v>
      </c>
      <c r="G100" s="203">
        <v>38230</v>
      </c>
      <c r="H100" s="203">
        <v>41000</v>
      </c>
      <c r="I100" s="204"/>
      <c r="J100" s="205">
        <f t="shared" si="25"/>
        <v>0</v>
      </c>
      <c r="K100" s="205">
        <f t="shared" si="26"/>
        <v>0</v>
      </c>
      <c r="L100" s="262">
        <f t="shared" si="27"/>
        <v>0</v>
      </c>
      <c r="M100" s="263">
        <f t="shared" si="28"/>
        <v>0</v>
      </c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spans="1:26" ht="14.4">
      <c r="A101" s="690"/>
      <c r="B101" s="230" t="s">
        <v>208</v>
      </c>
      <c r="C101" s="227">
        <v>6</v>
      </c>
      <c r="D101" s="201"/>
      <c r="E101" s="201"/>
      <c r="F101" s="202">
        <f t="shared" si="24"/>
        <v>6</v>
      </c>
      <c r="G101" s="203">
        <v>10985</v>
      </c>
      <c r="H101" s="203">
        <v>13000</v>
      </c>
      <c r="I101" s="204"/>
      <c r="J101" s="205">
        <f t="shared" si="25"/>
        <v>0</v>
      </c>
      <c r="K101" s="205">
        <f t="shared" si="26"/>
        <v>0</v>
      </c>
      <c r="L101" s="262">
        <f t="shared" si="27"/>
        <v>65910</v>
      </c>
      <c r="M101" s="263">
        <f t="shared" si="28"/>
        <v>78000</v>
      </c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spans="1:26" ht="14.4">
      <c r="A102" s="690"/>
      <c r="B102" s="230" t="s">
        <v>209</v>
      </c>
      <c r="C102" s="227">
        <v>2</v>
      </c>
      <c r="D102" s="201"/>
      <c r="E102" s="201"/>
      <c r="F102" s="202">
        <f t="shared" si="24"/>
        <v>2</v>
      </c>
      <c r="G102" s="210">
        <v>90151</v>
      </c>
      <c r="H102" s="210">
        <v>95000</v>
      </c>
      <c r="I102" s="204"/>
      <c r="J102" s="205">
        <f t="shared" si="25"/>
        <v>0</v>
      </c>
      <c r="K102" s="205">
        <f t="shared" si="26"/>
        <v>0</v>
      </c>
      <c r="L102" s="262">
        <f t="shared" si="27"/>
        <v>180302</v>
      </c>
      <c r="M102" s="263">
        <f t="shared" si="28"/>
        <v>190000</v>
      </c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spans="1:26" ht="14.4">
      <c r="A103" s="690"/>
      <c r="B103" s="265" t="s">
        <v>210</v>
      </c>
      <c r="C103" s="229">
        <v>3</v>
      </c>
      <c r="D103" s="201"/>
      <c r="E103" s="201"/>
      <c r="F103" s="202">
        <f t="shared" si="24"/>
        <v>3</v>
      </c>
      <c r="G103" s="210">
        <v>90151</v>
      </c>
      <c r="H103" s="210">
        <v>95000</v>
      </c>
      <c r="I103" s="204"/>
      <c r="J103" s="205">
        <f t="shared" si="25"/>
        <v>0</v>
      </c>
      <c r="K103" s="205">
        <f t="shared" si="26"/>
        <v>0</v>
      </c>
      <c r="L103" s="262">
        <f t="shared" si="27"/>
        <v>270453</v>
      </c>
      <c r="M103" s="263">
        <f t="shared" si="28"/>
        <v>285000</v>
      </c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spans="1:26" ht="14.4">
      <c r="A104" s="690"/>
      <c r="B104" s="230" t="s">
        <v>211</v>
      </c>
      <c r="C104" s="227">
        <v>6</v>
      </c>
      <c r="D104" s="201"/>
      <c r="E104" s="201"/>
      <c r="F104" s="202">
        <f t="shared" si="24"/>
        <v>6</v>
      </c>
      <c r="G104" s="266">
        <v>89506</v>
      </c>
      <c r="H104" s="203">
        <v>95000</v>
      </c>
      <c r="I104" s="204"/>
      <c r="J104" s="205">
        <f t="shared" si="25"/>
        <v>0</v>
      </c>
      <c r="K104" s="205">
        <f t="shared" si="26"/>
        <v>0</v>
      </c>
      <c r="L104" s="262">
        <f t="shared" si="27"/>
        <v>537036</v>
      </c>
      <c r="M104" s="263">
        <f t="shared" si="28"/>
        <v>570000</v>
      </c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spans="1:26" ht="14.4">
      <c r="A105" s="690"/>
      <c r="B105" s="230" t="s">
        <v>212</v>
      </c>
      <c r="C105" s="227">
        <v>13</v>
      </c>
      <c r="D105" s="201"/>
      <c r="E105" s="201"/>
      <c r="F105" s="202">
        <f t="shared" si="24"/>
        <v>13</v>
      </c>
      <c r="G105" s="267">
        <v>48729</v>
      </c>
      <c r="H105" s="203">
        <v>51000</v>
      </c>
      <c r="I105" s="204"/>
      <c r="J105" s="205">
        <f t="shared" si="25"/>
        <v>0</v>
      </c>
      <c r="K105" s="205">
        <f t="shared" si="26"/>
        <v>0</v>
      </c>
      <c r="L105" s="262">
        <f t="shared" si="27"/>
        <v>633477</v>
      </c>
      <c r="M105" s="263">
        <f t="shared" si="28"/>
        <v>663000</v>
      </c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spans="1:26" ht="14.4">
      <c r="A106" s="690"/>
      <c r="B106" s="230" t="s">
        <v>213</v>
      </c>
      <c r="C106" s="227"/>
      <c r="D106" s="201"/>
      <c r="E106" s="201"/>
      <c r="F106" s="202">
        <f t="shared" si="24"/>
        <v>0</v>
      </c>
      <c r="G106" s="267">
        <v>26542</v>
      </c>
      <c r="H106" s="203">
        <v>28000</v>
      </c>
      <c r="I106" s="204"/>
      <c r="J106" s="205">
        <f t="shared" si="25"/>
        <v>0</v>
      </c>
      <c r="K106" s="205">
        <f t="shared" si="26"/>
        <v>0</v>
      </c>
      <c r="L106" s="262">
        <f t="shared" si="27"/>
        <v>0</v>
      </c>
      <c r="M106" s="263">
        <f t="shared" si="28"/>
        <v>0</v>
      </c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spans="1:26" ht="14.4">
      <c r="A107" s="690"/>
      <c r="B107" s="230" t="s">
        <v>214</v>
      </c>
      <c r="C107" s="261">
        <v>7</v>
      </c>
      <c r="D107" s="201"/>
      <c r="E107" s="201"/>
      <c r="F107" s="202">
        <f t="shared" si="24"/>
        <v>7</v>
      </c>
      <c r="G107" s="267">
        <v>48729</v>
      </c>
      <c r="H107" s="203">
        <v>51000</v>
      </c>
      <c r="I107" s="204"/>
      <c r="J107" s="205">
        <f t="shared" si="25"/>
        <v>0</v>
      </c>
      <c r="K107" s="205">
        <f t="shared" si="26"/>
        <v>0</v>
      </c>
      <c r="L107" s="262">
        <f t="shared" si="27"/>
        <v>341103</v>
      </c>
      <c r="M107" s="263">
        <f t="shared" si="28"/>
        <v>357000</v>
      </c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spans="1:26" ht="14.4">
      <c r="A108" s="690"/>
      <c r="B108" s="230" t="s">
        <v>215</v>
      </c>
      <c r="C108" s="261">
        <v>11</v>
      </c>
      <c r="D108" s="201"/>
      <c r="E108" s="201"/>
      <c r="F108" s="202">
        <f t="shared" si="24"/>
        <v>11</v>
      </c>
      <c r="G108" s="203">
        <v>46856</v>
      </c>
      <c r="H108" s="203">
        <v>49000</v>
      </c>
      <c r="I108" s="204"/>
      <c r="J108" s="205">
        <f t="shared" si="25"/>
        <v>0</v>
      </c>
      <c r="K108" s="205">
        <f t="shared" si="26"/>
        <v>0</v>
      </c>
      <c r="L108" s="262">
        <f t="shared" si="27"/>
        <v>515416</v>
      </c>
      <c r="M108" s="263">
        <f t="shared" si="28"/>
        <v>539000</v>
      </c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spans="1:26" ht="14.4">
      <c r="A109" s="690"/>
      <c r="B109" s="230" t="s">
        <v>59</v>
      </c>
      <c r="C109" s="261">
        <v>10</v>
      </c>
      <c r="D109" s="201"/>
      <c r="E109" s="201"/>
      <c r="F109" s="202">
        <f t="shared" si="24"/>
        <v>10</v>
      </c>
      <c r="G109" s="203">
        <v>26234</v>
      </c>
      <c r="H109" s="203">
        <v>28000</v>
      </c>
      <c r="I109" s="204"/>
      <c r="J109" s="205">
        <f t="shared" si="25"/>
        <v>0</v>
      </c>
      <c r="K109" s="205">
        <f t="shared" si="26"/>
        <v>0</v>
      </c>
      <c r="L109" s="262">
        <f t="shared" si="27"/>
        <v>262340</v>
      </c>
      <c r="M109" s="263">
        <f t="shared" si="28"/>
        <v>280000</v>
      </c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spans="1:26" ht="14.4">
      <c r="A110" s="690"/>
      <c r="B110" s="230" t="s">
        <v>216</v>
      </c>
      <c r="C110" s="227">
        <v>7</v>
      </c>
      <c r="D110" s="201"/>
      <c r="E110" s="201"/>
      <c r="F110" s="202">
        <f t="shared" si="24"/>
        <v>7</v>
      </c>
      <c r="G110" s="203">
        <v>11700</v>
      </c>
      <c r="H110" s="203">
        <v>13000</v>
      </c>
      <c r="I110" s="204"/>
      <c r="J110" s="205">
        <f t="shared" si="25"/>
        <v>0</v>
      </c>
      <c r="K110" s="205">
        <f t="shared" si="26"/>
        <v>0</v>
      </c>
      <c r="L110" s="262">
        <f t="shared" si="27"/>
        <v>81900</v>
      </c>
      <c r="M110" s="263">
        <f t="shared" si="28"/>
        <v>91000</v>
      </c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spans="1:26" ht="14.4">
      <c r="A111" s="690"/>
      <c r="B111" s="230" t="s">
        <v>217</v>
      </c>
      <c r="C111" s="227">
        <v>2</v>
      </c>
      <c r="D111" s="201"/>
      <c r="E111" s="201"/>
      <c r="F111" s="202">
        <f t="shared" si="24"/>
        <v>2</v>
      </c>
      <c r="G111" s="203">
        <v>51378</v>
      </c>
      <c r="H111" s="203">
        <v>53000</v>
      </c>
      <c r="I111" s="204"/>
      <c r="J111" s="205">
        <f t="shared" si="25"/>
        <v>0</v>
      </c>
      <c r="K111" s="205">
        <f t="shared" si="26"/>
        <v>0</v>
      </c>
      <c r="L111" s="262">
        <f t="shared" si="27"/>
        <v>102756</v>
      </c>
      <c r="M111" s="263">
        <f t="shared" si="28"/>
        <v>106000</v>
      </c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spans="1:26" ht="14.4">
      <c r="A112" s="690"/>
      <c r="B112" s="230" t="s">
        <v>218</v>
      </c>
      <c r="C112" s="227">
        <v>1</v>
      </c>
      <c r="D112" s="201"/>
      <c r="E112" s="201"/>
      <c r="F112" s="202">
        <f t="shared" si="24"/>
        <v>1</v>
      </c>
      <c r="G112" s="203">
        <v>29440</v>
      </c>
      <c r="H112" s="203">
        <v>31000</v>
      </c>
      <c r="I112" s="204"/>
      <c r="J112" s="205">
        <f t="shared" si="25"/>
        <v>0</v>
      </c>
      <c r="K112" s="205">
        <f t="shared" si="26"/>
        <v>0</v>
      </c>
      <c r="L112" s="262">
        <f t="shared" si="27"/>
        <v>29440</v>
      </c>
      <c r="M112" s="263">
        <f t="shared" si="28"/>
        <v>31000</v>
      </c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spans="1:26" ht="14.4">
      <c r="A113" s="690"/>
      <c r="B113" s="230" t="s">
        <v>659</v>
      </c>
      <c r="C113" s="229">
        <v>5</v>
      </c>
      <c r="D113" s="201"/>
      <c r="E113" s="201"/>
      <c r="F113" s="202">
        <f t="shared" si="24"/>
        <v>5</v>
      </c>
      <c r="G113" s="203">
        <v>11700</v>
      </c>
      <c r="H113" s="203">
        <v>13000</v>
      </c>
      <c r="I113" s="204"/>
      <c r="J113" s="205">
        <f t="shared" si="25"/>
        <v>0</v>
      </c>
      <c r="K113" s="205">
        <f t="shared" si="26"/>
        <v>0</v>
      </c>
      <c r="L113" s="262">
        <f t="shared" si="27"/>
        <v>58500</v>
      </c>
      <c r="M113" s="263">
        <f t="shared" si="28"/>
        <v>65000</v>
      </c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spans="1:26" ht="14.4">
      <c r="A114" s="690"/>
      <c r="B114" s="230" t="s">
        <v>219</v>
      </c>
      <c r="C114" s="229">
        <v>2</v>
      </c>
      <c r="D114" s="201"/>
      <c r="E114" s="201"/>
      <c r="F114" s="202">
        <f t="shared" si="24"/>
        <v>2</v>
      </c>
      <c r="G114" s="203">
        <v>52351</v>
      </c>
      <c r="H114" s="203">
        <v>48000</v>
      </c>
      <c r="I114" s="204"/>
      <c r="J114" s="205">
        <f t="shared" si="25"/>
        <v>0</v>
      </c>
      <c r="K114" s="205">
        <f t="shared" si="26"/>
        <v>0</v>
      </c>
      <c r="L114" s="262">
        <f t="shared" si="27"/>
        <v>104702</v>
      </c>
      <c r="M114" s="263">
        <f t="shared" si="28"/>
        <v>96000</v>
      </c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spans="1:26" ht="14.4">
      <c r="A115" s="690"/>
      <c r="B115" s="230" t="s">
        <v>220</v>
      </c>
      <c r="C115" s="229"/>
      <c r="D115" s="201"/>
      <c r="E115" s="201"/>
      <c r="F115" s="202">
        <f t="shared" si="24"/>
        <v>0</v>
      </c>
      <c r="G115" s="203">
        <v>67573</v>
      </c>
      <c r="H115" s="203">
        <v>68000</v>
      </c>
      <c r="I115" s="204"/>
      <c r="J115" s="205">
        <f t="shared" si="25"/>
        <v>0</v>
      </c>
      <c r="K115" s="205">
        <f t="shared" si="26"/>
        <v>0</v>
      </c>
      <c r="L115" s="262">
        <f t="shared" si="27"/>
        <v>0</v>
      </c>
      <c r="M115" s="263">
        <f t="shared" si="28"/>
        <v>0</v>
      </c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spans="1:26" ht="14.4">
      <c r="A116" s="690"/>
      <c r="B116" s="230" t="s">
        <v>221</v>
      </c>
      <c r="C116" s="227">
        <v>1</v>
      </c>
      <c r="D116" s="201"/>
      <c r="E116" s="201"/>
      <c r="F116" s="202">
        <f t="shared" si="24"/>
        <v>1</v>
      </c>
      <c r="G116" s="203">
        <v>119000</v>
      </c>
      <c r="H116" s="203">
        <v>110000</v>
      </c>
      <c r="I116" s="204"/>
      <c r="J116" s="205">
        <f t="shared" si="25"/>
        <v>0</v>
      </c>
      <c r="K116" s="205">
        <f t="shared" si="26"/>
        <v>0</v>
      </c>
      <c r="L116" s="262">
        <f t="shared" si="27"/>
        <v>119000</v>
      </c>
      <c r="M116" s="263">
        <f t="shared" si="28"/>
        <v>110000</v>
      </c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spans="1:26" ht="14.4">
      <c r="A117" s="690"/>
      <c r="B117" s="230" t="s">
        <v>222</v>
      </c>
      <c r="C117" s="227">
        <v>3</v>
      </c>
      <c r="D117" s="201"/>
      <c r="E117" s="201"/>
      <c r="F117" s="202">
        <f t="shared" si="24"/>
        <v>3</v>
      </c>
      <c r="G117" s="203">
        <v>49403</v>
      </c>
      <c r="H117" s="203">
        <v>46000</v>
      </c>
      <c r="I117" s="204"/>
      <c r="J117" s="205">
        <f t="shared" si="25"/>
        <v>0</v>
      </c>
      <c r="K117" s="205">
        <f t="shared" si="26"/>
        <v>0</v>
      </c>
      <c r="L117" s="262">
        <f t="shared" si="27"/>
        <v>148209</v>
      </c>
      <c r="M117" s="263">
        <f t="shared" si="28"/>
        <v>138000</v>
      </c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spans="1:26" ht="14.4">
      <c r="A118" s="690"/>
      <c r="B118" s="230" t="s">
        <v>223</v>
      </c>
      <c r="C118" s="261">
        <v>4</v>
      </c>
      <c r="D118" s="201"/>
      <c r="E118" s="201"/>
      <c r="F118" s="202">
        <f t="shared" si="24"/>
        <v>4</v>
      </c>
      <c r="G118" s="203">
        <v>26477</v>
      </c>
      <c r="H118" s="203">
        <v>26000</v>
      </c>
      <c r="I118" s="204"/>
      <c r="J118" s="205">
        <f t="shared" si="25"/>
        <v>0</v>
      </c>
      <c r="K118" s="205">
        <f t="shared" si="26"/>
        <v>0</v>
      </c>
      <c r="L118" s="262">
        <f t="shared" si="27"/>
        <v>105908</v>
      </c>
      <c r="M118" s="263">
        <f t="shared" si="28"/>
        <v>104000</v>
      </c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spans="1:26" ht="14.4">
      <c r="A119" s="690"/>
      <c r="B119" s="230" t="s">
        <v>224</v>
      </c>
      <c r="C119" s="261">
        <v>6</v>
      </c>
      <c r="D119" s="201"/>
      <c r="E119" s="201"/>
      <c r="F119" s="202">
        <f t="shared" si="24"/>
        <v>6</v>
      </c>
      <c r="G119" s="203">
        <v>12985</v>
      </c>
      <c r="H119" s="203">
        <v>13000</v>
      </c>
      <c r="I119" s="204"/>
      <c r="J119" s="205">
        <f t="shared" si="25"/>
        <v>0</v>
      </c>
      <c r="K119" s="205">
        <f t="shared" si="26"/>
        <v>0</v>
      </c>
      <c r="L119" s="262">
        <f t="shared" si="27"/>
        <v>77910</v>
      </c>
      <c r="M119" s="263">
        <f t="shared" si="28"/>
        <v>78000</v>
      </c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spans="1:26" ht="14.4">
      <c r="A120" s="690"/>
      <c r="B120" s="230" t="s">
        <v>53</v>
      </c>
      <c r="C120" s="261"/>
      <c r="D120" s="201"/>
      <c r="E120" s="201"/>
      <c r="F120" s="202">
        <f t="shared" si="24"/>
        <v>0</v>
      </c>
      <c r="G120" s="203">
        <v>47400</v>
      </c>
      <c r="H120" s="203">
        <v>50000</v>
      </c>
      <c r="I120" s="204"/>
      <c r="J120" s="205">
        <f t="shared" si="25"/>
        <v>0</v>
      </c>
      <c r="K120" s="205">
        <f t="shared" si="26"/>
        <v>0</v>
      </c>
      <c r="L120" s="262">
        <f t="shared" si="27"/>
        <v>0</v>
      </c>
      <c r="M120" s="263">
        <f t="shared" si="28"/>
        <v>0</v>
      </c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spans="1:26" ht="14.4">
      <c r="A121" s="690"/>
      <c r="B121" s="230" t="s">
        <v>54</v>
      </c>
      <c r="C121" s="261"/>
      <c r="D121" s="201"/>
      <c r="E121" s="201"/>
      <c r="F121" s="202">
        <f t="shared" si="24"/>
        <v>0</v>
      </c>
      <c r="G121" s="203">
        <v>27500</v>
      </c>
      <c r="H121" s="203">
        <v>28000</v>
      </c>
      <c r="I121" s="204"/>
      <c r="J121" s="205">
        <f t="shared" si="25"/>
        <v>0</v>
      </c>
      <c r="K121" s="205">
        <f t="shared" si="26"/>
        <v>0</v>
      </c>
      <c r="L121" s="262">
        <f t="shared" si="27"/>
        <v>0</v>
      </c>
      <c r="M121" s="263">
        <f t="shared" si="28"/>
        <v>0</v>
      </c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spans="1:26" ht="14.4">
      <c r="A122" s="690"/>
      <c r="B122" s="230" t="s">
        <v>225</v>
      </c>
      <c r="C122" s="229"/>
      <c r="D122" s="201"/>
      <c r="E122" s="201"/>
      <c r="F122" s="202">
        <f t="shared" si="24"/>
        <v>0</v>
      </c>
      <c r="G122" s="203">
        <v>57800</v>
      </c>
      <c r="H122" s="203">
        <v>56000</v>
      </c>
      <c r="I122" s="204"/>
      <c r="J122" s="205">
        <f t="shared" si="25"/>
        <v>0</v>
      </c>
      <c r="K122" s="205">
        <f t="shared" si="26"/>
        <v>0</v>
      </c>
      <c r="L122" s="262">
        <f t="shared" si="27"/>
        <v>0</v>
      </c>
      <c r="M122" s="263">
        <f t="shared" si="28"/>
        <v>0</v>
      </c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spans="1:26" ht="14.4">
      <c r="A123" s="690"/>
      <c r="B123" s="230" t="s">
        <v>226</v>
      </c>
      <c r="C123" s="261"/>
      <c r="D123" s="201"/>
      <c r="E123" s="201"/>
      <c r="F123" s="202">
        <f t="shared" si="24"/>
        <v>0</v>
      </c>
      <c r="G123" s="203">
        <v>97400</v>
      </c>
      <c r="H123" s="203">
        <v>95000</v>
      </c>
      <c r="I123" s="204"/>
      <c r="J123" s="205">
        <f t="shared" si="25"/>
        <v>0</v>
      </c>
      <c r="K123" s="205">
        <f t="shared" si="26"/>
        <v>0</v>
      </c>
      <c r="L123" s="262">
        <f t="shared" si="27"/>
        <v>0</v>
      </c>
      <c r="M123" s="263">
        <f t="shared" si="28"/>
        <v>0</v>
      </c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spans="1:26" ht="14.4">
      <c r="A124" s="690"/>
      <c r="B124" s="230" t="s">
        <v>227</v>
      </c>
      <c r="C124" s="229"/>
      <c r="D124" s="201"/>
      <c r="E124" s="201"/>
      <c r="F124" s="202">
        <f t="shared" si="24"/>
        <v>0</v>
      </c>
      <c r="G124" s="203">
        <v>59900</v>
      </c>
      <c r="H124" s="203">
        <v>65000</v>
      </c>
      <c r="I124" s="204"/>
      <c r="J124" s="205">
        <f t="shared" si="25"/>
        <v>0</v>
      </c>
      <c r="K124" s="205">
        <f t="shared" si="26"/>
        <v>0</v>
      </c>
      <c r="L124" s="262">
        <f t="shared" si="27"/>
        <v>0</v>
      </c>
      <c r="M124" s="263">
        <f t="shared" si="28"/>
        <v>0</v>
      </c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spans="1:26" ht="14.4">
      <c r="A125" s="690"/>
      <c r="B125" s="230" t="s">
        <v>228</v>
      </c>
      <c r="C125" s="227">
        <v>1</v>
      </c>
      <c r="D125" s="201"/>
      <c r="E125" s="201"/>
      <c r="F125" s="202">
        <f t="shared" si="24"/>
        <v>1</v>
      </c>
      <c r="G125" s="203">
        <v>50000</v>
      </c>
      <c r="H125" s="203">
        <v>54000</v>
      </c>
      <c r="I125" s="224"/>
      <c r="J125" s="205">
        <f t="shared" si="25"/>
        <v>0</v>
      </c>
      <c r="K125" s="205">
        <f t="shared" si="26"/>
        <v>0</v>
      </c>
      <c r="L125" s="262">
        <f t="shared" si="27"/>
        <v>50000</v>
      </c>
      <c r="M125" s="263">
        <f t="shared" si="28"/>
        <v>54000</v>
      </c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spans="1:26" ht="14.4">
      <c r="A126" s="690"/>
      <c r="B126" s="230" t="s">
        <v>229</v>
      </c>
      <c r="C126" s="261">
        <v>1</v>
      </c>
      <c r="D126" s="201"/>
      <c r="E126" s="201"/>
      <c r="F126" s="202">
        <f t="shared" si="24"/>
        <v>1</v>
      </c>
      <c r="G126" s="203">
        <v>57000</v>
      </c>
      <c r="H126" s="203">
        <v>59000</v>
      </c>
      <c r="I126" s="224"/>
      <c r="J126" s="205">
        <f t="shared" si="25"/>
        <v>0</v>
      </c>
      <c r="K126" s="205">
        <f t="shared" si="26"/>
        <v>0</v>
      </c>
      <c r="L126" s="262">
        <f t="shared" si="27"/>
        <v>57000</v>
      </c>
      <c r="M126" s="263">
        <f t="shared" si="28"/>
        <v>59000</v>
      </c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spans="1:26" ht="14.4">
      <c r="A127" s="690"/>
      <c r="B127" s="230" t="s">
        <v>230</v>
      </c>
      <c r="C127" s="261"/>
      <c r="D127" s="201"/>
      <c r="E127" s="201"/>
      <c r="F127" s="202">
        <f t="shared" si="24"/>
        <v>0</v>
      </c>
      <c r="G127" s="203">
        <v>55500</v>
      </c>
      <c r="H127" s="203">
        <v>54000</v>
      </c>
      <c r="I127" s="204"/>
      <c r="J127" s="205">
        <f t="shared" si="25"/>
        <v>0</v>
      </c>
      <c r="K127" s="205">
        <f t="shared" si="26"/>
        <v>0</v>
      </c>
      <c r="L127" s="262">
        <f t="shared" si="27"/>
        <v>0</v>
      </c>
      <c r="M127" s="263">
        <f t="shared" si="28"/>
        <v>0</v>
      </c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spans="1:26" ht="14.4">
      <c r="A128" s="690"/>
      <c r="B128" s="230" t="s">
        <v>231</v>
      </c>
      <c r="C128" s="229">
        <v>2</v>
      </c>
      <c r="D128" s="201"/>
      <c r="E128" s="201"/>
      <c r="F128" s="202">
        <f t="shared" si="24"/>
        <v>2</v>
      </c>
      <c r="G128" s="203">
        <v>29000</v>
      </c>
      <c r="H128" s="203">
        <v>29200</v>
      </c>
      <c r="I128" s="204"/>
      <c r="J128" s="205">
        <f t="shared" si="25"/>
        <v>0</v>
      </c>
      <c r="K128" s="205">
        <f t="shared" si="26"/>
        <v>0</v>
      </c>
      <c r="L128" s="262">
        <f t="shared" si="27"/>
        <v>58000</v>
      </c>
      <c r="M128" s="263">
        <f t="shared" si="28"/>
        <v>58400</v>
      </c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spans="1:26" ht="14.4">
      <c r="A129" s="690"/>
      <c r="B129" s="230" t="s">
        <v>232</v>
      </c>
      <c r="C129" s="261"/>
      <c r="D129" s="201"/>
      <c r="E129" s="201"/>
      <c r="F129" s="202">
        <f t="shared" si="24"/>
        <v>0</v>
      </c>
      <c r="G129" s="203">
        <v>17000</v>
      </c>
      <c r="H129" s="203">
        <v>19000</v>
      </c>
      <c r="I129" s="204"/>
      <c r="J129" s="205">
        <f t="shared" si="25"/>
        <v>0</v>
      </c>
      <c r="K129" s="205">
        <f t="shared" si="26"/>
        <v>0</v>
      </c>
      <c r="L129" s="262">
        <f t="shared" si="27"/>
        <v>0</v>
      </c>
      <c r="M129" s="263">
        <f t="shared" si="28"/>
        <v>0</v>
      </c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spans="1:26" ht="14.4">
      <c r="A130" s="690"/>
      <c r="B130" s="230" t="s">
        <v>233</v>
      </c>
      <c r="C130" s="227">
        <v>1</v>
      </c>
      <c r="D130" s="201"/>
      <c r="E130" s="201"/>
      <c r="F130" s="202">
        <f t="shared" si="24"/>
        <v>1</v>
      </c>
      <c r="G130" s="203">
        <v>54500</v>
      </c>
      <c r="H130" s="203">
        <v>58000</v>
      </c>
      <c r="I130" s="204"/>
      <c r="J130" s="205">
        <f t="shared" si="25"/>
        <v>0</v>
      </c>
      <c r="K130" s="205">
        <f t="shared" si="26"/>
        <v>0</v>
      </c>
      <c r="L130" s="262">
        <f t="shared" si="27"/>
        <v>54500</v>
      </c>
      <c r="M130" s="263">
        <f t="shared" si="28"/>
        <v>58000</v>
      </c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spans="1:26" ht="14.4">
      <c r="A131" s="690"/>
      <c r="B131" s="230" t="s">
        <v>234</v>
      </c>
      <c r="C131" s="261">
        <v>3</v>
      </c>
      <c r="D131" s="201"/>
      <c r="E131" s="201"/>
      <c r="F131" s="202">
        <f t="shared" si="24"/>
        <v>3</v>
      </c>
      <c r="G131" s="203">
        <v>29000</v>
      </c>
      <c r="H131" s="203">
        <v>32000</v>
      </c>
      <c r="I131" s="204"/>
      <c r="J131" s="205">
        <f t="shared" si="25"/>
        <v>0</v>
      </c>
      <c r="K131" s="205">
        <f t="shared" si="26"/>
        <v>0</v>
      </c>
      <c r="L131" s="262">
        <f t="shared" si="27"/>
        <v>87000</v>
      </c>
      <c r="M131" s="263">
        <f t="shared" si="28"/>
        <v>96000</v>
      </c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spans="1:26" ht="14.4">
      <c r="A132" s="690"/>
      <c r="B132" s="230" t="s">
        <v>235</v>
      </c>
      <c r="C132" s="227">
        <v>1</v>
      </c>
      <c r="D132" s="201"/>
      <c r="E132" s="201"/>
      <c r="F132" s="202">
        <f t="shared" si="24"/>
        <v>1</v>
      </c>
      <c r="G132" s="203">
        <v>80000</v>
      </c>
      <c r="H132" s="203">
        <v>86000</v>
      </c>
      <c r="I132" s="204"/>
      <c r="J132" s="205">
        <f t="shared" si="25"/>
        <v>0</v>
      </c>
      <c r="K132" s="205">
        <f t="shared" si="26"/>
        <v>0</v>
      </c>
      <c r="L132" s="262">
        <f t="shared" si="27"/>
        <v>80000</v>
      </c>
      <c r="M132" s="263">
        <f t="shared" si="28"/>
        <v>86000</v>
      </c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spans="1:26" ht="14.4">
      <c r="A133" s="690"/>
      <c r="B133" s="230" t="s">
        <v>236</v>
      </c>
      <c r="C133" s="227">
        <v>2</v>
      </c>
      <c r="D133" s="201"/>
      <c r="E133" s="201"/>
      <c r="F133" s="202">
        <f t="shared" si="24"/>
        <v>2</v>
      </c>
      <c r="G133" s="203">
        <v>40500</v>
      </c>
      <c r="H133" s="203">
        <v>45000</v>
      </c>
      <c r="I133" s="204"/>
      <c r="J133" s="205">
        <f t="shared" si="25"/>
        <v>0</v>
      </c>
      <c r="K133" s="205">
        <f t="shared" si="26"/>
        <v>0</v>
      </c>
      <c r="L133" s="262">
        <f t="shared" si="27"/>
        <v>81000</v>
      </c>
      <c r="M133" s="263">
        <f t="shared" si="28"/>
        <v>90000</v>
      </c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spans="1:26" ht="14.4">
      <c r="A134" s="690"/>
      <c r="B134" s="230" t="s">
        <v>237</v>
      </c>
      <c r="C134" s="261"/>
      <c r="D134" s="201"/>
      <c r="E134" s="201"/>
      <c r="F134" s="202">
        <f t="shared" si="24"/>
        <v>0</v>
      </c>
      <c r="G134" s="203">
        <v>45100</v>
      </c>
      <c r="H134" s="203">
        <v>48000</v>
      </c>
      <c r="I134" s="204"/>
      <c r="J134" s="205">
        <f t="shared" si="25"/>
        <v>0</v>
      </c>
      <c r="K134" s="205">
        <f t="shared" si="26"/>
        <v>0</v>
      </c>
      <c r="L134" s="262">
        <f t="shared" si="27"/>
        <v>0</v>
      </c>
      <c r="M134" s="263">
        <f t="shared" si="28"/>
        <v>0</v>
      </c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spans="1:26" ht="14.4">
      <c r="A135" s="690"/>
      <c r="B135" s="230" t="s">
        <v>238</v>
      </c>
      <c r="C135" s="261">
        <v>1</v>
      </c>
      <c r="D135" s="201"/>
      <c r="E135" s="201"/>
      <c r="F135" s="202">
        <f t="shared" si="24"/>
        <v>1</v>
      </c>
      <c r="G135" s="203">
        <v>54600</v>
      </c>
      <c r="H135" s="203">
        <v>59000</v>
      </c>
      <c r="I135" s="204"/>
      <c r="J135" s="205">
        <f t="shared" si="25"/>
        <v>0</v>
      </c>
      <c r="K135" s="205">
        <f t="shared" si="26"/>
        <v>0</v>
      </c>
      <c r="L135" s="262">
        <f t="shared" si="27"/>
        <v>54600</v>
      </c>
      <c r="M135" s="263">
        <f t="shared" si="28"/>
        <v>59000</v>
      </c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spans="1:26" ht="14.4">
      <c r="A136" s="690"/>
      <c r="B136" s="230" t="s">
        <v>239</v>
      </c>
      <c r="C136" s="227">
        <v>1</v>
      </c>
      <c r="D136" s="201"/>
      <c r="E136" s="201"/>
      <c r="F136" s="202">
        <f t="shared" si="24"/>
        <v>1</v>
      </c>
      <c r="G136" s="203">
        <v>102000</v>
      </c>
      <c r="H136" s="203">
        <v>110000</v>
      </c>
      <c r="I136" s="204"/>
      <c r="J136" s="205">
        <f t="shared" si="25"/>
        <v>0</v>
      </c>
      <c r="K136" s="205">
        <f t="shared" si="26"/>
        <v>0</v>
      </c>
      <c r="L136" s="262">
        <f t="shared" si="27"/>
        <v>102000</v>
      </c>
      <c r="M136" s="263">
        <f t="shared" si="28"/>
        <v>110000</v>
      </c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spans="1:26" ht="14.4">
      <c r="A137" s="690"/>
      <c r="B137" s="230" t="s">
        <v>240</v>
      </c>
      <c r="C137" s="227">
        <v>1</v>
      </c>
      <c r="D137" s="201"/>
      <c r="E137" s="201"/>
      <c r="F137" s="202">
        <f t="shared" si="24"/>
        <v>1</v>
      </c>
      <c r="G137" s="203">
        <v>45000</v>
      </c>
      <c r="H137" s="203">
        <v>48000</v>
      </c>
      <c r="I137" s="204"/>
      <c r="J137" s="205">
        <f t="shared" si="25"/>
        <v>0</v>
      </c>
      <c r="K137" s="205">
        <f t="shared" si="26"/>
        <v>0</v>
      </c>
      <c r="L137" s="262">
        <f t="shared" si="27"/>
        <v>45000</v>
      </c>
      <c r="M137" s="263">
        <f t="shared" si="28"/>
        <v>48000</v>
      </c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spans="1:26" ht="14.4">
      <c r="A138" s="690"/>
      <c r="B138" s="230" t="s">
        <v>241</v>
      </c>
      <c r="C138" s="227">
        <v>2</v>
      </c>
      <c r="D138" s="201"/>
      <c r="E138" s="201"/>
      <c r="F138" s="202">
        <f t="shared" si="24"/>
        <v>2</v>
      </c>
      <c r="G138" s="203">
        <v>24000</v>
      </c>
      <c r="H138" s="203">
        <v>26000</v>
      </c>
      <c r="I138" s="204"/>
      <c r="J138" s="205">
        <f t="shared" si="25"/>
        <v>0</v>
      </c>
      <c r="K138" s="205">
        <f t="shared" si="26"/>
        <v>0</v>
      </c>
      <c r="L138" s="262">
        <f t="shared" si="27"/>
        <v>48000</v>
      </c>
      <c r="M138" s="263">
        <f t="shared" si="28"/>
        <v>52000</v>
      </c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spans="1:26" ht="14.4">
      <c r="A139" s="690"/>
      <c r="B139" s="264" t="s">
        <v>242</v>
      </c>
      <c r="C139" s="261">
        <v>9</v>
      </c>
      <c r="D139" s="201"/>
      <c r="E139" s="201"/>
      <c r="F139" s="202">
        <f t="shared" si="24"/>
        <v>9</v>
      </c>
      <c r="G139" s="210">
        <v>36000</v>
      </c>
      <c r="H139" s="210">
        <v>39500</v>
      </c>
      <c r="I139" s="204"/>
      <c r="J139" s="205">
        <f t="shared" si="25"/>
        <v>0</v>
      </c>
      <c r="K139" s="205">
        <f t="shared" si="26"/>
        <v>0</v>
      </c>
      <c r="L139" s="262">
        <f t="shared" si="27"/>
        <v>324000</v>
      </c>
      <c r="M139" s="263">
        <f t="shared" si="28"/>
        <v>355500</v>
      </c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spans="1:26" ht="14.4">
      <c r="A140" s="690"/>
      <c r="B140" s="230" t="s">
        <v>243</v>
      </c>
      <c r="C140" s="227">
        <v>4</v>
      </c>
      <c r="D140" s="201"/>
      <c r="E140" s="201"/>
      <c r="F140" s="202">
        <f t="shared" si="24"/>
        <v>4</v>
      </c>
      <c r="G140" s="210">
        <v>9000</v>
      </c>
      <c r="H140" s="210">
        <v>9500</v>
      </c>
      <c r="I140" s="204"/>
      <c r="J140" s="205">
        <f t="shared" si="25"/>
        <v>0</v>
      </c>
      <c r="K140" s="205">
        <f t="shared" si="26"/>
        <v>0</v>
      </c>
      <c r="L140" s="262">
        <f t="shared" si="27"/>
        <v>36000</v>
      </c>
      <c r="M140" s="263">
        <f t="shared" si="28"/>
        <v>38000</v>
      </c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spans="1:26" ht="14.4">
      <c r="A141" s="690"/>
      <c r="B141" s="230" t="s">
        <v>244</v>
      </c>
      <c r="C141" s="227">
        <v>2</v>
      </c>
      <c r="D141" s="201"/>
      <c r="E141" s="201"/>
      <c r="F141" s="202">
        <f t="shared" si="24"/>
        <v>2</v>
      </c>
      <c r="G141" s="212">
        <v>72000</v>
      </c>
      <c r="H141" s="212">
        <v>78000</v>
      </c>
      <c r="I141" s="213"/>
      <c r="J141" s="205">
        <f t="shared" si="25"/>
        <v>0</v>
      </c>
      <c r="K141" s="205">
        <f t="shared" si="26"/>
        <v>0</v>
      </c>
      <c r="L141" s="262">
        <f t="shared" si="27"/>
        <v>144000</v>
      </c>
      <c r="M141" s="263">
        <f t="shared" si="28"/>
        <v>156000</v>
      </c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spans="1:26" ht="14.4">
      <c r="A142" s="690"/>
      <c r="B142" s="268" t="s">
        <v>245</v>
      </c>
      <c r="C142" s="227"/>
      <c r="D142" s="201"/>
      <c r="E142" s="201"/>
      <c r="F142" s="202">
        <f t="shared" si="24"/>
        <v>0</v>
      </c>
      <c r="G142" s="212">
        <v>46000</v>
      </c>
      <c r="H142" s="212">
        <v>50000</v>
      </c>
      <c r="I142" s="213"/>
      <c r="J142" s="205">
        <f t="shared" si="25"/>
        <v>0</v>
      </c>
      <c r="K142" s="205">
        <f t="shared" si="26"/>
        <v>0</v>
      </c>
      <c r="L142" s="262">
        <f t="shared" si="27"/>
        <v>0</v>
      </c>
      <c r="M142" s="263">
        <f t="shared" si="28"/>
        <v>0</v>
      </c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spans="1:26" ht="14.4">
      <c r="A143" s="690"/>
      <c r="B143" s="268" t="s">
        <v>246</v>
      </c>
      <c r="C143" s="227"/>
      <c r="D143" s="201"/>
      <c r="E143" s="201"/>
      <c r="F143" s="202">
        <f t="shared" si="24"/>
        <v>0</v>
      </c>
      <c r="G143" s="212">
        <v>26000</v>
      </c>
      <c r="H143" s="212">
        <v>28000</v>
      </c>
      <c r="I143" s="213"/>
      <c r="J143" s="205">
        <f t="shared" si="25"/>
        <v>0</v>
      </c>
      <c r="K143" s="205">
        <f t="shared" si="26"/>
        <v>0</v>
      </c>
      <c r="L143" s="262">
        <f t="shared" si="27"/>
        <v>0</v>
      </c>
      <c r="M143" s="263">
        <f t="shared" si="28"/>
        <v>0</v>
      </c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spans="1:26" ht="14.4">
      <c r="A144" s="690"/>
      <c r="B144" s="268" t="s">
        <v>247</v>
      </c>
      <c r="C144" s="227"/>
      <c r="D144" s="201"/>
      <c r="E144" s="201"/>
      <c r="F144" s="202">
        <f t="shared" si="24"/>
        <v>0</v>
      </c>
      <c r="G144" s="212">
        <v>39000</v>
      </c>
      <c r="H144" s="212">
        <v>42000</v>
      </c>
      <c r="I144" s="213"/>
      <c r="J144" s="205">
        <f t="shared" si="25"/>
        <v>0</v>
      </c>
      <c r="K144" s="205">
        <f t="shared" si="26"/>
        <v>0</v>
      </c>
      <c r="L144" s="262">
        <f t="shared" si="27"/>
        <v>0</v>
      </c>
      <c r="M144" s="263">
        <f t="shared" si="28"/>
        <v>0</v>
      </c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spans="1:26" ht="14.4">
      <c r="A145" s="690"/>
      <c r="B145" s="268" t="s">
        <v>248</v>
      </c>
      <c r="C145" s="227">
        <v>3</v>
      </c>
      <c r="D145" s="201"/>
      <c r="E145" s="201"/>
      <c r="F145" s="202">
        <f t="shared" si="24"/>
        <v>3</v>
      </c>
      <c r="G145" s="212">
        <v>21000</v>
      </c>
      <c r="H145" s="212">
        <v>23000</v>
      </c>
      <c r="I145" s="213"/>
      <c r="J145" s="205">
        <f t="shared" si="25"/>
        <v>0</v>
      </c>
      <c r="K145" s="205">
        <f t="shared" si="26"/>
        <v>0</v>
      </c>
      <c r="L145" s="262">
        <f t="shared" si="27"/>
        <v>63000</v>
      </c>
      <c r="M145" s="263">
        <f t="shared" si="28"/>
        <v>69000</v>
      </c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spans="1:26" ht="14.4">
      <c r="A146" s="690"/>
      <c r="B146" s="269" t="s">
        <v>249</v>
      </c>
      <c r="C146" s="270"/>
      <c r="D146" s="271"/>
      <c r="E146" s="271"/>
      <c r="F146" s="272">
        <f t="shared" si="24"/>
        <v>0</v>
      </c>
      <c r="G146" s="212">
        <v>38500</v>
      </c>
      <c r="H146" s="212">
        <v>42000</v>
      </c>
      <c r="I146" s="240"/>
      <c r="J146" s="273">
        <f t="shared" si="25"/>
        <v>0</v>
      </c>
      <c r="K146" s="273">
        <f t="shared" si="26"/>
        <v>0</v>
      </c>
      <c r="L146" s="274">
        <f t="shared" si="27"/>
        <v>0</v>
      </c>
      <c r="M146" s="263">
        <f t="shared" si="28"/>
        <v>0</v>
      </c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spans="1:26" ht="14.4">
      <c r="A147" s="691"/>
      <c r="B147" s="275"/>
      <c r="C147" s="276"/>
      <c r="D147" s="276"/>
      <c r="E147" s="277"/>
      <c r="F147" s="278">
        <f>SUM(F88:F139)</f>
        <v>193</v>
      </c>
      <c r="G147" s="279">
        <f t="shared" ref="G147:H147" si="29">SUM(G88:G141)</f>
        <v>2628231</v>
      </c>
      <c r="H147" s="279">
        <f t="shared" si="29"/>
        <v>2739700</v>
      </c>
      <c r="I147" s="280">
        <f>SUM(I88:I139)</f>
        <v>0</v>
      </c>
      <c r="J147" s="281">
        <f t="shared" ref="J147:K147" si="30">SUM(J88:J141)</f>
        <v>0</v>
      </c>
      <c r="K147" s="281">
        <f t="shared" si="30"/>
        <v>0</v>
      </c>
      <c r="L147" s="281">
        <f>SUM(L88:L146)</f>
        <v>7669179</v>
      </c>
      <c r="M147" s="281">
        <f>SUM(M88:M141)</f>
        <v>8009900</v>
      </c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spans="1:26" ht="14.4">
      <c r="A148" s="692"/>
      <c r="B148" s="282" t="s">
        <v>250</v>
      </c>
      <c r="C148" s="283">
        <v>2.5</v>
      </c>
      <c r="D148" s="284"/>
      <c r="E148" s="284"/>
      <c r="F148" s="285">
        <f t="shared" ref="F148:F158" si="31">+C148+D148-E148</f>
        <v>2.5</v>
      </c>
      <c r="G148" s="286">
        <v>37000</v>
      </c>
      <c r="H148" s="286">
        <v>40000</v>
      </c>
      <c r="I148" s="287"/>
      <c r="J148" s="288">
        <f t="shared" ref="J148:J158" si="32">+I148*H148</f>
        <v>0</v>
      </c>
      <c r="K148" s="288">
        <f t="shared" ref="K148:K158" si="33">+(H148-G148)*I148</f>
        <v>0</v>
      </c>
      <c r="L148" s="289">
        <f t="shared" ref="L148:L158" si="34">+G148*F148</f>
        <v>92500</v>
      </c>
      <c r="M148" s="290">
        <f t="shared" ref="M148:M158" si="35">F148*H148</f>
        <v>100000</v>
      </c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spans="1:26" ht="14.4">
      <c r="A149" s="693"/>
      <c r="B149" s="291" t="s">
        <v>251</v>
      </c>
      <c r="C149" s="227">
        <v>4</v>
      </c>
      <c r="D149" s="201"/>
      <c r="E149" s="201"/>
      <c r="F149" s="202">
        <f t="shared" si="31"/>
        <v>4</v>
      </c>
      <c r="G149" s="203">
        <v>6000</v>
      </c>
      <c r="H149" s="203">
        <v>7000</v>
      </c>
      <c r="I149" s="204"/>
      <c r="J149" s="205">
        <f t="shared" si="32"/>
        <v>0</v>
      </c>
      <c r="K149" s="205">
        <f t="shared" si="33"/>
        <v>0</v>
      </c>
      <c r="L149" s="250">
        <f t="shared" si="34"/>
        <v>24000</v>
      </c>
      <c r="M149" s="292">
        <f t="shared" si="35"/>
        <v>28000</v>
      </c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spans="1:26" ht="14.4">
      <c r="A150" s="693"/>
      <c r="B150" s="291" t="s">
        <v>252</v>
      </c>
      <c r="C150" s="227">
        <v>115</v>
      </c>
      <c r="D150" s="201"/>
      <c r="E150" s="201"/>
      <c r="F150" s="202">
        <f t="shared" si="31"/>
        <v>115</v>
      </c>
      <c r="G150" s="203">
        <v>45800</v>
      </c>
      <c r="H150" s="203">
        <v>54000</v>
      </c>
      <c r="I150" s="204"/>
      <c r="J150" s="205">
        <f t="shared" si="32"/>
        <v>0</v>
      </c>
      <c r="K150" s="205">
        <f t="shared" si="33"/>
        <v>0</v>
      </c>
      <c r="L150" s="250">
        <f t="shared" si="34"/>
        <v>5267000</v>
      </c>
      <c r="M150" s="292">
        <f t="shared" si="35"/>
        <v>6210000</v>
      </c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spans="1:26" ht="14.4">
      <c r="A151" s="693"/>
      <c r="B151" s="291" t="s">
        <v>253</v>
      </c>
      <c r="C151" s="238">
        <v>36</v>
      </c>
      <c r="D151" s="201"/>
      <c r="E151" s="201"/>
      <c r="F151" s="202">
        <f t="shared" si="31"/>
        <v>36</v>
      </c>
      <c r="G151" s="203">
        <v>28500</v>
      </c>
      <c r="H151" s="203">
        <v>31700</v>
      </c>
      <c r="I151" s="204"/>
      <c r="J151" s="205">
        <f t="shared" si="32"/>
        <v>0</v>
      </c>
      <c r="K151" s="205">
        <f t="shared" si="33"/>
        <v>0</v>
      </c>
      <c r="L151" s="250">
        <f t="shared" si="34"/>
        <v>1026000</v>
      </c>
      <c r="M151" s="292">
        <f t="shared" si="35"/>
        <v>1141200</v>
      </c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spans="1:26" ht="14.4">
      <c r="A152" s="693"/>
      <c r="B152" s="291" t="s">
        <v>254</v>
      </c>
      <c r="C152" s="229"/>
      <c r="D152" s="201"/>
      <c r="E152" s="201"/>
      <c r="F152" s="202">
        <f t="shared" si="31"/>
        <v>0</v>
      </c>
      <c r="G152" s="203">
        <v>32000</v>
      </c>
      <c r="H152" s="203">
        <v>33700</v>
      </c>
      <c r="I152" s="204"/>
      <c r="J152" s="205">
        <f t="shared" si="32"/>
        <v>0</v>
      </c>
      <c r="K152" s="205">
        <f t="shared" si="33"/>
        <v>0</v>
      </c>
      <c r="L152" s="250">
        <f t="shared" si="34"/>
        <v>0</v>
      </c>
      <c r="M152" s="292">
        <f t="shared" si="35"/>
        <v>0</v>
      </c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spans="1:26" ht="14.4">
      <c r="A153" s="693"/>
      <c r="B153" s="291" t="s">
        <v>255</v>
      </c>
      <c r="C153" s="227">
        <v>2</v>
      </c>
      <c r="D153" s="201"/>
      <c r="E153" s="201"/>
      <c r="F153" s="202">
        <f t="shared" si="31"/>
        <v>2</v>
      </c>
      <c r="G153" s="203">
        <v>10500</v>
      </c>
      <c r="H153" s="203">
        <v>12500</v>
      </c>
      <c r="I153" s="204"/>
      <c r="J153" s="205">
        <f t="shared" si="32"/>
        <v>0</v>
      </c>
      <c r="K153" s="205">
        <f t="shared" si="33"/>
        <v>0</v>
      </c>
      <c r="L153" s="250">
        <f t="shared" si="34"/>
        <v>21000</v>
      </c>
      <c r="M153" s="292">
        <f t="shared" si="35"/>
        <v>25000</v>
      </c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spans="1:26" ht="14.4">
      <c r="A154" s="693"/>
      <c r="B154" s="291" t="s">
        <v>256</v>
      </c>
      <c r="C154" s="227">
        <v>9</v>
      </c>
      <c r="D154" s="201"/>
      <c r="E154" s="201"/>
      <c r="F154" s="202">
        <f t="shared" si="31"/>
        <v>9</v>
      </c>
      <c r="G154" s="203">
        <v>46000</v>
      </c>
      <c r="H154" s="203">
        <v>52000</v>
      </c>
      <c r="I154" s="204"/>
      <c r="J154" s="205">
        <f t="shared" si="32"/>
        <v>0</v>
      </c>
      <c r="K154" s="205">
        <f t="shared" si="33"/>
        <v>0</v>
      </c>
      <c r="L154" s="250">
        <f t="shared" si="34"/>
        <v>414000</v>
      </c>
      <c r="M154" s="292">
        <f t="shared" si="35"/>
        <v>468000</v>
      </c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spans="1:26" ht="14.4">
      <c r="A155" s="693"/>
      <c r="B155" s="291" t="s">
        <v>257</v>
      </c>
      <c r="C155" s="227">
        <v>145.5</v>
      </c>
      <c r="D155" s="201"/>
      <c r="E155" s="201"/>
      <c r="F155" s="202">
        <f t="shared" si="31"/>
        <v>145.5</v>
      </c>
      <c r="G155" s="203">
        <v>51900</v>
      </c>
      <c r="H155" s="203">
        <v>61000</v>
      </c>
      <c r="I155" s="204"/>
      <c r="J155" s="205">
        <f t="shared" si="32"/>
        <v>0</v>
      </c>
      <c r="K155" s="205">
        <f t="shared" si="33"/>
        <v>0</v>
      </c>
      <c r="L155" s="250">
        <f t="shared" si="34"/>
        <v>7551450</v>
      </c>
      <c r="M155" s="292">
        <f t="shared" si="35"/>
        <v>8875500</v>
      </c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spans="1:26" ht="14.4">
      <c r="A156" s="693"/>
      <c r="B156" s="291" t="s">
        <v>258</v>
      </c>
      <c r="C156" s="227">
        <v>39</v>
      </c>
      <c r="D156" s="293"/>
      <c r="E156" s="201"/>
      <c r="F156" s="202">
        <f t="shared" si="31"/>
        <v>39</v>
      </c>
      <c r="G156" s="203">
        <v>36400</v>
      </c>
      <c r="H156" s="203">
        <v>44000</v>
      </c>
      <c r="I156" s="204"/>
      <c r="J156" s="205">
        <f t="shared" si="32"/>
        <v>0</v>
      </c>
      <c r="K156" s="205">
        <f t="shared" si="33"/>
        <v>0</v>
      </c>
      <c r="L156" s="250">
        <f t="shared" si="34"/>
        <v>1419600</v>
      </c>
      <c r="M156" s="292">
        <f t="shared" si="35"/>
        <v>1716000</v>
      </c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spans="1:26" ht="14.4">
      <c r="A157" s="693"/>
      <c r="B157" s="291" t="s">
        <v>259</v>
      </c>
      <c r="C157" s="229"/>
      <c r="D157" s="201"/>
      <c r="E157" s="201"/>
      <c r="F157" s="202">
        <f t="shared" si="31"/>
        <v>0</v>
      </c>
      <c r="G157" s="203">
        <v>7223</v>
      </c>
      <c r="H157" s="203">
        <v>8000</v>
      </c>
      <c r="I157" s="204"/>
      <c r="J157" s="205">
        <f t="shared" si="32"/>
        <v>0</v>
      </c>
      <c r="K157" s="205">
        <f t="shared" si="33"/>
        <v>0</v>
      </c>
      <c r="L157" s="250">
        <f t="shared" si="34"/>
        <v>0</v>
      </c>
      <c r="M157" s="292">
        <f t="shared" si="35"/>
        <v>0</v>
      </c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spans="1:26" ht="14.4">
      <c r="A158" s="693"/>
      <c r="B158" s="294" t="s">
        <v>260</v>
      </c>
      <c r="C158" s="295"/>
      <c r="D158" s="296"/>
      <c r="E158" s="296"/>
      <c r="F158" s="297">
        <f t="shared" si="31"/>
        <v>0</v>
      </c>
      <c r="G158" s="298">
        <v>10200</v>
      </c>
      <c r="H158" s="298">
        <v>12000</v>
      </c>
      <c r="I158" s="299"/>
      <c r="J158" s="300">
        <f t="shared" si="32"/>
        <v>0</v>
      </c>
      <c r="K158" s="300">
        <f t="shared" si="33"/>
        <v>0</v>
      </c>
      <c r="L158" s="301">
        <f t="shared" si="34"/>
        <v>0</v>
      </c>
      <c r="M158" s="302">
        <f t="shared" si="35"/>
        <v>0</v>
      </c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spans="1:26" ht="14.4">
      <c r="A159" s="694"/>
      <c r="B159" s="303"/>
      <c r="C159" s="304">
        <f t="shared" ref="C159:M159" si="36">SUM(C148:C158)</f>
        <v>353</v>
      </c>
      <c r="D159" s="304">
        <f t="shared" si="36"/>
        <v>0</v>
      </c>
      <c r="E159" s="304">
        <f t="shared" si="36"/>
        <v>0</v>
      </c>
      <c r="F159" s="305">
        <f t="shared" si="36"/>
        <v>353</v>
      </c>
      <c r="G159" s="306">
        <f t="shared" si="36"/>
        <v>311523</v>
      </c>
      <c r="H159" s="306">
        <f t="shared" si="36"/>
        <v>355900</v>
      </c>
      <c r="I159" s="307">
        <f t="shared" si="36"/>
        <v>0</v>
      </c>
      <c r="J159" s="307">
        <f t="shared" si="36"/>
        <v>0</v>
      </c>
      <c r="K159" s="307">
        <f t="shared" si="36"/>
        <v>0</v>
      </c>
      <c r="L159" s="307">
        <f t="shared" si="36"/>
        <v>15815550</v>
      </c>
      <c r="M159" s="308">
        <f t="shared" si="36"/>
        <v>18563700</v>
      </c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spans="1:26" ht="14.4">
      <c r="A160" s="695"/>
      <c r="B160" s="309" t="s">
        <v>261</v>
      </c>
      <c r="C160" s="310">
        <v>1</v>
      </c>
      <c r="D160" s="311"/>
      <c r="E160" s="311"/>
      <c r="F160" s="312">
        <f t="shared" ref="F160:F182" si="37">+C160+D160-E160</f>
        <v>1</v>
      </c>
      <c r="G160" s="313">
        <v>10000</v>
      </c>
      <c r="H160" s="313">
        <v>10500</v>
      </c>
      <c r="I160" s="314"/>
      <c r="J160" s="315">
        <f t="shared" ref="J160:J182" si="38">+I160*H160</f>
        <v>0</v>
      </c>
      <c r="K160" s="315">
        <f t="shared" ref="K160:K182" si="39">+(H160-G160)*I160</f>
        <v>0</v>
      </c>
      <c r="L160" s="316">
        <f t="shared" ref="L160:L182" si="40">+G160*F160</f>
        <v>10000</v>
      </c>
      <c r="M160" s="317">
        <f t="shared" ref="M160:M182" si="41">F160*H160</f>
        <v>10500</v>
      </c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spans="1:26" ht="14.4">
      <c r="A161" s="696"/>
      <c r="B161" s="318" t="s">
        <v>262</v>
      </c>
      <c r="C161" s="227"/>
      <c r="D161" s="201"/>
      <c r="E161" s="201"/>
      <c r="F161" s="202">
        <f t="shared" si="37"/>
        <v>0</v>
      </c>
      <c r="G161" s="203">
        <v>12000</v>
      </c>
      <c r="H161" s="203">
        <v>15000</v>
      </c>
      <c r="I161" s="224"/>
      <c r="J161" s="205">
        <f t="shared" si="38"/>
        <v>0</v>
      </c>
      <c r="K161" s="205">
        <f t="shared" si="39"/>
        <v>0</v>
      </c>
      <c r="L161" s="319">
        <f t="shared" si="40"/>
        <v>0</v>
      </c>
      <c r="M161" s="320">
        <f t="shared" si="41"/>
        <v>0</v>
      </c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spans="1:26" ht="14.4">
      <c r="A162" s="696"/>
      <c r="B162" s="318" t="s">
        <v>263</v>
      </c>
      <c r="C162" s="227">
        <v>1</v>
      </c>
      <c r="D162" s="201"/>
      <c r="E162" s="201"/>
      <c r="F162" s="202">
        <f t="shared" si="37"/>
        <v>1</v>
      </c>
      <c r="G162" s="203">
        <v>14000</v>
      </c>
      <c r="H162" s="203">
        <v>17000</v>
      </c>
      <c r="I162" s="224"/>
      <c r="J162" s="205">
        <f t="shared" si="38"/>
        <v>0</v>
      </c>
      <c r="K162" s="205">
        <f t="shared" si="39"/>
        <v>0</v>
      </c>
      <c r="L162" s="319">
        <f t="shared" si="40"/>
        <v>14000</v>
      </c>
      <c r="M162" s="320">
        <f t="shared" si="41"/>
        <v>17000</v>
      </c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spans="1:26" ht="14.4">
      <c r="A163" s="696"/>
      <c r="B163" s="318" t="s">
        <v>264</v>
      </c>
      <c r="C163" s="227">
        <v>4</v>
      </c>
      <c r="D163" s="201"/>
      <c r="E163" s="201"/>
      <c r="F163" s="202">
        <f t="shared" si="37"/>
        <v>4</v>
      </c>
      <c r="G163" s="203">
        <v>7200</v>
      </c>
      <c r="H163" s="203">
        <v>8000</v>
      </c>
      <c r="I163" s="224"/>
      <c r="J163" s="205">
        <f t="shared" si="38"/>
        <v>0</v>
      </c>
      <c r="K163" s="205">
        <f t="shared" si="39"/>
        <v>0</v>
      </c>
      <c r="L163" s="319">
        <f t="shared" si="40"/>
        <v>28800</v>
      </c>
      <c r="M163" s="320">
        <f t="shared" si="41"/>
        <v>32000</v>
      </c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spans="1:26" ht="14.4">
      <c r="A164" s="696"/>
      <c r="B164" s="318" t="s">
        <v>265</v>
      </c>
      <c r="C164" s="227">
        <v>4</v>
      </c>
      <c r="D164" s="201"/>
      <c r="E164" s="321"/>
      <c r="F164" s="202">
        <f t="shared" si="37"/>
        <v>4</v>
      </c>
      <c r="G164" s="203">
        <v>10000</v>
      </c>
      <c r="H164" s="203">
        <v>12000</v>
      </c>
      <c r="I164" s="224"/>
      <c r="J164" s="205">
        <f t="shared" si="38"/>
        <v>0</v>
      </c>
      <c r="K164" s="205">
        <f t="shared" si="39"/>
        <v>0</v>
      </c>
      <c r="L164" s="319">
        <f t="shared" si="40"/>
        <v>40000</v>
      </c>
      <c r="M164" s="320">
        <f t="shared" si="41"/>
        <v>48000</v>
      </c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spans="1:26" ht="14.4">
      <c r="A165" s="696"/>
      <c r="B165" s="322" t="s">
        <v>266</v>
      </c>
      <c r="C165" s="227">
        <v>4</v>
      </c>
      <c r="D165" s="201"/>
      <c r="E165" s="321"/>
      <c r="F165" s="202">
        <f t="shared" si="37"/>
        <v>4</v>
      </c>
      <c r="G165" s="203">
        <v>11000</v>
      </c>
      <c r="H165" s="203">
        <v>12500</v>
      </c>
      <c r="I165" s="204"/>
      <c r="J165" s="205">
        <f t="shared" si="38"/>
        <v>0</v>
      </c>
      <c r="K165" s="205">
        <f t="shared" si="39"/>
        <v>0</v>
      </c>
      <c r="L165" s="323">
        <f t="shared" si="40"/>
        <v>44000</v>
      </c>
      <c r="M165" s="320">
        <f t="shared" si="41"/>
        <v>50000</v>
      </c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spans="1:26" ht="14.4">
      <c r="A166" s="696"/>
      <c r="B166" s="322" t="s">
        <v>267</v>
      </c>
      <c r="C166" s="227">
        <v>61</v>
      </c>
      <c r="D166" s="201"/>
      <c r="E166" s="321"/>
      <c r="F166" s="202">
        <f t="shared" si="37"/>
        <v>61</v>
      </c>
      <c r="G166" s="203">
        <v>2500</v>
      </c>
      <c r="H166" s="203">
        <v>3000</v>
      </c>
      <c r="I166" s="204"/>
      <c r="J166" s="205">
        <f t="shared" si="38"/>
        <v>0</v>
      </c>
      <c r="K166" s="205">
        <f t="shared" si="39"/>
        <v>0</v>
      </c>
      <c r="L166" s="323">
        <f t="shared" si="40"/>
        <v>152500</v>
      </c>
      <c r="M166" s="320">
        <f t="shared" si="41"/>
        <v>183000</v>
      </c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spans="1:26" ht="14.4">
      <c r="A167" s="696"/>
      <c r="B167" s="322" t="s">
        <v>268</v>
      </c>
      <c r="C167" s="227"/>
      <c r="D167" s="201"/>
      <c r="E167" s="321"/>
      <c r="F167" s="202">
        <f t="shared" si="37"/>
        <v>0</v>
      </c>
      <c r="G167" s="203">
        <v>13000</v>
      </c>
      <c r="H167" s="203">
        <v>15000</v>
      </c>
      <c r="I167" s="204"/>
      <c r="J167" s="205">
        <f t="shared" si="38"/>
        <v>0</v>
      </c>
      <c r="K167" s="205">
        <f t="shared" si="39"/>
        <v>0</v>
      </c>
      <c r="L167" s="323">
        <f t="shared" si="40"/>
        <v>0</v>
      </c>
      <c r="M167" s="320">
        <f t="shared" si="41"/>
        <v>0</v>
      </c>
      <c r="N167" s="191"/>
      <c r="O167" s="191"/>
      <c r="P167" s="324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spans="1:26" ht="14.4">
      <c r="A168" s="696"/>
      <c r="B168" s="318" t="s">
        <v>269</v>
      </c>
      <c r="C168" s="229">
        <v>5</v>
      </c>
      <c r="D168" s="201"/>
      <c r="E168" s="321"/>
      <c r="F168" s="202">
        <f t="shared" si="37"/>
        <v>5</v>
      </c>
      <c r="G168" s="203">
        <v>26000</v>
      </c>
      <c r="H168" s="203">
        <v>28000</v>
      </c>
      <c r="I168" s="204"/>
      <c r="J168" s="205">
        <f t="shared" si="38"/>
        <v>0</v>
      </c>
      <c r="K168" s="205">
        <f t="shared" si="39"/>
        <v>0</v>
      </c>
      <c r="L168" s="323">
        <f t="shared" si="40"/>
        <v>130000</v>
      </c>
      <c r="M168" s="320">
        <f t="shared" si="41"/>
        <v>140000</v>
      </c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spans="1:26" ht="14.4">
      <c r="A169" s="696"/>
      <c r="B169" s="318" t="s">
        <v>270</v>
      </c>
      <c r="C169" s="229">
        <v>15</v>
      </c>
      <c r="D169" s="201"/>
      <c r="E169" s="321"/>
      <c r="F169" s="202">
        <f t="shared" si="37"/>
        <v>15</v>
      </c>
      <c r="G169" s="203">
        <v>13600</v>
      </c>
      <c r="H169" s="203">
        <v>15000</v>
      </c>
      <c r="I169" s="204"/>
      <c r="J169" s="205">
        <f t="shared" si="38"/>
        <v>0</v>
      </c>
      <c r="K169" s="205">
        <f t="shared" si="39"/>
        <v>0</v>
      </c>
      <c r="L169" s="323">
        <f t="shared" si="40"/>
        <v>204000</v>
      </c>
      <c r="M169" s="320">
        <f t="shared" si="41"/>
        <v>225000</v>
      </c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spans="1:26" ht="14.4">
      <c r="A170" s="696"/>
      <c r="B170" s="318" t="s">
        <v>271</v>
      </c>
      <c r="C170" s="227">
        <v>2</v>
      </c>
      <c r="D170" s="201"/>
      <c r="E170" s="321"/>
      <c r="F170" s="202">
        <f t="shared" si="37"/>
        <v>2</v>
      </c>
      <c r="G170" s="203">
        <v>30000</v>
      </c>
      <c r="H170" s="203">
        <v>36000</v>
      </c>
      <c r="I170" s="204"/>
      <c r="J170" s="205">
        <f t="shared" si="38"/>
        <v>0</v>
      </c>
      <c r="K170" s="205">
        <f t="shared" si="39"/>
        <v>0</v>
      </c>
      <c r="L170" s="323">
        <f t="shared" si="40"/>
        <v>60000</v>
      </c>
      <c r="M170" s="320">
        <f t="shared" si="41"/>
        <v>72000</v>
      </c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spans="1:26" ht="14.4">
      <c r="A171" s="696"/>
      <c r="B171" s="322" t="s">
        <v>272</v>
      </c>
      <c r="C171" s="227">
        <v>5</v>
      </c>
      <c r="D171" s="201"/>
      <c r="E171" s="321"/>
      <c r="F171" s="202">
        <f t="shared" si="37"/>
        <v>5</v>
      </c>
      <c r="G171" s="203">
        <v>20400</v>
      </c>
      <c r="H171" s="203">
        <v>24000</v>
      </c>
      <c r="I171" s="204"/>
      <c r="J171" s="205">
        <f t="shared" si="38"/>
        <v>0</v>
      </c>
      <c r="K171" s="205">
        <f t="shared" si="39"/>
        <v>0</v>
      </c>
      <c r="L171" s="323">
        <f t="shared" si="40"/>
        <v>102000</v>
      </c>
      <c r="M171" s="320">
        <f t="shared" si="41"/>
        <v>120000</v>
      </c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spans="1:26" ht="14.4">
      <c r="A172" s="696"/>
      <c r="B172" s="322" t="s">
        <v>273</v>
      </c>
      <c r="C172" s="227">
        <v>4</v>
      </c>
      <c r="D172" s="201"/>
      <c r="E172" s="321"/>
      <c r="F172" s="202">
        <f t="shared" si="37"/>
        <v>4</v>
      </c>
      <c r="G172" s="203">
        <v>18700</v>
      </c>
      <c r="H172" s="203">
        <v>22000</v>
      </c>
      <c r="I172" s="204"/>
      <c r="J172" s="205">
        <f t="shared" si="38"/>
        <v>0</v>
      </c>
      <c r="K172" s="205">
        <f t="shared" si="39"/>
        <v>0</v>
      </c>
      <c r="L172" s="323">
        <f t="shared" si="40"/>
        <v>74800</v>
      </c>
      <c r="M172" s="320">
        <f t="shared" si="41"/>
        <v>88000</v>
      </c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spans="1:26" ht="14.4">
      <c r="A173" s="696"/>
      <c r="B173" s="322" t="s">
        <v>274</v>
      </c>
      <c r="C173" s="227">
        <v>22</v>
      </c>
      <c r="D173" s="201"/>
      <c r="E173" s="321"/>
      <c r="F173" s="202">
        <f t="shared" si="37"/>
        <v>22</v>
      </c>
      <c r="G173" s="203">
        <v>10800</v>
      </c>
      <c r="H173" s="203">
        <v>13500</v>
      </c>
      <c r="I173" s="204"/>
      <c r="J173" s="205">
        <f t="shared" si="38"/>
        <v>0</v>
      </c>
      <c r="K173" s="205">
        <f t="shared" si="39"/>
        <v>0</v>
      </c>
      <c r="L173" s="323">
        <f t="shared" si="40"/>
        <v>237600</v>
      </c>
      <c r="M173" s="320">
        <f t="shared" si="41"/>
        <v>297000</v>
      </c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spans="1:26" ht="14.4">
      <c r="A174" s="696"/>
      <c r="B174" s="322" t="s">
        <v>275</v>
      </c>
      <c r="C174" s="227">
        <v>16.5</v>
      </c>
      <c r="D174" s="201"/>
      <c r="E174" s="321"/>
      <c r="F174" s="202">
        <f t="shared" si="37"/>
        <v>16.5</v>
      </c>
      <c r="G174" s="203">
        <v>13300</v>
      </c>
      <c r="H174" s="203">
        <v>15000</v>
      </c>
      <c r="I174" s="204"/>
      <c r="J174" s="205">
        <f t="shared" si="38"/>
        <v>0</v>
      </c>
      <c r="K174" s="205">
        <f t="shared" si="39"/>
        <v>0</v>
      </c>
      <c r="L174" s="323">
        <f t="shared" si="40"/>
        <v>219450</v>
      </c>
      <c r="M174" s="320">
        <f t="shared" si="41"/>
        <v>247500</v>
      </c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spans="1:26" ht="14.4">
      <c r="A175" s="696"/>
      <c r="B175" s="322" t="s">
        <v>276</v>
      </c>
      <c r="C175" s="227">
        <v>4</v>
      </c>
      <c r="D175" s="201"/>
      <c r="E175" s="321"/>
      <c r="F175" s="202">
        <f t="shared" si="37"/>
        <v>4</v>
      </c>
      <c r="G175" s="203">
        <v>22000</v>
      </c>
      <c r="H175" s="203">
        <v>25000</v>
      </c>
      <c r="I175" s="204"/>
      <c r="J175" s="205">
        <f t="shared" si="38"/>
        <v>0</v>
      </c>
      <c r="K175" s="205">
        <f t="shared" si="39"/>
        <v>0</v>
      </c>
      <c r="L175" s="323">
        <f t="shared" si="40"/>
        <v>88000</v>
      </c>
      <c r="M175" s="320">
        <f t="shared" si="41"/>
        <v>100000</v>
      </c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spans="1:26" ht="14.4">
      <c r="A176" s="696"/>
      <c r="B176" s="322" t="s">
        <v>277</v>
      </c>
      <c r="C176" s="227">
        <v>5</v>
      </c>
      <c r="D176" s="201"/>
      <c r="E176" s="321"/>
      <c r="F176" s="202">
        <f t="shared" si="37"/>
        <v>5</v>
      </c>
      <c r="G176" s="203">
        <v>2500</v>
      </c>
      <c r="H176" s="203">
        <v>3000</v>
      </c>
      <c r="I176" s="204"/>
      <c r="J176" s="205">
        <f t="shared" si="38"/>
        <v>0</v>
      </c>
      <c r="K176" s="205">
        <f t="shared" si="39"/>
        <v>0</v>
      </c>
      <c r="L176" s="323">
        <f t="shared" si="40"/>
        <v>12500</v>
      </c>
      <c r="M176" s="320">
        <f t="shared" si="41"/>
        <v>15000</v>
      </c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spans="1:26" ht="14.4">
      <c r="A177" s="696"/>
      <c r="B177" s="318" t="s">
        <v>278</v>
      </c>
      <c r="C177" s="227">
        <v>14</v>
      </c>
      <c r="D177" s="201"/>
      <c r="E177" s="321"/>
      <c r="F177" s="202">
        <f t="shared" si="37"/>
        <v>14</v>
      </c>
      <c r="G177" s="203">
        <v>12500</v>
      </c>
      <c r="H177" s="203">
        <v>13500</v>
      </c>
      <c r="I177" s="204"/>
      <c r="J177" s="205">
        <f t="shared" si="38"/>
        <v>0</v>
      </c>
      <c r="K177" s="205">
        <f t="shared" si="39"/>
        <v>0</v>
      </c>
      <c r="L177" s="323">
        <f t="shared" si="40"/>
        <v>175000</v>
      </c>
      <c r="M177" s="320">
        <f t="shared" si="41"/>
        <v>189000</v>
      </c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spans="1:26" ht="14.4">
      <c r="A178" s="696"/>
      <c r="B178" s="318" t="s">
        <v>279</v>
      </c>
      <c r="C178" s="227">
        <v>4</v>
      </c>
      <c r="D178" s="201"/>
      <c r="E178" s="321"/>
      <c r="F178" s="202">
        <f t="shared" si="37"/>
        <v>4</v>
      </c>
      <c r="G178" s="203">
        <v>15000</v>
      </c>
      <c r="H178" s="203">
        <v>16500</v>
      </c>
      <c r="I178" s="204"/>
      <c r="J178" s="205">
        <f t="shared" si="38"/>
        <v>0</v>
      </c>
      <c r="K178" s="205">
        <f t="shared" si="39"/>
        <v>0</v>
      </c>
      <c r="L178" s="323">
        <f t="shared" si="40"/>
        <v>60000</v>
      </c>
      <c r="M178" s="320">
        <f t="shared" si="41"/>
        <v>66000</v>
      </c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spans="1:26" ht="14.4">
      <c r="A179" s="696"/>
      <c r="B179" s="322" t="s">
        <v>280</v>
      </c>
      <c r="C179" s="229">
        <v>8</v>
      </c>
      <c r="D179" s="201"/>
      <c r="E179" s="321"/>
      <c r="F179" s="202">
        <f t="shared" si="37"/>
        <v>8</v>
      </c>
      <c r="G179" s="203">
        <v>24000</v>
      </c>
      <c r="H179" s="203">
        <v>25000</v>
      </c>
      <c r="I179" s="204"/>
      <c r="J179" s="205">
        <f t="shared" si="38"/>
        <v>0</v>
      </c>
      <c r="K179" s="205">
        <f t="shared" si="39"/>
        <v>0</v>
      </c>
      <c r="L179" s="323">
        <f t="shared" si="40"/>
        <v>192000</v>
      </c>
      <c r="M179" s="320">
        <f t="shared" si="41"/>
        <v>200000</v>
      </c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spans="1:26" ht="14.4">
      <c r="A180" s="696"/>
      <c r="B180" s="322" t="s">
        <v>660</v>
      </c>
      <c r="C180" s="227">
        <v>2</v>
      </c>
      <c r="D180" s="201"/>
      <c r="E180" s="321"/>
      <c r="F180" s="202">
        <f t="shared" si="37"/>
        <v>2</v>
      </c>
      <c r="G180" s="203">
        <v>13000</v>
      </c>
      <c r="H180" s="203">
        <v>15000</v>
      </c>
      <c r="I180" s="204"/>
      <c r="J180" s="205">
        <f t="shared" si="38"/>
        <v>0</v>
      </c>
      <c r="K180" s="205">
        <f t="shared" si="39"/>
        <v>0</v>
      </c>
      <c r="L180" s="323">
        <f t="shared" si="40"/>
        <v>26000</v>
      </c>
      <c r="M180" s="320">
        <f t="shared" si="41"/>
        <v>30000</v>
      </c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spans="1:26" ht="14.4">
      <c r="A181" s="696"/>
      <c r="B181" s="318" t="s">
        <v>281</v>
      </c>
      <c r="C181" s="227">
        <v>4</v>
      </c>
      <c r="D181" s="201"/>
      <c r="E181" s="321"/>
      <c r="F181" s="202">
        <f t="shared" si="37"/>
        <v>4</v>
      </c>
      <c r="G181" s="203">
        <v>7800</v>
      </c>
      <c r="H181" s="203">
        <v>9000</v>
      </c>
      <c r="I181" s="204"/>
      <c r="J181" s="205">
        <f t="shared" si="38"/>
        <v>0</v>
      </c>
      <c r="K181" s="205">
        <f t="shared" si="39"/>
        <v>0</v>
      </c>
      <c r="L181" s="323">
        <f t="shared" si="40"/>
        <v>31200</v>
      </c>
      <c r="M181" s="320">
        <f t="shared" si="41"/>
        <v>36000</v>
      </c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spans="1:26" ht="14.4">
      <c r="A182" s="697"/>
      <c r="B182" s="318" t="s">
        <v>282</v>
      </c>
      <c r="C182" s="325">
        <v>7</v>
      </c>
      <c r="D182" s="201"/>
      <c r="E182" s="321"/>
      <c r="F182" s="202">
        <f t="shared" si="37"/>
        <v>7</v>
      </c>
      <c r="G182" s="239">
        <v>11300</v>
      </c>
      <c r="H182" s="239">
        <v>13500</v>
      </c>
      <c r="I182" s="213"/>
      <c r="J182" s="205">
        <f t="shared" si="38"/>
        <v>0</v>
      </c>
      <c r="K182" s="205">
        <f t="shared" si="39"/>
        <v>0</v>
      </c>
      <c r="L182" s="323">
        <f t="shared" si="40"/>
        <v>79100</v>
      </c>
      <c r="M182" s="320">
        <f t="shared" si="41"/>
        <v>94500</v>
      </c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spans="1:26" ht="14.4">
      <c r="A183" s="326"/>
      <c r="B183" s="327"/>
      <c r="C183" s="328"/>
      <c r="D183" s="329"/>
      <c r="E183" s="329"/>
      <c r="F183" s="330"/>
      <c r="G183" s="331"/>
      <c r="H183" s="331"/>
      <c r="I183" s="332"/>
      <c r="J183" s="333"/>
      <c r="K183" s="333"/>
      <c r="L183" s="334">
        <f t="shared" ref="L183:M183" si="42">SUM(L160:L182)</f>
        <v>1980950</v>
      </c>
      <c r="M183" s="334">
        <f t="shared" si="42"/>
        <v>2260500</v>
      </c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spans="1:26" ht="14.4">
      <c r="A184" s="326"/>
      <c r="B184" s="230" t="s">
        <v>283</v>
      </c>
      <c r="C184" s="335">
        <v>33</v>
      </c>
      <c r="D184" s="201"/>
      <c r="E184" s="201"/>
      <c r="F184" s="202">
        <f t="shared" ref="F184:F243" si="43">+C184+D184-E184</f>
        <v>33</v>
      </c>
      <c r="G184" s="203">
        <v>13100</v>
      </c>
      <c r="H184" s="203">
        <v>14500</v>
      </c>
      <c r="I184" s="224"/>
      <c r="J184" s="205">
        <f t="shared" ref="J184:J243" si="44">+I184*H184</f>
        <v>0</v>
      </c>
      <c r="K184" s="205">
        <f t="shared" ref="K184:K243" si="45">+(H184-G184)*I184</f>
        <v>0</v>
      </c>
      <c r="L184" s="319">
        <f t="shared" ref="L184:L243" si="46">+G184*F184</f>
        <v>432300</v>
      </c>
      <c r="M184" s="336">
        <f t="shared" ref="M184:M243" si="47">F184*H184</f>
        <v>478500</v>
      </c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spans="1:26" ht="14.4">
      <c r="A185" s="326"/>
      <c r="B185" s="230" t="s">
        <v>284</v>
      </c>
      <c r="C185" s="229">
        <v>5</v>
      </c>
      <c r="D185" s="201"/>
      <c r="E185" s="191"/>
      <c r="F185" s="202">
        <f t="shared" si="43"/>
        <v>5</v>
      </c>
      <c r="G185" s="203">
        <v>27200</v>
      </c>
      <c r="H185" s="203">
        <v>32000</v>
      </c>
      <c r="I185" s="204"/>
      <c r="J185" s="205">
        <f t="shared" si="44"/>
        <v>0</v>
      </c>
      <c r="K185" s="205">
        <f t="shared" si="45"/>
        <v>0</v>
      </c>
      <c r="L185" s="319">
        <f t="shared" si="46"/>
        <v>136000</v>
      </c>
      <c r="M185" s="336">
        <f t="shared" si="47"/>
        <v>160000</v>
      </c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spans="1:26" ht="14.4">
      <c r="A186" s="326"/>
      <c r="B186" s="230" t="s">
        <v>285</v>
      </c>
      <c r="C186" s="229">
        <v>4</v>
      </c>
      <c r="D186" s="201"/>
      <c r="E186" s="201"/>
      <c r="F186" s="202">
        <f t="shared" si="43"/>
        <v>4</v>
      </c>
      <c r="G186" s="203">
        <v>15100</v>
      </c>
      <c r="H186" s="203">
        <v>23200</v>
      </c>
      <c r="I186" s="204"/>
      <c r="J186" s="205">
        <f t="shared" si="44"/>
        <v>0</v>
      </c>
      <c r="K186" s="205">
        <f t="shared" si="45"/>
        <v>0</v>
      </c>
      <c r="L186" s="319">
        <f t="shared" si="46"/>
        <v>60400</v>
      </c>
      <c r="M186" s="336">
        <f t="shared" si="47"/>
        <v>92800</v>
      </c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spans="1:26" ht="14.4">
      <c r="A187" s="326"/>
      <c r="B187" s="230" t="s">
        <v>286</v>
      </c>
      <c r="C187" s="227">
        <v>2</v>
      </c>
      <c r="D187" s="201"/>
      <c r="E187" s="201"/>
      <c r="F187" s="202">
        <f t="shared" si="43"/>
        <v>2</v>
      </c>
      <c r="G187" s="203">
        <v>17400</v>
      </c>
      <c r="H187" s="203">
        <v>28800</v>
      </c>
      <c r="I187" s="204"/>
      <c r="J187" s="205">
        <f t="shared" si="44"/>
        <v>0</v>
      </c>
      <c r="K187" s="205">
        <f t="shared" si="45"/>
        <v>0</v>
      </c>
      <c r="L187" s="319">
        <f t="shared" si="46"/>
        <v>34800</v>
      </c>
      <c r="M187" s="336">
        <f t="shared" si="47"/>
        <v>57600</v>
      </c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spans="1:26" ht="14.4">
      <c r="A188" s="326"/>
      <c r="B188" s="230" t="s">
        <v>287</v>
      </c>
      <c r="C188" s="227">
        <v>1</v>
      </c>
      <c r="D188" s="201"/>
      <c r="E188" s="201"/>
      <c r="F188" s="202">
        <f t="shared" si="43"/>
        <v>1</v>
      </c>
      <c r="G188" s="203">
        <v>13600</v>
      </c>
      <c r="H188" s="203">
        <v>15000</v>
      </c>
      <c r="I188" s="204"/>
      <c r="J188" s="205">
        <f t="shared" si="44"/>
        <v>0</v>
      </c>
      <c r="K188" s="205">
        <f t="shared" si="45"/>
        <v>0</v>
      </c>
      <c r="L188" s="319">
        <f t="shared" si="46"/>
        <v>13600</v>
      </c>
      <c r="M188" s="336">
        <f t="shared" si="47"/>
        <v>15000</v>
      </c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spans="1:26" ht="14.4">
      <c r="A189" s="326"/>
      <c r="B189" s="230" t="s">
        <v>288</v>
      </c>
      <c r="C189" s="227"/>
      <c r="D189" s="201"/>
      <c r="E189" s="201"/>
      <c r="F189" s="202">
        <f t="shared" si="43"/>
        <v>0</v>
      </c>
      <c r="G189" s="203">
        <v>11000</v>
      </c>
      <c r="H189" s="203">
        <v>12000</v>
      </c>
      <c r="I189" s="204"/>
      <c r="J189" s="205">
        <f t="shared" si="44"/>
        <v>0</v>
      </c>
      <c r="K189" s="205">
        <f t="shared" si="45"/>
        <v>0</v>
      </c>
      <c r="L189" s="319">
        <f t="shared" si="46"/>
        <v>0</v>
      </c>
      <c r="M189" s="336">
        <f t="shared" si="47"/>
        <v>0</v>
      </c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spans="1:26" ht="14.4">
      <c r="A190" s="326"/>
      <c r="B190" s="230" t="s">
        <v>289</v>
      </c>
      <c r="C190" s="229"/>
      <c r="D190" s="201"/>
      <c r="E190" s="201"/>
      <c r="F190" s="202">
        <f t="shared" si="43"/>
        <v>0</v>
      </c>
      <c r="G190" s="203">
        <v>24100</v>
      </c>
      <c r="H190" s="203">
        <v>35000</v>
      </c>
      <c r="I190" s="204"/>
      <c r="J190" s="205">
        <f t="shared" si="44"/>
        <v>0</v>
      </c>
      <c r="K190" s="205">
        <f t="shared" si="45"/>
        <v>0</v>
      </c>
      <c r="L190" s="319">
        <f t="shared" si="46"/>
        <v>0</v>
      </c>
      <c r="M190" s="336">
        <f t="shared" si="47"/>
        <v>0</v>
      </c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spans="1:26" ht="14.4">
      <c r="A191" s="326"/>
      <c r="B191" s="230" t="s">
        <v>290</v>
      </c>
      <c r="C191" s="229">
        <v>5</v>
      </c>
      <c r="D191" s="201"/>
      <c r="E191" s="201"/>
      <c r="F191" s="202">
        <f t="shared" si="43"/>
        <v>5</v>
      </c>
      <c r="G191" s="203">
        <v>7500</v>
      </c>
      <c r="H191" s="203">
        <v>12500</v>
      </c>
      <c r="I191" s="204"/>
      <c r="J191" s="205">
        <f t="shared" si="44"/>
        <v>0</v>
      </c>
      <c r="K191" s="205">
        <f t="shared" si="45"/>
        <v>0</v>
      </c>
      <c r="L191" s="319">
        <f t="shared" si="46"/>
        <v>37500</v>
      </c>
      <c r="M191" s="336">
        <f t="shared" si="47"/>
        <v>62500</v>
      </c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spans="1:26" ht="14.4">
      <c r="A192" s="326"/>
      <c r="B192" s="230" t="s">
        <v>291</v>
      </c>
      <c r="C192" s="227">
        <v>8</v>
      </c>
      <c r="D192" s="201"/>
      <c r="E192" s="201"/>
      <c r="F192" s="202">
        <f t="shared" si="43"/>
        <v>8</v>
      </c>
      <c r="G192" s="203">
        <v>27200</v>
      </c>
      <c r="H192" s="203">
        <v>32000</v>
      </c>
      <c r="I192" s="204"/>
      <c r="J192" s="205">
        <f t="shared" si="44"/>
        <v>0</v>
      </c>
      <c r="K192" s="205">
        <f t="shared" si="45"/>
        <v>0</v>
      </c>
      <c r="L192" s="319">
        <f t="shared" si="46"/>
        <v>217600</v>
      </c>
      <c r="M192" s="336">
        <f t="shared" si="47"/>
        <v>256000</v>
      </c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spans="1:26" ht="14.4">
      <c r="A193" s="326"/>
      <c r="B193" s="337" t="s">
        <v>64</v>
      </c>
      <c r="C193" s="227">
        <f>20</f>
        <v>20</v>
      </c>
      <c r="D193" s="201"/>
      <c r="E193" s="201"/>
      <c r="F193" s="202">
        <f t="shared" si="43"/>
        <v>20</v>
      </c>
      <c r="G193" s="203">
        <v>31300</v>
      </c>
      <c r="H193" s="203">
        <v>36000</v>
      </c>
      <c r="I193" s="204"/>
      <c r="J193" s="205">
        <f t="shared" si="44"/>
        <v>0</v>
      </c>
      <c r="K193" s="205">
        <f t="shared" si="45"/>
        <v>0</v>
      </c>
      <c r="L193" s="319">
        <f t="shared" si="46"/>
        <v>626000</v>
      </c>
      <c r="M193" s="336">
        <f t="shared" si="47"/>
        <v>720000</v>
      </c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spans="1:26" ht="14.4">
      <c r="A194" s="326"/>
      <c r="B194" s="337" t="s">
        <v>292</v>
      </c>
      <c r="C194" s="227"/>
      <c r="D194" s="201"/>
      <c r="E194" s="201"/>
      <c r="F194" s="202">
        <f t="shared" si="43"/>
        <v>0</v>
      </c>
      <c r="G194" s="203">
        <v>30600</v>
      </c>
      <c r="H194" s="203">
        <v>36000</v>
      </c>
      <c r="I194" s="204"/>
      <c r="J194" s="205">
        <f t="shared" si="44"/>
        <v>0</v>
      </c>
      <c r="K194" s="205">
        <f t="shared" si="45"/>
        <v>0</v>
      </c>
      <c r="L194" s="319">
        <f t="shared" si="46"/>
        <v>0</v>
      </c>
      <c r="M194" s="336">
        <f t="shared" si="47"/>
        <v>0</v>
      </c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spans="1:26" ht="14.4">
      <c r="A195" s="326"/>
      <c r="B195" s="337" t="s">
        <v>293</v>
      </c>
      <c r="C195" s="227"/>
      <c r="D195" s="201"/>
      <c r="E195" s="201"/>
      <c r="F195" s="202">
        <f t="shared" si="43"/>
        <v>0</v>
      </c>
      <c r="G195" s="203">
        <v>45000</v>
      </c>
      <c r="H195" s="203">
        <v>50000</v>
      </c>
      <c r="I195" s="204"/>
      <c r="J195" s="205">
        <f t="shared" si="44"/>
        <v>0</v>
      </c>
      <c r="K195" s="205">
        <f t="shared" si="45"/>
        <v>0</v>
      </c>
      <c r="L195" s="319">
        <f t="shared" si="46"/>
        <v>0</v>
      </c>
      <c r="M195" s="336">
        <f t="shared" si="47"/>
        <v>0</v>
      </c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spans="1:26" ht="14.4">
      <c r="A196" s="326"/>
      <c r="B196" s="337" t="s">
        <v>65</v>
      </c>
      <c r="C196" s="227">
        <f>14</f>
        <v>14</v>
      </c>
      <c r="D196" s="201"/>
      <c r="E196" s="201"/>
      <c r="F196" s="202">
        <f t="shared" si="43"/>
        <v>14</v>
      </c>
      <c r="G196" s="203">
        <v>54200</v>
      </c>
      <c r="H196" s="203">
        <v>62500</v>
      </c>
      <c r="I196" s="204"/>
      <c r="J196" s="205">
        <f t="shared" si="44"/>
        <v>0</v>
      </c>
      <c r="K196" s="205">
        <f t="shared" si="45"/>
        <v>0</v>
      </c>
      <c r="L196" s="319">
        <f t="shared" si="46"/>
        <v>758800</v>
      </c>
      <c r="M196" s="336">
        <f t="shared" si="47"/>
        <v>875000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spans="1:26" ht="14.4">
      <c r="A197" s="326"/>
      <c r="B197" s="337" t="s">
        <v>294</v>
      </c>
      <c r="C197" s="227">
        <v>3</v>
      </c>
      <c r="D197" s="201"/>
      <c r="E197" s="201"/>
      <c r="F197" s="202">
        <f t="shared" si="43"/>
        <v>3</v>
      </c>
      <c r="G197" s="203">
        <v>36000</v>
      </c>
      <c r="H197" s="203">
        <v>42000</v>
      </c>
      <c r="I197" s="204"/>
      <c r="J197" s="205">
        <f t="shared" si="44"/>
        <v>0</v>
      </c>
      <c r="K197" s="205">
        <f t="shared" si="45"/>
        <v>0</v>
      </c>
      <c r="L197" s="319">
        <f t="shared" si="46"/>
        <v>108000</v>
      </c>
      <c r="M197" s="336">
        <f t="shared" si="47"/>
        <v>126000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spans="1:26" ht="14.4">
      <c r="A198" s="326"/>
      <c r="B198" s="337" t="s">
        <v>295</v>
      </c>
      <c r="C198" s="227">
        <v>5</v>
      </c>
      <c r="D198" s="201"/>
      <c r="E198" s="201"/>
      <c r="F198" s="202">
        <f t="shared" si="43"/>
        <v>5</v>
      </c>
      <c r="G198" s="203">
        <v>8700</v>
      </c>
      <c r="H198" s="203">
        <v>10000</v>
      </c>
      <c r="I198" s="204"/>
      <c r="J198" s="205">
        <f t="shared" si="44"/>
        <v>0</v>
      </c>
      <c r="K198" s="205">
        <f t="shared" si="45"/>
        <v>0</v>
      </c>
      <c r="L198" s="319">
        <f t="shared" si="46"/>
        <v>43500</v>
      </c>
      <c r="M198" s="336">
        <f t="shared" si="47"/>
        <v>50000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spans="1:26" ht="14.4">
      <c r="A199" s="326"/>
      <c r="B199" s="337" t="s">
        <v>296</v>
      </c>
      <c r="C199" s="227"/>
      <c r="D199" s="201"/>
      <c r="E199" s="201"/>
      <c r="F199" s="202">
        <f t="shared" si="43"/>
        <v>0</v>
      </c>
      <c r="G199" s="203">
        <v>52200</v>
      </c>
      <c r="H199" s="203">
        <v>62500</v>
      </c>
      <c r="I199" s="204"/>
      <c r="J199" s="205">
        <f t="shared" si="44"/>
        <v>0</v>
      </c>
      <c r="K199" s="205">
        <f t="shared" si="45"/>
        <v>0</v>
      </c>
      <c r="L199" s="319">
        <f t="shared" si="46"/>
        <v>0</v>
      </c>
      <c r="M199" s="336">
        <f t="shared" si="47"/>
        <v>0</v>
      </c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spans="1:26" ht="14.4">
      <c r="A200" s="326"/>
      <c r="B200" s="337" t="s">
        <v>297</v>
      </c>
      <c r="C200" s="227"/>
      <c r="D200" s="201"/>
      <c r="E200" s="201"/>
      <c r="F200" s="202">
        <f t="shared" si="43"/>
        <v>0</v>
      </c>
      <c r="G200" s="203">
        <v>43400</v>
      </c>
      <c r="H200" s="203">
        <v>50000</v>
      </c>
      <c r="I200" s="204"/>
      <c r="J200" s="205">
        <f t="shared" si="44"/>
        <v>0</v>
      </c>
      <c r="K200" s="205">
        <f t="shared" si="45"/>
        <v>0</v>
      </c>
      <c r="L200" s="319">
        <f t="shared" si="46"/>
        <v>0</v>
      </c>
      <c r="M200" s="336">
        <f t="shared" si="47"/>
        <v>0</v>
      </c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spans="1:26" ht="14.4">
      <c r="A201" s="326"/>
      <c r="B201" s="337" t="s">
        <v>298</v>
      </c>
      <c r="C201" s="229">
        <v>3</v>
      </c>
      <c r="D201" s="201"/>
      <c r="E201" s="201"/>
      <c r="F201" s="202">
        <f t="shared" si="43"/>
        <v>3</v>
      </c>
      <c r="G201" s="203">
        <v>30000</v>
      </c>
      <c r="H201" s="203">
        <v>32000</v>
      </c>
      <c r="I201" s="204"/>
      <c r="J201" s="205">
        <f t="shared" si="44"/>
        <v>0</v>
      </c>
      <c r="K201" s="205">
        <f t="shared" si="45"/>
        <v>0</v>
      </c>
      <c r="L201" s="319">
        <f t="shared" si="46"/>
        <v>90000</v>
      </c>
      <c r="M201" s="336">
        <f t="shared" si="47"/>
        <v>96000</v>
      </c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spans="1:26" ht="14.4">
      <c r="A202" s="326"/>
      <c r="B202" s="337" t="s">
        <v>299</v>
      </c>
      <c r="C202" s="229">
        <v>3</v>
      </c>
      <c r="D202" s="201"/>
      <c r="E202" s="201"/>
      <c r="F202" s="202">
        <f t="shared" si="43"/>
        <v>3</v>
      </c>
      <c r="G202" s="203">
        <v>35000</v>
      </c>
      <c r="H202" s="203">
        <v>36500</v>
      </c>
      <c r="I202" s="204"/>
      <c r="J202" s="205">
        <f t="shared" si="44"/>
        <v>0</v>
      </c>
      <c r="K202" s="205">
        <f t="shared" si="45"/>
        <v>0</v>
      </c>
      <c r="L202" s="319">
        <f t="shared" si="46"/>
        <v>105000</v>
      </c>
      <c r="M202" s="336">
        <f t="shared" si="47"/>
        <v>109500</v>
      </c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spans="1:26" ht="14.4">
      <c r="A203" s="326"/>
      <c r="B203" s="337" t="s">
        <v>300</v>
      </c>
      <c r="C203" s="229">
        <v>4</v>
      </c>
      <c r="D203" s="201"/>
      <c r="E203" s="201"/>
      <c r="F203" s="202">
        <f t="shared" si="43"/>
        <v>4</v>
      </c>
      <c r="G203" s="203">
        <v>27000</v>
      </c>
      <c r="H203" s="203">
        <v>30000</v>
      </c>
      <c r="I203" s="204"/>
      <c r="J203" s="205">
        <f t="shared" si="44"/>
        <v>0</v>
      </c>
      <c r="K203" s="205">
        <f t="shared" si="45"/>
        <v>0</v>
      </c>
      <c r="L203" s="319">
        <f t="shared" si="46"/>
        <v>108000</v>
      </c>
      <c r="M203" s="336">
        <f t="shared" si="47"/>
        <v>120000</v>
      </c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spans="1:26" ht="14.4">
      <c r="A204" s="326"/>
      <c r="B204" s="337" t="s">
        <v>301</v>
      </c>
      <c r="C204" s="227">
        <v>79.5</v>
      </c>
      <c r="D204" s="201"/>
      <c r="E204" s="201"/>
      <c r="F204" s="202">
        <f t="shared" si="43"/>
        <v>79.5</v>
      </c>
      <c r="G204" s="203">
        <v>16700</v>
      </c>
      <c r="H204" s="203">
        <v>19200</v>
      </c>
      <c r="I204" s="204"/>
      <c r="J204" s="205">
        <f t="shared" si="44"/>
        <v>0</v>
      </c>
      <c r="K204" s="205">
        <f t="shared" si="45"/>
        <v>0</v>
      </c>
      <c r="L204" s="319">
        <f t="shared" si="46"/>
        <v>1327650</v>
      </c>
      <c r="M204" s="336">
        <f t="shared" si="47"/>
        <v>1526400</v>
      </c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spans="1:26" ht="14.4">
      <c r="A205" s="326"/>
      <c r="B205" s="337" t="s">
        <v>302</v>
      </c>
      <c r="C205" s="227">
        <f>127</f>
        <v>127</v>
      </c>
      <c r="D205" s="201"/>
      <c r="E205" s="201"/>
      <c r="F205" s="202">
        <f t="shared" si="43"/>
        <v>127</v>
      </c>
      <c r="G205" s="203">
        <v>57000</v>
      </c>
      <c r="H205" s="203">
        <v>65000</v>
      </c>
      <c r="I205" s="204"/>
      <c r="J205" s="205">
        <f t="shared" si="44"/>
        <v>0</v>
      </c>
      <c r="K205" s="205">
        <f t="shared" si="45"/>
        <v>0</v>
      </c>
      <c r="L205" s="319">
        <f t="shared" si="46"/>
        <v>7239000</v>
      </c>
      <c r="M205" s="336">
        <f t="shared" si="47"/>
        <v>8255000</v>
      </c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spans="1:26" ht="14.4">
      <c r="A206" s="326"/>
      <c r="B206" s="337" t="s">
        <v>303</v>
      </c>
      <c r="C206" s="227">
        <v>27</v>
      </c>
      <c r="D206" s="201"/>
      <c r="E206" s="201"/>
      <c r="F206" s="202">
        <f t="shared" si="43"/>
        <v>27</v>
      </c>
      <c r="G206" s="203">
        <v>43000</v>
      </c>
      <c r="H206" s="203">
        <v>45000</v>
      </c>
      <c r="I206" s="204"/>
      <c r="J206" s="205">
        <f t="shared" si="44"/>
        <v>0</v>
      </c>
      <c r="K206" s="205">
        <f t="shared" si="45"/>
        <v>0</v>
      </c>
      <c r="L206" s="319">
        <f t="shared" si="46"/>
        <v>1161000</v>
      </c>
      <c r="M206" s="336">
        <f t="shared" si="47"/>
        <v>1215000</v>
      </c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spans="1:26" ht="14.4">
      <c r="A207" s="326"/>
      <c r="B207" s="337" t="s">
        <v>304</v>
      </c>
      <c r="C207" s="227">
        <v>3</v>
      </c>
      <c r="D207" s="201"/>
      <c r="E207" s="201"/>
      <c r="F207" s="202">
        <f t="shared" si="43"/>
        <v>3</v>
      </c>
      <c r="G207" s="203">
        <v>45700</v>
      </c>
      <c r="H207" s="203">
        <v>50000</v>
      </c>
      <c r="I207" s="204"/>
      <c r="J207" s="205">
        <f t="shared" si="44"/>
        <v>0</v>
      </c>
      <c r="K207" s="205">
        <f t="shared" si="45"/>
        <v>0</v>
      </c>
      <c r="L207" s="319">
        <f t="shared" si="46"/>
        <v>137100</v>
      </c>
      <c r="M207" s="336">
        <f t="shared" si="47"/>
        <v>150000</v>
      </c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spans="1:26" ht="14.4">
      <c r="A208" s="326"/>
      <c r="B208" s="337" t="s">
        <v>305</v>
      </c>
      <c r="C208" s="227">
        <v>9.5</v>
      </c>
      <c r="D208" s="201"/>
      <c r="E208" s="201"/>
      <c r="F208" s="202">
        <f t="shared" si="43"/>
        <v>9.5</v>
      </c>
      <c r="G208" s="203">
        <v>48000</v>
      </c>
      <c r="H208" s="203">
        <v>55000</v>
      </c>
      <c r="I208" s="204"/>
      <c r="J208" s="205">
        <f t="shared" si="44"/>
        <v>0</v>
      </c>
      <c r="K208" s="205">
        <f t="shared" si="45"/>
        <v>0</v>
      </c>
      <c r="L208" s="319">
        <f t="shared" si="46"/>
        <v>456000</v>
      </c>
      <c r="M208" s="336">
        <f t="shared" si="47"/>
        <v>522500</v>
      </c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spans="1:26" ht="14.4">
      <c r="A209" s="326"/>
      <c r="B209" s="337" t="s">
        <v>306</v>
      </c>
      <c r="C209" s="227">
        <v>55</v>
      </c>
      <c r="D209" s="201"/>
      <c r="E209" s="201"/>
      <c r="F209" s="202">
        <f t="shared" si="43"/>
        <v>55</v>
      </c>
      <c r="G209" s="203">
        <v>27000</v>
      </c>
      <c r="H209" s="203">
        <v>30000</v>
      </c>
      <c r="I209" s="204"/>
      <c r="J209" s="205">
        <f t="shared" si="44"/>
        <v>0</v>
      </c>
      <c r="K209" s="205">
        <f t="shared" si="45"/>
        <v>0</v>
      </c>
      <c r="L209" s="319">
        <f t="shared" si="46"/>
        <v>1485000</v>
      </c>
      <c r="M209" s="336">
        <f t="shared" si="47"/>
        <v>1650000</v>
      </c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spans="1:26" ht="14.4">
      <c r="A210" s="326"/>
      <c r="B210" s="337" t="s">
        <v>307</v>
      </c>
      <c r="C210" s="227"/>
      <c r="D210" s="201"/>
      <c r="E210" s="201"/>
      <c r="F210" s="202">
        <f t="shared" si="43"/>
        <v>0</v>
      </c>
      <c r="G210" s="203">
        <v>37000</v>
      </c>
      <c r="H210" s="203">
        <v>45000</v>
      </c>
      <c r="I210" s="204"/>
      <c r="J210" s="205">
        <f t="shared" si="44"/>
        <v>0</v>
      </c>
      <c r="K210" s="205">
        <f t="shared" si="45"/>
        <v>0</v>
      </c>
      <c r="L210" s="319">
        <f t="shared" si="46"/>
        <v>0</v>
      </c>
      <c r="M210" s="336">
        <f t="shared" si="47"/>
        <v>0</v>
      </c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spans="1:26" ht="14.4">
      <c r="A211" s="326"/>
      <c r="B211" s="337" t="s">
        <v>308</v>
      </c>
      <c r="C211" s="227">
        <v>26</v>
      </c>
      <c r="D211" s="201"/>
      <c r="E211" s="201"/>
      <c r="F211" s="202">
        <f t="shared" si="43"/>
        <v>26</v>
      </c>
      <c r="G211" s="203">
        <v>33000</v>
      </c>
      <c r="H211" s="203">
        <v>35000</v>
      </c>
      <c r="I211" s="204"/>
      <c r="J211" s="205">
        <f t="shared" si="44"/>
        <v>0</v>
      </c>
      <c r="K211" s="205">
        <f t="shared" si="45"/>
        <v>0</v>
      </c>
      <c r="L211" s="319">
        <f t="shared" si="46"/>
        <v>858000</v>
      </c>
      <c r="M211" s="336">
        <f t="shared" si="47"/>
        <v>910000</v>
      </c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spans="1:26" ht="14.4">
      <c r="A212" s="326"/>
      <c r="B212" s="337" t="s">
        <v>309</v>
      </c>
      <c r="C212" s="227">
        <v>16</v>
      </c>
      <c r="D212" s="201"/>
      <c r="E212" s="201"/>
      <c r="F212" s="202">
        <f t="shared" si="43"/>
        <v>16</v>
      </c>
      <c r="G212" s="203">
        <v>14000</v>
      </c>
      <c r="H212" s="203">
        <v>16000</v>
      </c>
      <c r="I212" s="204"/>
      <c r="J212" s="205">
        <f t="shared" si="44"/>
        <v>0</v>
      </c>
      <c r="K212" s="205">
        <f t="shared" si="45"/>
        <v>0</v>
      </c>
      <c r="L212" s="319">
        <f t="shared" si="46"/>
        <v>224000</v>
      </c>
      <c r="M212" s="336">
        <f t="shared" si="47"/>
        <v>256000</v>
      </c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spans="1:26" ht="14.4">
      <c r="A213" s="326"/>
      <c r="B213" s="337" t="s">
        <v>310</v>
      </c>
      <c r="C213" s="229">
        <v>0.5</v>
      </c>
      <c r="D213" s="201"/>
      <c r="E213" s="201"/>
      <c r="F213" s="202">
        <f t="shared" si="43"/>
        <v>0.5</v>
      </c>
      <c r="G213" s="203">
        <v>39300</v>
      </c>
      <c r="H213" s="203">
        <v>45000</v>
      </c>
      <c r="I213" s="204"/>
      <c r="J213" s="205">
        <f t="shared" si="44"/>
        <v>0</v>
      </c>
      <c r="K213" s="205">
        <f t="shared" si="45"/>
        <v>0</v>
      </c>
      <c r="L213" s="319">
        <f t="shared" si="46"/>
        <v>19650</v>
      </c>
      <c r="M213" s="336">
        <f t="shared" si="47"/>
        <v>22500</v>
      </c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spans="1:26" ht="14.4">
      <c r="A214" s="326"/>
      <c r="B214" s="337" t="s">
        <v>311</v>
      </c>
      <c r="C214" s="227"/>
      <c r="D214" s="201"/>
      <c r="E214" s="201"/>
      <c r="F214" s="202">
        <f t="shared" si="43"/>
        <v>0</v>
      </c>
      <c r="G214" s="203">
        <v>11800</v>
      </c>
      <c r="H214" s="203">
        <v>15500</v>
      </c>
      <c r="I214" s="204"/>
      <c r="J214" s="205">
        <f t="shared" si="44"/>
        <v>0</v>
      </c>
      <c r="K214" s="205">
        <f t="shared" si="45"/>
        <v>0</v>
      </c>
      <c r="L214" s="319">
        <f t="shared" si="46"/>
        <v>0</v>
      </c>
      <c r="M214" s="336">
        <f t="shared" si="47"/>
        <v>0</v>
      </c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spans="1:26" ht="14.4">
      <c r="A215" s="326"/>
      <c r="B215" s="230" t="s">
        <v>312</v>
      </c>
      <c r="C215" s="227">
        <v>2</v>
      </c>
      <c r="D215" s="201"/>
      <c r="E215" s="201"/>
      <c r="F215" s="202">
        <f t="shared" si="43"/>
        <v>2</v>
      </c>
      <c r="G215" s="203">
        <v>17000</v>
      </c>
      <c r="H215" s="203">
        <v>25000</v>
      </c>
      <c r="I215" s="204"/>
      <c r="J215" s="205">
        <f t="shared" si="44"/>
        <v>0</v>
      </c>
      <c r="K215" s="205">
        <f t="shared" si="45"/>
        <v>0</v>
      </c>
      <c r="L215" s="319">
        <f t="shared" si="46"/>
        <v>34000</v>
      </c>
      <c r="M215" s="336">
        <f t="shared" si="47"/>
        <v>50000</v>
      </c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spans="1:26" ht="14.4">
      <c r="A216" s="326"/>
      <c r="B216" s="337" t="s">
        <v>313</v>
      </c>
      <c r="C216" s="229">
        <v>1</v>
      </c>
      <c r="D216" s="201"/>
      <c r="E216" s="201"/>
      <c r="F216" s="202">
        <f t="shared" si="43"/>
        <v>1</v>
      </c>
      <c r="G216" s="203">
        <v>24500</v>
      </c>
      <c r="H216" s="203">
        <v>28000</v>
      </c>
      <c r="I216" s="204"/>
      <c r="J216" s="205">
        <f t="shared" si="44"/>
        <v>0</v>
      </c>
      <c r="K216" s="205">
        <f t="shared" si="45"/>
        <v>0</v>
      </c>
      <c r="L216" s="319">
        <f t="shared" si="46"/>
        <v>24500</v>
      </c>
      <c r="M216" s="336">
        <f t="shared" si="47"/>
        <v>28000</v>
      </c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spans="1:26" ht="14.4">
      <c r="A217" s="326"/>
      <c r="B217" s="337" t="s">
        <v>314</v>
      </c>
      <c r="C217" s="229">
        <v>3</v>
      </c>
      <c r="D217" s="201"/>
      <c r="E217" s="201"/>
      <c r="F217" s="202">
        <f t="shared" si="43"/>
        <v>3</v>
      </c>
      <c r="G217" s="203">
        <v>24500</v>
      </c>
      <c r="H217" s="203">
        <v>28000</v>
      </c>
      <c r="I217" s="204"/>
      <c r="J217" s="205">
        <f t="shared" si="44"/>
        <v>0</v>
      </c>
      <c r="K217" s="205">
        <f t="shared" si="45"/>
        <v>0</v>
      </c>
      <c r="L217" s="319">
        <f t="shared" si="46"/>
        <v>73500</v>
      </c>
      <c r="M217" s="336">
        <f t="shared" si="47"/>
        <v>84000</v>
      </c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spans="1:26" ht="14.4">
      <c r="A218" s="326"/>
      <c r="B218" s="337" t="s">
        <v>315</v>
      </c>
      <c r="C218" s="229"/>
      <c r="D218" s="201"/>
      <c r="E218" s="201"/>
      <c r="F218" s="202">
        <f t="shared" si="43"/>
        <v>0</v>
      </c>
      <c r="G218" s="203">
        <v>26200</v>
      </c>
      <c r="H218" s="203">
        <v>30000</v>
      </c>
      <c r="I218" s="204"/>
      <c r="J218" s="205">
        <f t="shared" si="44"/>
        <v>0</v>
      </c>
      <c r="K218" s="205">
        <f t="shared" si="45"/>
        <v>0</v>
      </c>
      <c r="L218" s="319">
        <f t="shared" si="46"/>
        <v>0</v>
      </c>
      <c r="M218" s="336">
        <f t="shared" si="47"/>
        <v>0</v>
      </c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spans="1:26" ht="14.4">
      <c r="A219" s="326"/>
      <c r="B219" s="337" t="s">
        <v>316</v>
      </c>
      <c r="C219" s="227">
        <v>56</v>
      </c>
      <c r="D219" s="201"/>
      <c r="E219" s="201"/>
      <c r="F219" s="202">
        <f t="shared" si="43"/>
        <v>56</v>
      </c>
      <c r="G219" s="203">
        <v>6600</v>
      </c>
      <c r="H219" s="203">
        <v>7000</v>
      </c>
      <c r="I219" s="204"/>
      <c r="J219" s="205">
        <f t="shared" si="44"/>
        <v>0</v>
      </c>
      <c r="K219" s="205">
        <f t="shared" si="45"/>
        <v>0</v>
      </c>
      <c r="L219" s="319">
        <f t="shared" si="46"/>
        <v>369600</v>
      </c>
      <c r="M219" s="336">
        <f t="shared" si="47"/>
        <v>392000</v>
      </c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spans="1:26" ht="14.4">
      <c r="A220" s="326"/>
      <c r="B220" s="337" t="s">
        <v>317</v>
      </c>
      <c r="C220" s="227">
        <v>16</v>
      </c>
      <c r="D220" s="201"/>
      <c r="E220" s="201"/>
      <c r="F220" s="202">
        <f t="shared" si="43"/>
        <v>16</v>
      </c>
      <c r="G220" s="203">
        <v>15200</v>
      </c>
      <c r="H220" s="203">
        <v>19000</v>
      </c>
      <c r="I220" s="204"/>
      <c r="J220" s="205">
        <f t="shared" si="44"/>
        <v>0</v>
      </c>
      <c r="K220" s="205">
        <f t="shared" si="45"/>
        <v>0</v>
      </c>
      <c r="L220" s="319">
        <f t="shared" si="46"/>
        <v>243200</v>
      </c>
      <c r="M220" s="336">
        <f t="shared" si="47"/>
        <v>304000</v>
      </c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spans="1:26" ht="14.4">
      <c r="A221" s="326"/>
      <c r="B221" s="337" t="s">
        <v>318</v>
      </c>
      <c r="C221" s="227">
        <f>7</f>
        <v>7</v>
      </c>
      <c r="D221" s="201"/>
      <c r="E221" s="201"/>
      <c r="F221" s="202">
        <f t="shared" si="43"/>
        <v>7</v>
      </c>
      <c r="G221" s="203">
        <v>38300</v>
      </c>
      <c r="H221" s="203">
        <v>45000</v>
      </c>
      <c r="I221" s="204"/>
      <c r="J221" s="205">
        <f t="shared" si="44"/>
        <v>0</v>
      </c>
      <c r="K221" s="205">
        <f t="shared" si="45"/>
        <v>0</v>
      </c>
      <c r="L221" s="319">
        <f t="shared" si="46"/>
        <v>268100</v>
      </c>
      <c r="M221" s="336">
        <f t="shared" si="47"/>
        <v>315000</v>
      </c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spans="1:26" ht="14.4">
      <c r="A222" s="326"/>
      <c r="B222" s="337" t="s">
        <v>319</v>
      </c>
      <c r="C222" s="229">
        <v>6</v>
      </c>
      <c r="D222" s="201"/>
      <c r="E222" s="201"/>
      <c r="F222" s="202">
        <f t="shared" si="43"/>
        <v>6</v>
      </c>
      <c r="G222" s="203">
        <v>34900</v>
      </c>
      <c r="H222" s="203">
        <v>40000</v>
      </c>
      <c r="I222" s="204"/>
      <c r="J222" s="205">
        <f t="shared" si="44"/>
        <v>0</v>
      </c>
      <c r="K222" s="205">
        <f t="shared" si="45"/>
        <v>0</v>
      </c>
      <c r="L222" s="319">
        <f t="shared" si="46"/>
        <v>209400</v>
      </c>
      <c r="M222" s="336">
        <f t="shared" si="47"/>
        <v>240000</v>
      </c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spans="1:26" ht="14.4">
      <c r="A223" s="326"/>
      <c r="B223" s="337" t="s">
        <v>320</v>
      </c>
      <c r="C223" s="227">
        <v>2.5</v>
      </c>
      <c r="D223" s="201"/>
      <c r="E223" s="201"/>
      <c r="F223" s="202">
        <f t="shared" si="43"/>
        <v>2.5</v>
      </c>
      <c r="G223" s="203">
        <v>28800</v>
      </c>
      <c r="H223" s="203">
        <v>36000</v>
      </c>
      <c r="I223" s="204"/>
      <c r="J223" s="205">
        <f t="shared" si="44"/>
        <v>0</v>
      </c>
      <c r="K223" s="205">
        <f t="shared" si="45"/>
        <v>0</v>
      </c>
      <c r="L223" s="319">
        <f t="shared" si="46"/>
        <v>72000</v>
      </c>
      <c r="M223" s="336">
        <f t="shared" si="47"/>
        <v>90000</v>
      </c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spans="1:26" ht="14.4">
      <c r="A224" s="326"/>
      <c r="B224" s="337" t="s">
        <v>321</v>
      </c>
      <c r="C224" s="227">
        <v>1</v>
      </c>
      <c r="D224" s="201"/>
      <c r="E224" s="201"/>
      <c r="F224" s="202">
        <f t="shared" si="43"/>
        <v>1</v>
      </c>
      <c r="G224" s="203">
        <v>11600</v>
      </c>
      <c r="H224" s="203">
        <v>15500</v>
      </c>
      <c r="I224" s="204"/>
      <c r="J224" s="205">
        <f t="shared" si="44"/>
        <v>0</v>
      </c>
      <c r="K224" s="205">
        <f t="shared" si="45"/>
        <v>0</v>
      </c>
      <c r="L224" s="319">
        <f t="shared" si="46"/>
        <v>11600</v>
      </c>
      <c r="M224" s="336">
        <f t="shared" si="47"/>
        <v>15500</v>
      </c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spans="1:26" ht="14.4">
      <c r="A225" s="326"/>
      <c r="B225" s="337" t="s">
        <v>322</v>
      </c>
      <c r="C225" s="229">
        <v>3</v>
      </c>
      <c r="D225" s="201"/>
      <c r="E225" s="201"/>
      <c r="F225" s="202">
        <f t="shared" si="43"/>
        <v>3</v>
      </c>
      <c r="G225" s="203">
        <v>31900</v>
      </c>
      <c r="H225" s="203">
        <v>40000</v>
      </c>
      <c r="I225" s="204"/>
      <c r="J225" s="205">
        <f t="shared" si="44"/>
        <v>0</v>
      </c>
      <c r="K225" s="205">
        <f t="shared" si="45"/>
        <v>0</v>
      </c>
      <c r="L225" s="319">
        <f t="shared" si="46"/>
        <v>95700</v>
      </c>
      <c r="M225" s="336">
        <f t="shared" si="47"/>
        <v>120000</v>
      </c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spans="1:26" ht="14.4">
      <c r="A226" s="326"/>
      <c r="B226" s="337" t="s">
        <v>323</v>
      </c>
      <c r="C226" s="227">
        <v>2</v>
      </c>
      <c r="D226" s="201"/>
      <c r="E226" s="201"/>
      <c r="F226" s="202">
        <f t="shared" si="43"/>
        <v>2</v>
      </c>
      <c r="G226" s="203">
        <v>50000</v>
      </c>
      <c r="H226" s="203">
        <v>62500</v>
      </c>
      <c r="I226" s="204"/>
      <c r="J226" s="205">
        <f t="shared" si="44"/>
        <v>0</v>
      </c>
      <c r="K226" s="205">
        <f t="shared" si="45"/>
        <v>0</v>
      </c>
      <c r="L226" s="319">
        <f t="shared" si="46"/>
        <v>100000</v>
      </c>
      <c r="M226" s="336">
        <f t="shared" si="47"/>
        <v>125000</v>
      </c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spans="1:26" ht="14.4">
      <c r="A227" s="326"/>
      <c r="B227" s="337" t="s">
        <v>324</v>
      </c>
      <c r="C227" s="227">
        <v>15</v>
      </c>
      <c r="D227" s="201"/>
      <c r="E227" s="201"/>
      <c r="F227" s="202">
        <f t="shared" si="43"/>
        <v>15</v>
      </c>
      <c r="G227" s="203">
        <v>20100</v>
      </c>
      <c r="H227" s="203">
        <v>25000</v>
      </c>
      <c r="I227" s="204"/>
      <c r="J227" s="205">
        <f t="shared" si="44"/>
        <v>0</v>
      </c>
      <c r="K227" s="205">
        <f t="shared" si="45"/>
        <v>0</v>
      </c>
      <c r="L227" s="319">
        <f t="shared" si="46"/>
        <v>301500</v>
      </c>
      <c r="M227" s="336">
        <f t="shared" si="47"/>
        <v>375000</v>
      </c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spans="1:26" ht="14.4">
      <c r="A228" s="326"/>
      <c r="B228" s="337" t="s">
        <v>325</v>
      </c>
      <c r="C228" s="227"/>
      <c r="D228" s="201"/>
      <c r="E228" s="201"/>
      <c r="F228" s="202">
        <f t="shared" si="43"/>
        <v>0</v>
      </c>
      <c r="G228" s="203">
        <v>20100</v>
      </c>
      <c r="H228" s="203">
        <v>25000</v>
      </c>
      <c r="I228" s="204"/>
      <c r="J228" s="205">
        <f t="shared" si="44"/>
        <v>0</v>
      </c>
      <c r="K228" s="205">
        <f t="shared" si="45"/>
        <v>0</v>
      </c>
      <c r="L228" s="319">
        <f t="shared" si="46"/>
        <v>0</v>
      </c>
      <c r="M228" s="336">
        <f t="shared" si="47"/>
        <v>0</v>
      </c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spans="1:26" ht="14.4">
      <c r="A229" s="326"/>
      <c r="B229" s="337" t="s">
        <v>326</v>
      </c>
      <c r="C229" s="227"/>
      <c r="D229" s="201"/>
      <c r="E229" s="201"/>
      <c r="F229" s="202">
        <f t="shared" si="43"/>
        <v>0</v>
      </c>
      <c r="G229" s="203">
        <v>43600</v>
      </c>
      <c r="H229" s="203">
        <v>50000</v>
      </c>
      <c r="I229" s="204"/>
      <c r="J229" s="205">
        <f t="shared" si="44"/>
        <v>0</v>
      </c>
      <c r="K229" s="205">
        <f t="shared" si="45"/>
        <v>0</v>
      </c>
      <c r="L229" s="319">
        <f t="shared" si="46"/>
        <v>0</v>
      </c>
      <c r="M229" s="336">
        <f t="shared" si="47"/>
        <v>0</v>
      </c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spans="1:26" ht="14.4">
      <c r="A230" s="326"/>
      <c r="B230" s="337" t="s">
        <v>327</v>
      </c>
      <c r="C230" s="227">
        <v>2</v>
      </c>
      <c r="D230" s="201"/>
      <c r="E230" s="201"/>
      <c r="F230" s="202">
        <f t="shared" si="43"/>
        <v>2</v>
      </c>
      <c r="G230" s="203">
        <v>34000</v>
      </c>
      <c r="H230" s="203">
        <v>40000</v>
      </c>
      <c r="I230" s="204"/>
      <c r="J230" s="205">
        <f t="shared" si="44"/>
        <v>0</v>
      </c>
      <c r="K230" s="205">
        <f t="shared" si="45"/>
        <v>0</v>
      </c>
      <c r="L230" s="319">
        <f t="shared" si="46"/>
        <v>68000</v>
      </c>
      <c r="M230" s="336">
        <f t="shared" si="47"/>
        <v>80000</v>
      </c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spans="1:26" ht="14.4">
      <c r="A231" s="326"/>
      <c r="B231" s="337" t="s">
        <v>328</v>
      </c>
      <c r="C231" s="229">
        <v>4</v>
      </c>
      <c r="D231" s="201"/>
      <c r="E231" s="201"/>
      <c r="F231" s="202">
        <f t="shared" si="43"/>
        <v>4</v>
      </c>
      <c r="G231" s="203">
        <v>25000</v>
      </c>
      <c r="H231" s="203">
        <v>28000</v>
      </c>
      <c r="I231" s="204"/>
      <c r="J231" s="205">
        <f t="shared" si="44"/>
        <v>0</v>
      </c>
      <c r="K231" s="205">
        <f t="shared" si="45"/>
        <v>0</v>
      </c>
      <c r="L231" s="319">
        <f t="shared" si="46"/>
        <v>100000</v>
      </c>
      <c r="M231" s="336">
        <f t="shared" si="47"/>
        <v>112000</v>
      </c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spans="1:26" ht="14.4">
      <c r="A232" s="326"/>
      <c r="B232" s="337" t="s">
        <v>329</v>
      </c>
      <c r="C232" s="227">
        <v>6</v>
      </c>
      <c r="D232" s="201"/>
      <c r="E232" s="201"/>
      <c r="F232" s="202">
        <f t="shared" si="43"/>
        <v>6</v>
      </c>
      <c r="G232" s="203">
        <v>20100</v>
      </c>
      <c r="H232" s="203">
        <v>25000</v>
      </c>
      <c r="I232" s="204"/>
      <c r="J232" s="205">
        <f t="shared" si="44"/>
        <v>0</v>
      </c>
      <c r="K232" s="205">
        <f t="shared" si="45"/>
        <v>0</v>
      </c>
      <c r="L232" s="319">
        <f t="shared" si="46"/>
        <v>120600</v>
      </c>
      <c r="M232" s="336">
        <f t="shared" si="47"/>
        <v>150000</v>
      </c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spans="1:26" ht="14.4">
      <c r="A233" s="326"/>
      <c r="B233" s="337" t="s">
        <v>330</v>
      </c>
      <c r="C233" s="227">
        <v>2</v>
      </c>
      <c r="D233" s="201"/>
      <c r="E233" s="201"/>
      <c r="F233" s="202">
        <f t="shared" si="43"/>
        <v>2</v>
      </c>
      <c r="G233" s="203">
        <v>50000</v>
      </c>
      <c r="H233" s="203">
        <v>62500</v>
      </c>
      <c r="I233" s="204"/>
      <c r="J233" s="205">
        <f t="shared" si="44"/>
        <v>0</v>
      </c>
      <c r="K233" s="205">
        <f t="shared" si="45"/>
        <v>0</v>
      </c>
      <c r="L233" s="319">
        <f t="shared" si="46"/>
        <v>100000</v>
      </c>
      <c r="M233" s="336">
        <f t="shared" si="47"/>
        <v>125000</v>
      </c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spans="1:26" ht="14.4">
      <c r="A234" s="326"/>
      <c r="B234" s="230" t="s">
        <v>331</v>
      </c>
      <c r="C234" s="227">
        <v>10</v>
      </c>
      <c r="D234" s="201"/>
      <c r="E234" s="201"/>
      <c r="F234" s="202">
        <f t="shared" si="43"/>
        <v>10</v>
      </c>
      <c r="G234" s="203">
        <v>6000</v>
      </c>
      <c r="H234" s="203">
        <v>8000</v>
      </c>
      <c r="I234" s="204"/>
      <c r="J234" s="205">
        <f t="shared" si="44"/>
        <v>0</v>
      </c>
      <c r="K234" s="205">
        <f t="shared" si="45"/>
        <v>0</v>
      </c>
      <c r="L234" s="319">
        <f t="shared" si="46"/>
        <v>60000</v>
      </c>
      <c r="M234" s="336">
        <f t="shared" si="47"/>
        <v>80000</v>
      </c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spans="1:26" ht="14.4">
      <c r="A235" s="326"/>
      <c r="B235" s="337" t="s">
        <v>332</v>
      </c>
      <c r="C235" s="227">
        <f>3</f>
        <v>3</v>
      </c>
      <c r="D235" s="201"/>
      <c r="E235" s="201"/>
      <c r="F235" s="202">
        <f t="shared" si="43"/>
        <v>3</v>
      </c>
      <c r="G235" s="203">
        <v>36000</v>
      </c>
      <c r="H235" s="203">
        <v>45000</v>
      </c>
      <c r="I235" s="204"/>
      <c r="J235" s="205">
        <f t="shared" si="44"/>
        <v>0</v>
      </c>
      <c r="K235" s="205">
        <f t="shared" si="45"/>
        <v>0</v>
      </c>
      <c r="L235" s="319">
        <f t="shared" si="46"/>
        <v>108000</v>
      </c>
      <c r="M235" s="336">
        <f t="shared" si="47"/>
        <v>135000</v>
      </c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spans="1:26" ht="14.4">
      <c r="A236" s="326"/>
      <c r="B236" s="337" t="s">
        <v>333</v>
      </c>
      <c r="C236" s="227"/>
      <c r="D236" s="201"/>
      <c r="E236" s="201"/>
      <c r="F236" s="202">
        <f t="shared" si="43"/>
        <v>0</v>
      </c>
      <c r="G236" s="203">
        <v>28800</v>
      </c>
      <c r="H236" s="203">
        <v>36000</v>
      </c>
      <c r="I236" s="204"/>
      <c r="J236" s="205">
        <f t="shared" si="44"/>
        <v>0</v>
      </c>
      <c r="K236" s="205">
        <f t="shared" si="45"/>
        <v>0</v>
      </c>
      <c r="L236" s="319">
        <f t="shared" si="46"/>
        <v>0</v>
      </c>
      <c r="M236" s="336">
        <f t="shared" si="47"/>
        <v>0</v>
      </c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spans="1:26" ht="14.4">
      <c r="A237" s="326"/>
      <c r="B237" s="337" t="s">
        <v>334</v>
      </c>
      <c r="C237" s="227">
        <v>3</v>
      </c>
      <c r="D237" s="201"/>
      <c r="E237" s="201"/>
      <c r="F237" s="202">
        <f t="shared" si="43"/>
        <v>3</v>
      </c>
      <c r="G237" s="203">
        <v>31900</v>
      </c>
      <c r="H237" s="203">
        <v>40000</v>
      </c>
      <c r="I237" s="204"/>
      <c r="J237" s="205">
        <f t="shared" si="44"/>
        <v>0</v>
      </c>
      <c r="K237" s="205">
        <f t="shared" si="45"/>
        <v>0</v>
      </c>
      <c r="L237" s="319">
        <f t="shared" si="46"/>
        <v>95700</v>
      </c>
      <c r="M237" s="336">
        <f t="shared" si="47"/>
        <v>120000</v>
      </c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spans="1:26" ht="14.4">
      <c r="A238" s="326"/>
      <c r="B238" s="337" t="s">
        <v>335</v>
      </c>
      <c r="C238" s="227">
        <v>2</v>
      </c>
      <c r="D238" s="201"/>
      <c r="E238" s="201"/>
      <c r="F238" s="202">
        <f t="shared" si="43"/>
        <v>2</v>
      </c>
      <c r="G238" s="203">
        <v>50000</v>
      </c>
      <c r="H238" s="203">
        <v>62500</v>
      </c>
      <c r="I238" s="204"/>
      <c r="J238" s="205">
        <f t="shared" si="44"/>
        <v>0</v>
      </c>
      <c r="K238" s="205">
        <f t="shared" si="45"/>
        <v>0</v>
      </c>
      <c r="L238" s="319">
        <f t="shared" si="46"/>
        <v>100000</v>
      </c>
      <c r="M238" s="336">
        <f t="shared" si="47"/>
        <v>125000</v>
      </c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spans="1:26" ht="14.4">
      <c r="A239" s="326"/>
      <c r="B239" s="337" t="s">
        <v>336</v>
      </c>
      <c r="C239" s="227">
        <v>3</v>
      </c>
      <c r="D239" s="201"/>
      <c r="E239" s="201"/>
      <c r="F239" s="202">
        <f t="shared" si="43"/>
        <v>3</v>
      </c>
      <c r="G239" s="203">
        <v>16400</v>
      </c>
      <c r="H239" s="203">
        <v>25000</v>
      </c>
      <c r="I239" s="204"/>
      <c r="J239" s="205">
        <f t="shared" si="44"/>
        <v>0</v>
      </c>
      <c r="K239" s="205">
        <f t="shared" si="45"/>
        <v>0</v>
      </c>
      <c r="L239" s="319">
        <f t="shared" si="46"/>
        <v>49200</v>
      </c>
      <c r="M239" s="336">
        <f t="shared" si="47"/>
        <v>75000</v>
      </c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spans="1:26" ht="14.4">
      <c r="A240" s="326"/>
      <c r="B240" s="337" t="s">
        <v>337</v>
      </c>
      <c r="C240" s="227">
        <v>3</v>
      </c>
      <c r="D240" s="201"/>
      <c r="E240" s="201"/>
      <c r="F240" s="202">
        <f t="shared" si="43"/>
        <v>3</v>
      </c>
      <c r="G240" s="203">
        <v>38300</v>
      </c>
      <c r="H240" s="203">
        <v>45000</v>
      </c>
      <c r="I240" s="204"/>
      <c r="J240" s="205">
        <f t="shared" si="44"/>
        <v>0</v>
      </c>
      <c r="K240" s="205">
        <f t="shared" si="45"/>
        <v>0</v>
      </c>
      <c r="L240" s="319">
        <f t="shared" si="46"/>
        <v>114900</v>
      </c>
      <c r="M240" s="336">
        <f t="shared" si="47"/>
        <v>135000</v>
      </c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spans="1:26" ht="14.4">
      <c r="A241" s="326"/>
      <c r="B241" s="337" t="s">
        <v>338</v>
      </c>
      <c r="C241" s="227"/>
      <c r="D241" s="201"/>
      <c r="E241" s="201"/>
      <c r="F241" s="202">
        <f t="shared" si="43"/>
        <v>0</v>
      </c>
      <c r="G241" s="203">
        <v>10500</v>
      </c>
      <c r="H241" s="338">
        <v>15000</v>
      </c>
      <c r="I241" s="204"/>
      <c r="J241" s="205">
        <f t="shared" si="44"/>
        <v>0</v>
      </c>
      <c r="K241" s="205">
        <f t="shared" si="45"/>
        <v>0</v>
      </c>
      <c r="L241" s="319">
        <f t="shared" si="46"/>
        <v>0</v>
      </c>
      <c r="M241" s="336">
        <f t="shared" si="47"/>
        <v>0</v>
      </c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spans="1:26" ht="14.4">
      <c r="A242" s="326"/>
      <c r="B242" s="337" t="s">
        <v>339</v>
      </c>
      <c r="C242" s="227">
        <v>1</v>
      </c>
      <c r="D242" s="201"/>
      <c r="E242" s="201"/>
      <c r="F242" s="202">
        <f t="shared" si="43"/>
        <v>1</v>
      </c>
      <c r="G242" s="338">
        <v>14000</v>
      </c>
      <c r="H242" s="338">
        <v>20000</v>
      </c>
      <c r="I242" s="204"/>
      <c r="J242" s="205">
        <f t="shared" si="44"/>
        <v>0</v>
      </c>
      <c r="K242" s="205">
        <f t="shared" si="45"/>
        <v>0</v>
      </c>
      <c r="L242" s="319">
        <f t="shared" si="46"/>
        <v>14000</v>
      </c>
      <c r="M242" s="336">
        <f t="shared" si="47"/>
        <v>20000</v>
      </c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spans="1:26" ht="14.4">
      <c r="A243" s="326"/>
      <c r="B243" s="337" t="s">
        <v>340</v>
      </c>
      <c r="C243" s="227">
        <v>1</v>
      </c>
      <c r="D243" s="201"/>
      <c r="E243" s="201"/>
      <c r="F243" s="202">
        <f t="shared" si="43"/>
        <v>1</v>
      </c>
      <c r="G243" s="239">
        <v>34900</v>
      </c>
      <c r="H243" s="239">
        <v>37500</v>
      </c>
      <c r="I243" s="213"/>
      <c r="J243" s="205">
        <f t="shared" si="44"/>
        <v>0</v>
      </c>
      <c r="K243" s="205">
        <f t="shared" si="45"/>
        <v>0</v>
      </c>
      <c r="L243" s="319">
        <f t="shared" si="46"/>
        <v>34900</v>
      </c>
      <c r="M243" s="336">
        <f t="shared" si="47"/>
        <v>37500</v>
      </c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spans="1:26" ht="14.4">
      <c r="A244" s="339"/>
      <c r="B244" s="340"/>
      <c r="C244" s="341"/>
      <c r="D244" s="341"/>
      <c r="E244" s="342">
        <f t="shared" ref="E244:H244" si="48">SUM(E177:E243)</f>
        <v>0</v>
      </c>
      <c r="F244" s="342">
        <f t="shared" si="48"/>
        <v>647</v>
      </c>
      <c r="G244" s="343">
        <f t="shared" si="48"/>
        <v>1794900</v>
      </c>
      <c r="H244" s="343">
        <f t="shared" si="48"/>
        <v>2131200</v>
      </c>
      <c r="I244" s="344"/>
      <c r="J244" s="345">
        <f t="shared" ref="J244:K244" si="49">SUM(J177:J243)</f>
        <v>0</v>
      </c>
      <c r="K244" s="345">
        <f t="shared" si="49"/>
        <v>0</v>
      </c>
      <c r="L244" s="346">
        <f>SUM(L184:L243)</f>
        <v>18447300</v>
      </c>
      <c r="M244" s="347">
        <f>SUM(M177:M243)</f>
        <v>23935300</v>
      </c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spans="1:26" ht="14.4">
      <c r="A245" s="671" t="s">
        <v>341</v>
      </c>
      <c r="B245" s="230" t="s">
        <v>342</v>
      </c>
      <c r="C245" s="229">
        <v>5</v>
      </c>
      <c r="D245" s="201"/>
      <c r="E245" s="321"/>
      <c r="F245" s="202">
        <f t="shared" ref="F245:F324" si="50">+C245+D245-E245</f>
        <v>5</v>
      </c>
      <c r="G245" s="203">
        <v>22400</v>
      </c>
      <c r="H245" s="203">
        <v>25000</v>
      </c>
      <c r="I245" s="224"/>
      <c r="J245" s="205">
        <f t="shared" ref="J245:J299" si="51">+I245*H245</f>
        <v>0</v>
      </c>
      <c r="K245" s="205">
        <f t="shared" ref="K245:K306" si="52">+(H245-G245)*I245</f>
        <v>0</v>
      </c>
      <c r="L245" s="323">
        <f t="shared" ref="L245:L306" si="53">+G245*F245</f>
        <v>112000</v>
      </c>
      <c r="M245" s="348">
        <f t="shared" ref="M245:M306" si="54">F245*H245</f>
        <v>125000</v>
      </c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spans="1:26" ht="14.4">
      <c r="A246" s="672"/>
      <c r="B246" s="230" t="s">
        <v>343</v>
      </c>
      <c r="C246" s="227">
        <v>4</v>
      </c>
      <c r="D246" s="201"/>
      <c r="E246" s="321"/>
      <c r="F246" s="202">
        <f t="shared" si="50"/>
        <v>4</v>
      </c>
      <c r="G246" s="203">
        <v>15000</v>
      </c>
      <c r="H246" s="203">
        <v>17000</v>
      </c>
      <c r="I246" s="204"/>
      <c r="J246" s="205">
        <f t="shared" si="51"/>
        <v>0</v>
      </c>
      <c r="K246" s="205">
        <f t="shared" si="52"/>
        <v>0</v>
      </c>
      <c r="L246" s="323">
        <f t="shared" si="53"/>
        <v>60000</v>
      </c>
      <c r="M246" s="348">
        <f t="shared" si="54"/>
        <v>68000</v>
      </c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spans="1:26" ht="14.4">
      <c r="A247" s="672"/>
      <c r="B247" s="211" t="s">
        <v>344</v>
      </c>
      <c r="C247" s="227">
        <v>2</v>
      </c>
      <c r="D247" s="201"/>
      <c r="E247" s="321"/>
      <c r="F247" s="202">
        <f t="shared" si="50"/>
        <v>2</v>
      </c>
      <c r="G247" s="203">
        <v>16920</v>
      </c>
      <c r="H247" s="203">
        <v>19000</v>
      </c>
      <c r="I247" s="204"/>
      <c r="J247" s="205">
        <f t="shared" si="51"/>
        <v>0</v>
      </c>
      <c r="K247" s="205">
        <f t="shared" si="52"/>
        <v>0</v>
      </c>
      <c r="L247" s="323">
        <f t="shared" si="53"/>
        <v>33840</v>
      </c>
      <c r="M247" s="348">
        <f t="shared" si="54"/>
        <v>38000</v>
      </c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spans="1:26" ht="14.4">
      <c r="A248" s="672"/>
      <c r="B248" s="211" t="s">
        <v>345</v>
      </c>
      <c r="C248" s="229">
        <v>15</v>
      </c>
      <c r="D248" s="201"/>
      <c r="E248" s="321"/>
      <c r="F248" s="202">
        <f t="shared" si="50"/>
        <v>15</v>
      </c>
      <c r="G248" s="203">
        <v>9000</v>
      </c>
      <c r="H248" s="203">
        <v>10000</v>
      </c>
      <c r="I248" s="204"/>
      <c r="J248" s="205">
        <f t="shared" si="51"/>
        <v>0</v>
      </c>
      <c r="K248" s="205">
        <f t="shared" si="52"/>
        <v>0</v>
      </c>
      <c r="L248" s="323">
        <f t="shared" si="53"/>
        <v>135000</v>
      </c>
      <c r="M248" s="348">
        <f t="shared" si="54"/>
        <v>150000</v>
      </c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spans="1:26" ht="14.4">
      <c r="A249" s="672"/>
      <c r="B249" s="230" t="s">
        <v>346</v>
      </c>
      <c r="C249" s="229"/>
      <c r="D249" s="201"/>
      <c r="E249" s="321"/>
      <c r="F249" s="202">
        <f t="shared" si="50"/>
        <v>0</v>
      </c>
      <c r="G249" s="203">
        <v>15600</v>
      </c>
      <c r="H249" s="203">
        <v>16500</v>
      </c>
      <c r="I249" s="204"/>
      <c r="J249" s="205">
        <f t="shared" si="51"/>
        <v>0</v>
      </c>
      <c r="K249" s="205">
        <f t="shared" si="52"/>
        <v>0</v>
      </c>
      <c r="L249" s="323">
        <f t="shared" si="53"/>
        <v>0</v>
      </c>
      <c r="M249" s="348">
        <f t="shared" si="54"/>
        <v>0</v>
      </c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spans="1:26" ht="14.4">
      <c r="A250" s="672"/>
      <c r="B250" s="230" t="s">
        <v>347</v>
      </c>
      <c r="C250" s="227">
        <f>1+3</f>
        <v>4</v>
      </c>
      <c r="D250" s="201"/>
      <c r="E250" s="321"/>
      <c r="F250" s="202">
        <f t="shared" si="50"/>
        <v>4</v>
      </c>
      <c r="G250" s="203">
        <v>36000</v>
      </c>
      <c r="H250" s="203">
        <v>40600</v>
      </c>
      <c r="I250" s="204"/>
      <c r="J250" s="205">
        <f t="shared" si="51"/>
        <v>0</v>
      </c>
      <c r="K250" s="205">
        <f t="shared" si="52"/>
        <v>0</v>
      </c>
      <c r="L250" s="323">
        <f t="shared" si="53"/>
        <v>144000</v>
      </c>
      <c r="M250" s="348">
        <f t="shared" si="54"/>
        <v>162400</v>
      </c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spans="1:26" ht="14.4">
      <c r="A251" s="672"/>
      <c r="B251" s="230" t="s">
        <v>348</v>
      </c>
      <c r="C251" s="227">
        <f>1+6</f>
        <v>7</v>
      </c>
      <c r="D251" s="201"/>
      <c r="E251" s="321"/>
      <c r="F251" s="202">
        <f t="shared" si="50"/>
        <v>7</v>
      </c>
      <c r="G251" s="203">
        <v>46000</v>
      </c>
      <c r="H251" s="203">
        <v>51000</v>
      </c>
      <c r="I251" s="204"/>
      <c r="J251" s="205">
        <f t="shared" si="51"/>
        <v>0</v>
      </c>
      <c r="K251" s="205">
        <f t="shared" si="52"/>
        <v>0</v>
      </c>
      <c r="L251" s="323">
        <f t="shared" si="53"/>
        <v>322000</v>
      </c>
      <c r="M251" s="348">
        <f t="shared" si="54"/>
        <v>357000</v>
      </c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spans="1:26" ht="14.4">
      <c r="A252" s="672"/>
      <c r="B252" s="349" t="s">
        <v>349</v>
      </c>
      <c r="C252" s="229">
        <v>3</v>
      </c>
      <c r="D252" s="201"/>
      <c r="E252" s="321"/>
      <c r="F252" s="202">
        <f t="shared" si="50"/>
        <v>3</v>
      </c>
      <c r="G252" s="203">
        <v>45000</v>
      </c>
      <c r="H252" s="203">
        <v>50000</v>
      </c>
      <c r="I252" s="204"/>
      <c r="J252" s="205">
        <f t="shared" si="51"/>
        <v>0</v>
      </c>
      <c r="K252" s="205">
        <f t="shared" si="52"/>
        <v>0</v>
      </c>
      <c r="L252" s="323">
        <f t="shared" si="53"/>
        <v>135000</v>
      </c>
      <c r="M252" s="348">
        <f t="shared" si="54"/>
        <v>150000</v>
      </c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spans="1:26" ht="14.4">
      <c r="A253" s="672"/>
      <c r="B253" s="230" t="s">
        <v>350</v>
      </c>
      <c r="C253" s="229"/>
      <c r="D253" s="201"/>
      <c r="E253" s="321"/>
      <c r="F253" s="202">
        <f t="shared" si="50"/>
        <v>0</v>
      </c>
      <c r="G253" s="203">
        <v>25000</v>
      </c>
      <c r="H253" s="203">
        <v>25000</v>
      </c>
      <c r="I253" s="204"/>
      <c r="J253" s="205">
        <f t="shared" si="51"/>
        <v>0</v>
      </c>
      <c r="K253" s="205">
        <f t="shared" si="52"/>
        <v>0</v>
      </c>
      <c r="L253" s="323">
        <f t="shared" si="53"/>
        <v>0</v>
      </c>
      <c r="M253" s="348">
        <f t="shared" si="54"/>
        <v>0</v>
      </c>
      <c r="N253" s="191" t="s">
        <v>351</v>
      </c>
      <c r="O253" s="191" t="s">
        <v>124</v>
      </c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spans="1:26" ht="14.4">
      <c r="A254" s="672"/>
      <c r="B254" s="230" t="s">
        <v>352</v>
      </c>
      <c r="C254" s="227">
        <v>6</v>
      </c>
      <c r="D254" s="201"/>
      <c r="E254" s="321"/>
      <c r="F254" s="202">
        <f t="shared" si="50"/>
        <v>6</v>
      </c>
      <c r="G254" s="203">
        <v>44000</v>
      </c>
      <c r="H254" s="203">
        <v>50000</v>
      </c>
      <c r="I254" s="204"/>
      <c r="J254" s="205">
        <f t="shared" si="51"/>
        <v>0</v>
      </c>
      <c r="K254" s="205">
        <f t="shared" si="52"/>
        <v>0</v>
      </c>
      <c r="L254" s="323">
        <f t="shared" si="53"/>
        <v>264000</v>
      </c>
      <c r="M254" s="348">
        <f t="shared" si="54"/>
        <v>300000</v>
      </c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spans="1:26" ht="14.4">
      <c r="A255" s="672"/>
      <c r="B255" s="211" t="s">
        <v>353</v>
      </c>
      <c r="C255" s="229"/>
      <c r="D255" s="201"/>
      <c r="E255" s="321"/>
      <c r="F255" s="202">
        <f t="shared" si="50"/>
        <v>0</v>
      </c>
      <c r="G255" s="203">
        <v>3333</v>
      </c>
      <c r="H255" s="203">
        <v>3500</v>
      </c>
      <c r="I255" s="204"/>
      <c r="J255" s="205">
        <f t="shared" si="51"/>
        <v>0</v>
      </c>
      <c r="K255" s="205">
        <f t="shared" si="52"/>
        <v>0</v>
      </c>
      <c r="L255" s="323">
        <f t="shared" si="53"/>
        <v>0</v>
      </c>
      <c r="M255" s="348">
        <f t="shared" si="54"/>
        <v>0</v>
      </c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spans="1:26" ht="14.4">
      <c r="A256" s="672"/>
      <c r="B256" s="230" t="s">
        <v>354</v>
      </c>
      <c r="C256" s="227">
        <v>12</v>
      </c>
      <c r="D256" s="201"/>
      <c r="E256" s="321"/>
      <c r="F256" s="202">
        <f t="shared" si="50"/>
        <v>12</v>
      </c>
      <c r="G256" s="203">
        <v>6500</v>
      </c>
      <c r="H256" s="203">
        <v>7500</v>
      </c>
      <c r="I256" s="204"/>
      <c r="J256" s="205">
        <f t="shared" si="51"/>
        <v>0</v>
      </c>
      <c r="K256" s="205">
        <f t="shared" si="52"/>
        <v>0</v>
      </c>
      <c r="L256" s="323">
        <f t="shared" si="53"/>
        <v>78000</v>
      </c>
      <c r="M256" s="348">
        <f t="shared" si="54"/>
        <v>90000</v>
      </c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 spans="1:26" ht="14.4">
      <c r="A257" s="672"/>
      <c r="B257" s="230" t="s">
        <v>355</v>
      </c>
      <c r="C257" s="227">
        <v>16</v>
      </c>
      <c r="D257" s="201"/>
      <c r="E257" s="321"/>
      <c r="F257" s="202">
        <f t="shared" si="50"/>
        <v>16</v>
      </c>
      <c r="G257" s="203">
        <v>6700</v>
      </c>
      <c r="H257" s="203">
        <v>7500</v>
      </c>
      <c r="I257" s="204"/>
      <c r="J257" s="205">
        <f t="shared" si="51"/>
        <v>0</v>
      </c>
      <c r="K257" s="205">
        <f t="shared" si="52"/>
        <v>0</v>
      </c>
      <c r="L257" s="323">
        <f t="shared" si="53"/>
        <v>107200</v>
      </c>
      <c r="M257" s="348">
        <f t="shared" si="54"/>
        <v>120000</v>
      </c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 spans="1:26" ht="14.4">
      <c r="A258" s="672"/>
      <c r="B258" s="230" t="s">
        <v>356</v>
      </c>
      <c r="C258" s="227">
        <v>89</v>
      </c>
      <c r="D258" s="201"/>
      <c r="E258" s="321"/>
      <c r="F258" s="202">
        <f t="shared" si="50"/>
        <v>89</v>
      </c>
      <c r="G258" s="203">
        <v>10800</v>
      </c>
      <c r="H258" s="203">
        <v>13000</v>
      </c>
      <c r="I258" s="204"/>
      <c r="J258" s="205">
        <f t="shared" si="51"/>
        <v>0</v>
      </c>
      <c r="K258" s="205">
        <f t="shared" si="52"/>
        <v>0</v>
      </c>
      <c r="L258" s="323">
        <f t="shared" si="53"/>
        <v>961200</v>
      </c>
      <c r="M258" s="348">
        <f t="shared" si="54"/>
        <v>1157000</v>
      </c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 spans="1:26" ht="14.4">
      <c r="A259" s="672"/>
      <c r="B259" s="230" t="s">
        <v>357</v>
      </c>
      <c r="C259" s="227">
        <f>28</f>
        <v>28</v>
      </c>
      <c r="D259" s="201"/>
      <c r="E259" s="321"/>
      <c r="F259" s="202">
        <f t="shared" si="50"/>
        <v>28</v>
      </c>
      <c r="G259" s="203">
        <v>2000</v>
      </c>
      <c r="H259" s="203">
        <v>3000</v>
      </c>
      <c r="I259" s="204"/>
      <c r="J259" s="205">
        <f t="shared" si="51"/>
        <v>0</v>
      </c>
      <c r="K259" s="205">
        <f t="shared" si="52"/>
        <v>0</v>
      </c>
      <c r="L259" s="323">
        <f t="shared" si="53"/>
        <v>56000</v>
      </c>
      <c r="M259" s="348">
        <f t="shared" si="54"/>
        <v>84000</v>
      </c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 spans="1:26" ht="14.4">
      <c r="A260" s="672"/>
      <c r="B260" s="230" t="s">
        <v>358</v>
      </c>
      <c r="C260" s="227">
        <f>44+19</f>
        <v>63</v>
      </c>
      <c r="D260" s="201"/>
      <c r="E260" s="321"/>
      <c r="F260" s="202">
        <f t="shared" si="50"/>
        <v>63</v>
      </c>
      <c r="G260" s="203">
        <v>24000</v>
      </c>
      <c r="H260" s="203">
        <v>27700</v>
      </c>
      <c r="I260" s="204"/>
      <c r="J260" s="205">
        <f t="shared" si="51"/>
        <v>0</v>
      </c>
      <c r="K260" s="205">
        <f t="shared" si="52"/>
        <v>0</v>
      </c>
      <c r="L260" s="323">
        <f t="shared" si="53"/>
        <v>1512000</v>
      </c>
      <c r="M260" s="348">
        <f t="shared" si="54"/>
        <v>1745100</v>
      </c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 spans="1:26" ht="14.4">
      <c r="A261" s="672"/>
      <c r="B261" s="350" t="s">
        <v>359</v>
      </c>
      <c r="C261" s="227">
        <f>12+8</f>
        <v>20</v>
      </c>
      <c r="D261" s="201"/>
      <c r="E261" s="321"/>
      <c r="F261" s="202">
        <f t="shared" si="50"/>
        <v>20</v>
      </c>
      <c r="G261" s="351">
        <v>27000</v>
      </c>
      <c r="H261" s="351">
        <v>32000</v>
      </c>
      <c r="I261" s="204"/>
      <c r="J261" s="205">
        <f t="shared" si="51"/>
        <v>0</v>
      </c>
      <c r="K261" s="205">
        <f t="shared" si="52"/>
        <v>0</v>
      </c>
      <c r="L261" s="323">
        <f t="shared" si="53"/>
        <v>540000</v>
      </c>
      <c r="M261" s="348">
        <f t="shared" si="54"/>
        <v>640000</v>
      </c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spans="1:26" ht="14.4">
      <c r="A262" s="672"/>
      <c r="B262" s="230" t="s">
        <v>360</v>
      </c>
      <c r="C262" s="227">
        <v>9</v>
      </c>
      <c r="D262" s="201"/>
      <c r="E262" s="321"/>
      <c r="F262" s="202">
        <f t="shared" si="50"/>
        <v>9</v>
      </c>
      <c r="G262" s="203">
        <v>18000</v>
      </c>
      <c r="H262" s="203">
        <v>20000</v>
      </c>
      <c r="I262" s="204"/>
      <c r="J262" s="205">
        <f t="shared" si="51"/>
        <v>0</v>
      </c>
      <c r="K262" s="205">
        <f t="shared" si="52"/>
        <v>0</v>
      </c>
      <c r="L262" s="323">
        <f t="shared" si="53"/>
        <v>162000</v>
      </c>
      <c r="M262" s="348">
        <f t="shared" si="54"/>
        <v>180000</v>
      </c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spans="1:26" ht="14.4">
      <c r="A263" s="672"/>
      <c r="B263" s="230" t="s">
        <v>96</v>
      </c>
      <c r="C263" s="227">
        <v>29</v>
      </c>
      <c r="D263" s="201"/>
      <c r="E263" s="321"/>
      <c r="F263" s="202">
        <f t="shared" si="50"/>
        <v>29</v>
      </c>
      <c r="G263" s="203">
        <v>12000</v>
      </c>
      <c r="H263" s="203">
        <v>13500</v>
      </c>
      <c r="I263" s="204"/>
      <c r="J263" s="205">
        <f t="shared" si="51"/>
        <v>0</v>
      </c>
      <c r="K263" s="205">
        <f t="shared" si="52"/>
        <v>0</v>
      </c>
      <c r="L263" s="323">
        <f t="shared" si="53"/>
        <v>348000</v>
      </c>
      <c r="M263" s="348">
        <f t="shared" si="54"/>
        <v>391500</v>
      </c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spans="1:26" ht="14.4">
      <c r="A264" s="672"/>
      <c r="B264" s="230" t="s">
        <v>361</v>
      </c>
      <c r="C264" s="229">
        <v>58</v>
      </c>
      <c r="D264" s="201"/>
      <c r="E264" s="321"/>
      <c r="F264" s="202">
        <f t="shared" si="50"/>
        <v>58</v>
      </c>
      <c r="G264" s="203">
        <v>40000</v>
      </c>
      <c r="H264" s="203">
        <v>46000</v>
      </c>
      <c r="I264" s="204"/>
      <c r="J264" s="205">
        <f t="shared" si="51"/>
        <v>0</v>
      </c>
      <c r="K264" s="205">
        <f t="shared" si="52"/>
        <v>0</v>
      </c>
      <c r="L264" s="323">
        <f t="shared" si="53"/>
        <v>2320000</v>
      </c>
      <c r="M264" s="348">
        <f t="shared" si="54"/>
        <v>2668000</v>
      </c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spans="1:26" ht="14.4">
      <c r="A265" s="672"/>
      <c r="B265" s="230" t="s">
        <v>362</v>
      </c>
      <c r="C265" s="227">
        <v>15</v>
      </c>
      <c r="D265" s="201"/>
      <c r="E265" s="321"/>
      <c r="F265" s="202">
        <f t="shared" si="50"/>
        <v>15</v>
      </c>
      <c r="G265" s="203">
        <v>18000</v>
      </c>
      <c r="H265" s="203">
        <v>20000</v>
      </c>
      <c r="I265" s="204"/>
      <c r="J265" s="205">
        <f t="shared" si="51"/>
        <v>0</v>
      </c>
      <c r="K265" s="205">
        <f t="shared" si="52"/>
        <v>0</v>
      </c>
      <c r="L265" s="323">
        <f t="shared" si="53"/>
        <v>270000</v>
      </c>
      <c r="M265" s="348">
        <f t="shared" si="54"/>
        <v>300000</v>
      </c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spans="1:26" ht="14.4">
      <c r="A266" s="672"/>
      <c r="B266" s="230" t="s">
        <v>363</v>
      </c>
      <c r="C266" s="229">
        <v>150</v>
      </c>
      <c r="D266" s="201"/>
      <c r="E266" s="321"/>
      <c r="F266" s="202">
        <f t="shared" si="50"/>
        <v>150</v>
      </c>
      <c r="G266" s="203">
        <v>10400</v>
      </c>
      <c r="H266" s="203">
        <v>12000</v>
      </c>
      <c r="I266" s="204"/>
      <c r="J266" s="205">
        <f t="shared" si="51"/>
        <v>0</v>
      </c>
      <c r="K266" s="205">
        <f t="shared" si="52"/>
        <v>0</v>
      </c>
      <c r="L266" s="323">
        <f t="shared" si="53"/>
        <v>1560000</v>
      </c>
      <c r="M266" s="348">
        <f t="shared" si="54"/>
        <v>1800000</v>
      </c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spans="1:26" ht="14.4">
      <c r="A267" s="672"/>
      <c r="B267" s="230" t="s">
        <v>364</v>
      </c>
      <c r="C267" s="227">
        <v>14</v>
      </c>
      <c r="D267" s="201"/>
      <c r="E267" s="321"/>
      <c r="F267" s="202">
        <f t="shared" si="50"/>
        <v>14</v>
      </c>
      <c r="G267" s="203">
        <v>31400</v>
      </c>
      <c r="H267" s="203">
        <v>35000</v>
      </c>
      <c r="I267" s="204"/>
      <c r="J267" s="205">
        <f t="shared" si="51"/>
        <v>0</v>
      </c>
      <c r="K267" s="205">
        <f t="shared" si="52"/>
        <v>0</v>
      </c>
      <c r="L267" s="323">
        <f t="shared" si="53"/>
        <v>439600</v>
      </c>
      <c r="M267" s="348">
        <f t="shared" si="54"/>
        <v>490000</v>
      </c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 spans="1:26" ht="14.4">
      <c r="A268" s="672"/>
      <c r="B268" s="352" t="s">
        <v>365</v>
      </c>
      <c r="C268" s="227">
        <v>77</v>
      </c>
      <c r="D268" s="201"/>
      <c r="E268" s="321"/>
      <c r="F268" s="202">
        <f t="shared" si="50"/>
        <v>77</v>
      </c>
      <c r="G268" s="203">
        <v>32000</v>
      </c>
      <c r="H268" s="203">
        <v>37000</v>
      </c>
      <c r="I268" s="204"/>
      <c r="J268" s="205">
        <f t="shared" si="51"/>
        <v>0</v>
      </c>
      <c r="K268" s="205">
        <f t="shared" si="52"/>
        <v>0</v>
      </c>
      <c r="L268" s="323">
        <f t="shared" si="53"/>
        <v>2464000</v>
      </c>
      <c r="M268" s="348">
        <f t="shared" si="54"/>
        <v>2849000</v>
      </c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 spans="1:26" ht="14.4">
      <c r="A269" s="672"/>
      <c r="B269" s="230" t="s">
        <v>366</v>
      </c>
      <c r="C269" s="229">
        <v>2</v>
      </c>
      <c r="D269" s="201"/>
      <c r="E269" s="321"/>
      <c r="F269" s="202">
        <f t="shared" si="50"/>
        <v>2</v>
      </c>
      <c r="G269" s="203">
        <v>40000</v>
      </c>
      <c r="H269" s="203">
        <v>45000</v>
      </c>
      <c r="I269" s="204"/>
      <c r="J269" s="205">
        <f t="shared" si="51"/>
        <v>0</v>
      </c>
      <c r="K269" s="205">
        <f t="shared" si="52"/>
        <v>0</v>
      </c>
      <c r="L269" s="323">
        <f t="shared" si="53"/>
        <v>80000</v>
      </c>
      <c r="M269" s="348">
        <f t="shared" si="54"/>
        <v>90000</v>
      </c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 spans="1:26" ht="14.4">
      <c r="A270" s="672"/>
      <c r="B270" s="230" t="s">
        <v>367</v>
      </c>
      <c r="C270" s="227">
        <v>9</v>
      </c>
      <c r="D270" s="201"/>
      <c r="E270" s="321"/>
      <c r="F270" s="202">
        <f t="shared" si="50"/>
        <v>9</v>
      </c>
      <c r="G270" s="203">
        <v>11000</v>
      </c>
      <c r="H270" s="203">
        <v>12000</v>
      </c>
      <c r="I270" s="204"/>
      <c r="J270" s="205">
        <f t="shared" si="51"/>
        <v>0</v>
      </c>
      <c r="K270" s="205">
        <f t="shared" si="52"/>
        <v>0</v>
      </c>
      <c r="L270" s="323">
        <f t="shared" si="53"/>
        <v>99000</v>
      </c>
      <c r="M270" s="348">
        <f t="shared" si="54"/>
        <v>108000</v>
      </c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 spans="1:26" ht="14.4">
      <c r="A271" s="672"/>
      <c r="B271" s="211" t="s">
        <v>368</v>
      </c>
      <c r="C271" s="229">
        <v>2</v>
      </c>
      <c r="D271" s="201"/>
      <c r="E271" s="321"/>
      <c r="F271" s="202">
        <f t="shared" si="50"/>
        <v>2</v>
      </c>
      <c r="G271" s="203">
        <v>15600</v>
      </c>
      <c r="H271" s="203">
        <v>17600</v>
      </c>
      <c r="I271" s="204"/>
      <c r="J271" s="205">
        <f t="shared" si="51"/>
        <v>0</v>
      </c>
      <c r="K271" s="205">
        <f t="shared" si="52"/>
        <v>0</v>
      </c>
      <c r="L271" s="323">
        <f t="shared" si="53"/>
        <v>31200</v>
      </c>
      <c r="M271" s="348">
        <f t="shared" si="54"/>
        <v>35200</v>
      </c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 spans="1:26" ht="14.4">
      <c r="A272" s="672"/>
      <c r="B272" s="211" t="s">
        <v>369</v>
      </c>
      <c r="C272" s="229">
        <v>4</v>
      </c>
      <c r="D272" s="201"/>
      <c r="E272" s="321"/>
      <c r="F272" s="202">
        <f t="shared" si="50"/>
        <v>4</v>
      </c>
      <c r="G272" s="203">
        <v>20700</v>
      </c>
      <c r="H272" s="203">
        <v>21700</v>
      </c>
      <c r="I272" s="204"/>
      <c r="J272" s="205">
        <f t="shared" si="51"/>
        <v>0</v>
      </c>
      <c r="K272" s="205">
        <f t="shared" si="52"/>
        <v>0</v>
      </c>
      <c r="L272" s="323">
        <f t="shared" si="53"/>
        <v>82800</v>
      </c>
      <c r="M272" s="348">
        <f t="shared" si="54"/>
        <v>86800</v>
      </c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 spans="1:26" ht="14.4">
      <c r="A273" s="672"/>
      <c r="B273" s="230" t="s">
        <v>370</v>
      </c>
      <c r="C273" s="227">
        <v>2</v>
      </c>
      <c r="D273" s="201"/>
      <c r="E273" s="321"/>
      <c r="F273" s="202">
        <f t="shared" si="50"/>
        <v>2</v>
      </c>
      <c r="G273" s="203">
        <v>36000</v>
      </c>
      <c r="H273" s="203">
        <v>40000</v>
      </c>
      <c r="I273" s="204"/>
      <c r="J273" s="205">
        <f t="shared" si="51"/>
        <v>0</v>
      </c>
      <c r="K273" s="205">
        <f t="shared" si="52"/>
        <v>0</v>
      </c>
      <c r="L273" s="323">
        <f t="shared" si="53"/>
        <v>72000</v>
      </c>
      <c r="M273" s="348">
        <f t="shared" si="54"/>
        <v>80000</v>
      </c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 spans="1:26" ht="14.4">
      <c r="A274" s="672"/>
      <c r="B274" s="230" t="s">
        <v>371</v>
      </c>
      <c r="C274" s="227">
        <v>6</v>
      </c>
      <c r="D274" s="201"/>
      <c r="E274" s="321"/>
      <c r="F274" s="202">
        <f t="shared" si="50"/>
        <v>6</v>
      </c>
      <c r="G274" s="203">
        <v>22000</v>
      </c>
      <c r="H274" s="203">
        <v>24000</v>
      </c>
      <c r="I274" s="204"/>
      <c r="J274" s="205">
        <f t="shared" si="51"/>
        <v>0</v>
      </c>
      <c r="K274" s="205">
        <f t="shared" si="52"/>
        <v>0</v>
      </c>
      <c r="L274" s="323">
        <f t="shared" si="53"/>
        <v>132000</v>
      </c>
      <c r="M274" s="348">
        <f t="shared" si="54"/>
        <v>144000</v>
      </c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 spans="1:26" ht="14.4">
      <c r="A275" s="672"/>
      <c r="B275" s="230" t="s">
        <v>372</v>
      </c>
      <c r="C275" s="227">
        <v>0.5</v>
      </c>
      <c r="D275" s="201"/>
      <c r="E275" s="321"/>
      <c r="F275" s="202">
        <f t="shared" si="50"/>
        <v>0.5</v>
      </c>
      <c r="G275" s="203">
        <v>34100</v>
      </c>
      <c r="H275" s="203">
        <v>37000</v>
      </c>
      <c r="I275" s="204"/>
      <c r="J275" s="205">
        <f t="shared" si="51"/>
        <v>0</v>
      </c>
      <c r="K275" s="205">
        <f t="shared" si="52"/>
        <v>0</v>
      </c>
      <c r="L275" s="323">
        <f t="shared" si="53"/>
        <v>17050</v>
      </c>
      <c r="M275" s="348">
        <f t="shared" si="54"/>
        <v>18500</v>
      </c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1:26" ht="14.4">
      <c r="A276" s="672"/>
      <c r="B276" s="230" t="s">
        <v>88</v>
      </c>
      <c r="C276" s="229">
        <v>16</v>
      </c>
      <c r="D276" s="201"/>
      <c r="E276" s="321"/>
      <c r="F276" s="202">
        <f t="shared" si="50"/>
        <v>16</v>
      </c>
      <c r="G276" s="203">
        <v>16000</v>
      </c>
      <c r="H276" s="203">
        <v>20000</v>
      </c>
      <c r="I276" s="204"/>
      <c r="J276" s="205">
        <f t="shared" si="51"/>
        <v>0</v>
      </c>
      <c r="K276" s="205">
        <f t="shared" si="52"/>
        <v>0</v>
      </c>
      <c r="L276" s="323">
        <f t="shared" si="53"/>
        <v>256000</v>
      </c>
      <c r="M276" s="348">
        <f t="shared" si="54"/>
        <v>320000</v>
      </c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1:26" ht="14.4">
      <c r="A277" s="672"/>
      <c r="B277" s="230" t="s">
        <v>86</v>
      </c>
      <c r="C277" s="227">
        <v>12</v>
      </c>
      <c r="D277" s="201"/>
      <c r="E277" s="321"/>
      <c r="F277" s="202">
        <f t="shared" si="50"/>
        <v>12</v>
      </c>
      <c r="G277" s="203">
        <v>51818</v>
      </c>
      <c r="H277" s="203">
        <v>57000</v>
      </c>
      <c r="I277" s="204"/>
      <c r="J277" s="205">
        <f t="shared" si="51"/>
        <v>0</v>
      </c>
      <c r="K277" s="205">
        <f t="shared" si="52"/>
        <v>0</v>
      </c>
      <c r="L277" s="323">
        <f t="shared" si="53"/>
        <v>621816</v>
      </c>
      <c r="M277" s="348">
        <f t="shared" si="54"/>
        <v>684000</v>
      </c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1:26" ht="14.4">
      <c r="A278" s="672"/>
      <c r="B278" s="230" t="s">
        <v>87</v>
      </c>
      <c r="C278" s="227">
        <v>53.5</v>
      </c>
      <c r="D278" s="201"/>
      <c r="E278" s="321"/>
      <c r="F278" s="202">
        <f t="shared" si="50"/>
        <v>53.5</v>
      </c>
      <c r="G278" s="203">
        <v>22000</v>
      </c>
      <c r="H278" s="203">
        <v>28000</v>
      </c>
      <c r="I278" s="204"/>
      <c r="J278" s="205">
        <f t="shared" si="51"/>
        <v>0</v>
      </c>
      <c r="K278" s="205">
        <f t="shared" si="52"/>
        <v>0</v>
      </c>
      <c r="L278" s="323">
        <f t="shared" si="53"/>
        <v>1177000</v>
      </c>
      <c r="M278" s="348">
        <f t="shared" si="54"/>
        <v>1498000</v>
      </c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1:26" ht="14.4">
      <c r="A279" s="672"/>
      <c r="B279" s="230" t="s">
        <v>373</v>
      </c>
      <c r="C279" s="227">
        <v>35</v>
      </c>
      <c r="D279" s="201"/>
      <c r="E279" s="321"/>
      <c r="F279" s="202">
        <f t="shared" si="50"/>
        <v>35</v>
      </c>
      <c r="G279" s="203">
        <v>3716</v>
      </c>
      <c r="H279" s="203">
        <v>4000</v>
      </c>
      <c r="I279" s="204"/>
      <c r="J279" s="205">
        <f t="shared" si="51"/>
        <v>0</v>
      </c>
      <c r="K279" s="205">
        <f t="shared" si="52"/>
        <v>0</v>
      </c>
      <c r="L279" s="323">
        <f t="shared" si="53"/>
        <v>130060</v>
      </c>
      <c r="M279" s="348">
        <f t="shared" si="54"/>
        <v>140000</v>
      </c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1:26" ht="14.4">
      <c r="A280" s="672"/>
      <c r="B280" s="230" t="s">
        <v>374</v>
      </c>
      <c r="C280" s="227">
        <v>50</v>
      </c>
      <c r="D280" s="201"/>
      <c r="E280" s="321"/>
      <c r="F280" s="202">
        <f t="shared" si="50"/>
        <v>50</v>
      </c>
      <c r="G280" s="203">
        <v>22000</v>
      </c>
      <c r="H280" s="203">
        <v>28000</v>
      </c>
      <c r="I280" s="204"/>
      <c r="J280" s="205">
        <f t="shared" si="51"/>
        <v>0</v>
      </c>
      <c r="K280" s="205">
        <f t="shared" si="52"/>
        <v>0</v>
      </c>
      <c r="L280" s="323">
        <f t="shared" si="53"/>
        <v>1100000</v>
      </c>
      <c r="M280" s="348">
        <f t="shared" si="54"/>
        <v>1400000</v>
      </c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 spans="1:26" ht="14.4">
      <c r="A281" s="672"/>
      <c r="B281" s="230" t="s">
        <v>375</v>
      </c>
      <c r="C281" s="227">
        <v>5.5</v>
      </c>
      <c r="D281" s="201"/>
      <c r="E281" s="321"/>
      <c r="F281" s="202">
        <f t="shared" si="50"/>
        <v>5.5</v>
      </c>
      <c r="G281" s="203">
        <v>28000</v>
      </c>
      <c r="H281" s="203">
        <v>30000</v>
      </c>
      <c r="I281" s="204"/>
      <c r="J281" s="205">
        <f t="shared" si="51"/>
        <v>0</v>
      </c>
      <c r="K281" s="205">
        <f t="shared" si="52"/>
        <v>0</v>
      </c>
      <c r="L281" s="323">
        <f t="shared" si="53"/>
        <v>154000</v>
      </c>
      <c r="M281" s="348">
        <f t="shared" si="54"/>
        <v>165000</v>
      </c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 spans="1:26" ht="14.4">
      <c r="A282" s="672"/>
      <c r="B282" s="230" t="s">
        <v>376</v>
      </c>
      <c r="C282" s="227">
        <v>5</v>
      </c>
      <c r="D282" s="201"/>
      <c r="E282" s="321"/>
      <c r="F282" s="202">
        <f t="shared" si="50"/>
        <v>5</v>
      </c>
      <c r="G282" s="203">
        <v>22000</v>
      </c>
      <c r="H282" s="203">
        <v>25000</v>
      </c>
      <c r="I282" s="204"/>
      <c r="J282" s="205">
        <f t="shared" si="51"/>
        <v>0</v>
      </c>
      <c r="K282" s="205">
        <f t="shared" si="52"/>
        <v>0</v>
      </c>
      <c r="L282" s="323">
        <f t="shared" si="53"/>
        <v>110000</v>
      </c>
      <c r="M282" s="348">
        <f t="shared" si="54"/>
        <v>125000</v>
      </c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 spans="1:26" ht="14.4">
      <c r="A283" s="672"/>
      <c r="B283" s="211" t="s">
        <v>277</v>
      </c>
      <c r="C283" s="227"/>
      <c r="D283" s="201"/>
      <c r="E283" s="321"/>
      <c r="F283" s="202">
        <f t="shared" si="50"/>
        <v>0</v>
      </c>
      <c r="G283" s="203">
        <v>2500</v>
      </c>
      <c r="H283" s="203">
        <v>3000</v>
      </c>
      <c r="I283" s="204"/>
      <c r="J283" s="205">
        <f t="shared" si="51"/>
        <v>0</v>
      </c>
      <c r="K283" s="205">
        <f t="shared" si="52"/>
        <v>0</v>
      </c>
      <c r="L283" s="323">
        <f t="shared" si="53"/>
        <v>0</v>
      </c>
      <c r="M283" s="348">
        <f t="shared" si="54"/>
        <v>0</v>
      </c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 spans="1:26" ht="14.4">
      <c r="A284" s="672"/>
      <c r="B284" s="230" t="s">
        <v>377</v>
      </c>
      <c r="C284" s="227">
        <f>27</f>
        <v>27</v>
      </c>
      <c r="D284" s="201"/>
      <c r="E284" s="321"/>
      <c r="F284" s="202">
        <f t="shared" si="50"/>
        <v>27</v>
      </c>
      <c r="G284" s="203">
        <v>22500</v>
      </c>
      <c r="H284" s="203">
        <v>25000</v>
      </c>
      <c r="I284" s="204"/>
      <c r="J284" s="205">
        <f t="shared" si="51"/>
        <v>0</v>
      </c>
      <c r="K284" s="205">
        <f t="shared" si="52"/>
        <v>0</v>
      </c>
      <c r="L284" s="323">
        <f t="shared" si="53"/>
        <v>607500</v>
      </c>
      <c r="M284" s="348">
        <f t="shared" si="54"/>
        <v>675000</v>
      </c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 spans="1:26" ht="14.4">
      <c r="A285" s="672"/>
      <c r="B285" s="230" t="s">
        <v>378</v>
      </c>
      <c r="C285" s="227">
        <v>11</v>
      </c>
      <c r="D285" s="201"/>
      <c r="E285" s="321"/>
      <c r="F285" s="202">
        <f t="shared" si="50"/>
        <v>11</v>
      </c>
      <c r="G285" s="203">
        <v>13500</v>
      </c>
      <c r="H285" s="203">
        <v>15000</v>
      </c>
      <c r="I285" s="204"/>
      <c r="J285" s="205">
        <f t="shared" si="51"/>
        <v>0</v>
      </c>
      <c r="K285" s="205">
        <f t="shared" si="52"/>
        <v>0</v>
      </c>
      <c r="L285" s="323">
        <f t="shared" si="53"/>
        <v>148500</v>
      </c>
      <c r="M285" s="348">
        <f t="shared" si="54"/>
        <v>165000</v>
      </c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 spans="1:26" ht="14.4">
      <c r="A286" s="672"/>
      <c r="B286" s="230" t="s">
        <v>83</v>
      </c>
      <c r="C286" s="227">
        <f>12</f>
        <v>12</v>
      </c>
      <c r="D286" s="201"/>
      <c r="E286" s="321"/>
      <c r="F286" s="202">
        <f t="shared" si="50"/>
        <v>12</v>
      </c>
      <c r="G286" s="203">
        <v>46000</v>
      </c>
      <c r="H286" s="203">
        <v>52000</v>
      </c>
      <c r="I286" s="204"/>
      <c r="J286" s="205">
        <f t="shared" si="51"/>
        <v>0</v>
      </c>
      <c r="K286" s="205">
        <f t="shared" si="52"/>
        <v>0</v>
      </c>
      <c r="L286" s="323">
        <f t="shared" si="53"/>
        <v>552000</v>
      </c>
      <c r="M286" s="348">
        <f t="shared" si="54"/>
        <v>624000</v>
      </c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 spans="1:26" ht="14.4">
      <c r="A287" s="672"/>
      <c r="B287" s="230" t="s">
        <v>379</v>
      </c>
      <c r="C287" s="227">
        <v>40</v>
      </c>
      <c r="D287" s="201"/>
      <c r="E287" s="321"/>
      <c r="F287" s="202">
        <f t="shared" si="50"/>
        <v>40</v>
      </c>
      <c r="G287" s="203">
        <v>28500</v>
      </c>
      <c r="H287" s="203">
        <v>31000</v>
      </c>
      <c r="I287" s="204"/>
      <c r="J287" s="205">
        <f t="shared" si="51"/>
        <v>0</v>
      </c>
      <c r="K287" s="205">
        <f t="shared" si="52"/>
        <v>0</v>
      </c>
      <c r="L287" s="323">
        <f t="shared" si="53"/>
        <v>1140000</v>
      </c>
      <c r="M287" s="348">
        <f t="shared" si="54"/>
        <v>1240000</v>
      </c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 spans="1:26" ht="14.4">
      <c r="A288" s="672"/>
      <c r="B288" s="230" t="s">
        <v>380</v>
      </c>
      <c r="C288" s="227"/>
      <c r="D288" s="201"/>
      <c r="E288" s="321"/>
      <c r="F288" s="202">
        <f t="shared" si="50"/>
        <v>0</v>
      </c>
      <c r="G288" s="203">
        <v>28500</v>
      </c>
      <c r="H288" s="203">
        <v>31000</v>
      </c>
      <c r="I288" s="204"/>
      <c r="J288" s="205">
        <f t="shared" si="51"/>
        <v>0</v>
      </c>
      <c r="K288" s="205">
        <f t="shared" si="52"/>
        <v>0</v>
      </c>
      <c r="L288" s="323">
        <f t="shared" si="53"/>
        <v>0</v>
      </c>
      <c r="M288" s="348">
        <f t="shared" si="54"/>
        <v>0</v>
      </c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 spans="1:26" ht="14.4">
      <c r="A289" s="672"/>
      <c r="B289" s="230" t="s">
        <v>381</v>
      </c>
      <c r="C289" s="227">
        <v>9</v>
      </c>
      <c r="D289" s="201"/>
      <c r="E289" s="321"/>
      <c r="F289" s="202">
        <f t="shared" si="50"/>
        <v>9</v>
      </c>
      <c r="G289" s="239">
        <v>37500</v>
      </c>
      <c r="H289" s="239">
        <v>45000</v>
      </c>
      <c r="I289" s="213"/>
      <c r="J289" s="205">
        <f t="shared" si="51"/>
        <v>0</v>
      </c>
      <c r="K289" s="205">
        <f t="shared" si="52"/>
        <v>0</v>
      </c>
      <c r="L289" s="323">
        <f t="shared" si="53"/>
        <v>337500</v>
      </c>
      <c r="M289" s="348">
        <f t="shared" si="54"/>
        <v>405000</v>
      </c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 spans="1:26" ht="14.4">
      <c r="A290" s="672"/>
      <c r="B290" s="353" t="s">
        <v>382</v>
      </c>
      <c r="C290" s="227">
        <f>5.5</f>
        <v>5.5</v>
      </c>
      <c r="D290" s="201"/>
      <c r="E290" s="321"/>
      <c r="F290" s="202">
        <f t="shared" si="50"/>
        <v>5.5</v>
      </c>
      <c r="G290" s="354">
        <v>26000</v>
      </c>
      <c r="H290" s="354">
        <v>30000</v>
      </c>
      <c r="I290" s="355"/>
      <c r="J290" s="356">
        <f t="shared" si="51"/>
        <v>0</v>
      </c>
      <c r="K290" s="356">
        <f t="shared" si="52"/>
        <v>0</v>
      </c>
      <c r="L290" s="357">
        <f t="shared" si="53"/>
        <v>143000</v>
      </c>
      <c r="M290" s="348">
        <f t="shared" si="54"/>
        <v>165000</v>
      </c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 spans="1:26" ht="14.4">
      <c r="A291" s="672"/>
      <c r="B291" s="230" t="s">
        <v>383</v>
      </c>
      <c r="C291" s="227">
        <v>41</v>
      </c>
      <c r="D291" s="201"/>
      <c r="E291" s="321"/>
      <c r="F291" s="202">
        <f t="shared" si="50"/>
        <v>41</v>
      </c>
      <c r="G291" s="203">
        <v>32000</v>
      </c>
      <c r="H291" s="203">
        <v>36000</v>
      </c>
      <c r="I291" s="204"/>
      <c r="J291" s="205">
        <f t="shared" si="51"/>
        <v>0</v>
      </c>
      <c r="K291" s="205">
        <f t="shared" si="52"/>
        <v>0</v>
      </c>
      <c r="L291" s="323">
        <f t="shared" si="53"/>
        <v>1312000</v>
      </c>
      <c r="M291" s="348">
        <f t="shared" si="54"/>
        <v>1476000</v>
      </c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 spans="1:26" ht="14.4">
      <c r="A292" s="672"/>
      <c r="B292" s="230" t="s">
        <v>384</v>
      </c>
      <c r="C292" s="227">
        <v>32.5</v>
      </c>
      <c r="D292" s="201"/>
      <c r="E292" s="321"/>
      <c r="F292" s="202">
        <f t="shared" si="50"/>
        <v>32.5</v>
      </c>
      <c r="G292" s="203">
        <v>32000</v>
      </c>
      <c r="H292" s="203">
        <v>36000</v>
      </c>
      <c r="I292" s="204"/>
      <c r="J292" s="205">
        <f t="shared" si="51"/>
        <v>0</v>
      </c>
      <c r="K292" s="205">
        <f t="shared" si="52"/>
        <v>0</v>
      </c>
      <c r="L292" s="323">
        <f t="shared" si="53"/>
        <v>1040000</v>
      </c>
      <c r="M292" s="348">
        <f t="shared" si="54"/>
        <v>1170000</v>
      </c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 spans="1:26" ht="14.4">
      <c r="A293" s="672"/>
      <c r="B293" s="358" t="s">
        <v>385</v>
      </c>
      <c r="C293" s="227">
        <v>20</v>
      </c>
      <c r="D293" s="201"/>
      <c r="E293" s="321"/>
      <c r="F293" s="202">
        <f t="shared" si="50"/>
        <v>20</v>
      </c>
      <c r="G293" s="203">
        <v>9000</v>
      </c>
      <c r="H293" s="203">
        <v>10000</v>
      </c>
      <c r="I293" s="204"/>
      <c r="J293" s="205">
        <f t="shared" si="51"/>
        <v>0</v>
      </c>
      <c r="K293" s="205">
        <f t="shared" si="52"/>
        <v>0</v>
      </c>
      <c r="L293" s="323">
        <f t="shared" si="53"/>
        <v>180000</v>
      </c>
      <c r="M293" s="348">
        <f t="shared" si="54"/>
        <v>200000</v>
      </c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 spans="1:26" ht="14.4">
      <c r="A294" s="672"/>
      <c r="B294" s="230" t="s">
        <v>386</v>
      </c>
      <c r="C294" s="227">
        <v>22</v>
      </c>
      <c r="D294" s="201"/>
      <c r="E294" s="321"/>
      <c r="F294" s="202">
        <f t="shared" si="50"/>
        <v>22</v>
      </c>
      <c r="G294" s="203">
        <v>33000</v>
      </c>
      <c r="H294" s="203">
        <v>36000</v>
      </c>
      <c r="I294" s="204"/>
      <c r="J294" s="205">
        <f t="shared" si="51"/>
        <v>0</v>
      </c>
      <c r="K294" s="205">
        <f t="shared" si="52"/>
        <v>0</v>
      </c>
      <c r="L294" s="323">
        <f t="shared" si="53"/>
        <v>726000</v>
      </c>
      <c r="M294" s="348">
        <f t="shared" si="54"/>
        <v>792000</v>
      </c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 spans="1:26" ht="14.4">
      <c r="A295" s="672"/>
      <c r="B295" s="230" t="s">
        <v>387</v>
      </c>
      <c r="C295" s="229">
        <v>6</v>
      </c>
      <c r="D295" s="201"/>
      <c r="E295" s="321"/>
      <c r="F295" s="202">
        <f t="shared" si="50"/>
        <v>6</v>
      </c>
      <c r="G295" s="203">
        <v>21500</v>
      </c>
      <c r="H295" s="203">
        <v>28000</v>
      </c>
      <c r="I295" s="204"/>
      <c r="J295" s="205">
        <f t="shared" si="51"/>
        <v>0</v>
      </c>
      <c r="K295" s="205">
        <f t="shared" si="52"/>
        <v>0</v>
      </c>
      <c r="L295" s="323">
        <f t="shared" si="53"/>
        <v>129000</v>
      </c>
      <c r="M295" s="348">
        <f t="shared" si="54"/>
        <v>168000</v>
      </c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 spans="1:26" ht="14.4">
      <c r="A296" s="672"/>
      <c r="B296" s="230" t="s">
        <v>388</v>
      </c>
      <c r="C296" s="229"/>
      <c r="D296" s="201"/>
      <c r="E296" s="321"/>
      <c r="F296" s="202">
        <f t="shared" si="50"/>
        <v>0</v>
      </c>
      <c r="G296" s="203">
        <v>5300</v>
      </c>
      <c r="H296" s="203">
        <v>7000</v>
      </c>
      <c r="I296" s="204"/>
      <c r="J296" s="205">
        <f t="shared" si="51"/>
        <v>0</v>
      </c>
      <c r="K296" s="205">
        <f t="shared" si="52"/>
        <v>0</v>
      </c>
      <c r="L296" s="323">
        <f t="shared" si="53"/>
        <v>0</v>
      </c>
      <c r="M296" s="348">
        <f t="shared" si="54"/>
        <v>0</v>
      </c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 spans="1:26" ht="14.4">
      <c r="A297" s="672"/>
      <c r="B297" s="359" t="s">
        <v>389</v>
      </c>
      <c r="C297" s="227">
        <v>11</v>
      </c>
      <c r="D297" s="201"/>
      <c r="E297" s="321"/>
      <c r="F297" s="202">
        <f t="shared" si="50"/>
        <v>11</v>
      </c>
      <c r="G297" s="360">
        <v>13500</v>
      </c>
      <c r="H297" s="360">
        <v>15000</v>
      </c>
      <c r="I297" s="361"/>
      <c r="J297" s="362">
        <f t="shared" si="51"/>
        <v>0</v>
      </c>
      <c r="K297" s="362">
        <f t="shared" si="52"/>
        <v>0</v>
      </c>
      <c r="L297" s="363">
        <f t="shared" si="53"/>
        <v>148500</v>
      </c>
      <c r="M297" s="348">
        <f t="shared" si="54"/>
        <v>165000</v>
      </c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 spans="1:26" ht="14.4">
      <c r="A298" s="672"/>
      <c r="B298" s="230" t="s">
        <v>390</v>
      </c>
      <c r="C298" s="227">
        <v>4</v>
      </c>
      <c r="D298" s="201"/>
      <c r="E298" s="321"/>
      <c r="F298" s="202">
        <f t="shared" si="50"/>
        <v>4</v>
      </c>
      <c r="G298" s="203">
        <v>26000</v>
      </c>
      <c r="H298" s="203">
        <v>30000</v>
      </c>
      <c r="I298" s="204"/>
      <c r="J298" s="205">
        <f t="shared" si="51"/>
        <v>0</v>
      </c>
      <c r="K298" s="205">
        <f t="shared" si="52"/>
        <v>0</v>
      </c>
      <c r="L298" s="323">
        <f t="shared" si="53"/>
        <v>104000</v>
      </c>
      <c r="M298" s="348">
        <f t="shared" si="54"/>
        <v>120000</v>
      </c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 spans="1:26" ht="14.4">
      <c r="A299" s="672"/>
      <c r="B299" s="230" t="s">
        <v>391</v>
      </c>
      <c r="C299" s="229">
        <v>3</v>
      </c>
      <c r="D299" s="201"/>
      <c r="E299" s="321"/>
      <c r="F299" s="202">
        <f t="shared" si="50"/>
        <v>3</v>
      </c>
      <c r="G299" s="203">
        <v>32000</v>
      </c>
      <c r="H299" s="203">
        <v>35000</v>
      </c>
      <c r="I299" s="204"/>
      <c r="J299" s="205">
        <f t="shared" si="51"/>
        <v>0</v>
      </c>
      <c r="K299" s="205">
        <f t="shared" si="52"/>
        <v>0</v>
      </c>
      <c r="L299" s="323">
        <f t="shared" si="53"/>
        <v>96000</v>
      </c>
      <c r="M299" s="348">
        <f t="shared" si="54"/>
        <v>105000</v>
      </c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 spans="1:26" ht="14.4">
      <c r="A300" s="672"/>
      <c r="B300" s="211" t="s">
        <v>392</v>
      </c>
      <c r="C300" s="229">
        <v>4</v>
      </c>
      <c r="D300" s="201"/>
      <c r="E300" s="321"/>
      <c r="F300" s="202">
        <f t="shared" si="50"/>
        <v>4</v>
      </c>
      <c r="G300" s="203">
        <v>22000</v>
      </c>
      <c r="H300" s="203">
        <v>25000</v>
      </c>
      <c r="I300" s="204"/>
      <c r="J300" s="205">
        <f>+I300*F115</f>
        <v>0</v>
      </c>
      <c r="K300" s="205">
        <f t="shared" si="52"/>
        <v>0</v>
      </c>
      <c r="L300" s="323">
        <f t="shared" si="53"/>
        <v>88000</v>
      </c>
      <c r="M300" s="348">
        <f t="shared" si="54"/>
        <v>100000</v>
      </c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 spans="1:26" ht="14.4">
      <c r="A301" s="672"/>
      <c r="B301" s="230" t="s">
        <v>393</v>
      </c>
      <c r="C301" s="227"/>
      <c r="D301" s="201"/>
      <c r="E301" s="321"/>
      <c r="F301" s="202">
        <f t="shared" si="50"/>
        <v>0</v>
      </c>
      <c r="G301" s="203">
        <v>22000</v>
      </c>
      <c r="H301" s="203">
        <v>25000</v>
      </c>
      <c r="I301" s="204"/>
      <c r="J301" s="205">
        <f t="shared" ref="J301:J306" si="55">+I301*H301</f>
        <v>0</v>
      </c>
      <c r="K301" s="205">
        <f t="shared" si="52"/>
        <v>0</v>
      </c>
      <c r="L301" s="323">
        <f t="shared" si="53"/>
        <v>0</v>
      </c>
      <c r="M301" s="348">
        <f t="shared" si="54"/>
        <v>0</v>
      </c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 spans="1:26" ht="14.4">
      <c r="A302" s="672"/>
      <c r="B302" s="230" t="s">
        <v>394</v>
      </c>
      <c r="C302" s="227">
        <v>3</v>
      </c>
      <c r="D302" s="201"/>
      <c r="E302" s="321"/>
      <c r="F302" s="202">
        <f t="shared" si="50"/>
        <v>3</v>
      </c>
      <c r="G302" s="203">
        <v>13500</v>
      </c>
      <c r="H302" s="203">
        <v>15000</v>
      </c>
      <c r="I302" s="204"/>
      <c r="J302" s="205">
        <f t="shared" si="55"/>
        <v>0</v>
      </c>
      <c r="K302" s="205">
        <f t="shared" si="52"/>
        <v>0</v>
      </c>
      <c r="L302" s="323">
        <f t="shared" si="53"/>
        <v>40500</v>
      </c>
      <c r="M302" s="348">
        <f t="shared" si="54"/>
        <v>45000</v>
      </c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 spans="1:26" ht="14.4">
      <c r="A303" s="672"/>
      <c r="B303" s="230" t="s">
        <v>395</v>
      </c>
      <c r="C303" s="227">
        <v>13</v>
      </c>
      <c r="D303" s="201"/>
      <c r="E303" s="321"/>
      <c r="F303" s="202">
        <f t="shared" si="50"/>
        <v>13</v>
      </c>
      <c r="G303" s="203">
        <v>31300</v>
      </c>
      <c r="H303" s="203">
        <v>35000</v>
      </c>
      <c r="I303" s="204"/>
      <c r="J303" s="205">
        <f t="shared" si="55"/>
        <v>0</v>
      </c>
      <c r="K303" s="205">
        <f t="shared" si="52"/>
        <v>0</v>
      </c>
      <c r="L303" s="323">
        <f t="shared" si="53"/>
        <v>406900</v>
      </c>
      <c r="M303" s="348">
        <f t="shared" si="54"/>
        <v>455000</v>
      </c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 spans="1:26" ht="14.4">
      <c r="A304" s="672"/>
      <c r="B304" s="230" t="s">
        <v>396</v>
      </c>
      <c r="C304" s="229">
        <v>3</v>
      </c>
      <c r="D304" s="201"/>
      <c r="E304" s="321"/>
      <c r="F304" s="202">
        <f t="shared" si="50"/>
        <v>3</v>
      </c>
      <c r="G304" s="203">
        <v>17000</v>
      </c>
      <c r="H304" s="203">
        <v>18700</v>
      </c>
      <c r="I304" s="204"/>
      <c r="J304" s="205">
        <f t="shared" si="55"/>
        <v>0</v>
      </c>
      <c r="K304" s="205">
        <f t="shared" si="52"/>
        <v>0</v>
      </c>
      <c r="L304" s="323">
        <f t="shared" si="53"/>
        <v>51000</v>
      </c>
      <c r="M304" s="348">
        <f t="shared" si="54"/>
        <v>56100</v>
      </c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 spans="1:26" ht="14.4">
      <c r="A305" s="672"/>
      <c r="B305" s="230" t="s">
        <v>397</v>
      </c>
      <c r="C305" s="229">
        <v>4</v>
      </c>
      <c r="D305" s="201"/>
      <c r="E305" s="321"/>
      <c r="F305" s="202">
        <f t="shared" si="50"/>
        <v>4</v>
      </c>
      <c r="G305" s="203">
        <v>11000</v>
      </c>
      <c r="H305" s="203">
        <v>12000</v>
      </c>
      <c r="I305" s="204"/>
      <c r="J305" s="205">
        <f t="shared" si="55"/>
        <v>0</v>
      </c>
      <c r="K305" s="205">
        <f t="shared" si="52"/>
        <v>0</v>
      </c>
      <c r="L305" s="323">
        <f t="shared" si="53"/>
        <v>44000</v>
      </c>
      <c r="M305" s="348">
        <f t="shared" si="54"/>
        <v>48000</v>
      </c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 spans="1:26" ht="14.4">
      <c r="A306" s="672"/>
      <c r="B306" s="230" t="s">
        <v>398</v>
      </c>
      <c r="C306" s="229">
        <v>2</v>
      </c>
      <c r="D306" s="201"/>
      <c r="E306" s="321"/>
      <c r="F306" s="202">
        <f t="shared" si="50"/>
        <v>2</v>
      </c>
      <c r="G306" s="203">
        <v>31300</v>
      </c>
      <c r="H306" s="203">
        <v>35000</v>
      </c>
      <c r="I306" s="204"/>
      <c r="J306" s="205">
        <f t="shared" si="55"/>
        <v>0</v>
      </c>
      <c r="K306" s="205">
        <f t="shared" si="52"/>
        <v>0</v>
      </c>
      <c r="L306" s="323">
        <f t="shared" si="53"/>
        <v>62600</v>
      </c>
      <c r="M306" s="348">
        <f t="shared" si="54"/>
        <v>70000</v>
      </c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 spans="1:26" ht="14.4">
      <c r="A307" s="673"/>
      <c r="B307" s="364"/>
      <c r="C307" s="365"/>
      <c r="D307" s="365"/>
      <c r="E307" s="366">
        <f>SUM(E245:E302)</f>
        <v>0</v>
      </c>
      <c r="F307" s="367">
        <f t="shared" si="50"/>
        <v>0</v>
      </c>
      <c r="G307" s="368">
        <f t="shared" ref="G307:H307" si="56">SUM(G245:G302)</f>
        <v>1328787</v>
      </c>
      <c r="H307" s="369">
        <f t="shared" si="56"/>
        <v>1501100</v>
      </c>
      <c r="I307" s="370"/>
      <c r="J307" s="371">
        <f>SUM(J245:J306)</f>
        <v>0</v>
      </c>
      <c r="K307" s="371">
        <f>SUM(K245:K302)</f>
        <v>0</v>
      </c>
      <c r="L307" s="372">
        <f t="shared" ref="L307:M307" si="57">SUM(L245:L306)</f>
        <v>23443766</v>
      </c>
      <c r="M307" s="372">
        <f t="shared" si="57"/>
        <v>27003600</v>
      </c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 spans="1:26" ht="14.4">
      <c r="A308" s="674" t="s">
        <v>399</v>
      </c>
      <c r="B308" s="211" t="s">
        <v>105</v>
      </c>
      <c r="C308" s="238">
        <v>250</v>
      </c>
      <c r="D308" s="321"/>
      <c r="E308" s="321"/>
      <c r="F308" s="373">
        <f t="shared" si="50"/>
        <v>250</v>
      </c>
      <c r="G308" s="203">
        <v>5750</v>
      </c>
      <c r="H308" s="203">
        <v>6200</v>
      </c>
      <c r="I308" s="224"/>
      <c r="J308" s="205">
        <f t="shared" ref="J308:J324" si="58">+H308*I308</f>
        <v>0</v>
      </c>
      <c r="K308" s="205">
        <f t="shared" ref="K308:K324" si="59">+(H308-G308)*I308</f>
        <v>0</v>
      </c>
      <c r="L308" s="374">
        <f t="shared" ref="L308:L324" si="60">+G308*F308</f>
        <v>1437500</v>
      </c>
      <c r="M308" s="375">
        <f t="shared" ref="M308:M324" si="61">F308*H308</f>
        <v>1550000</v>
      </c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 spans="1:26" ht="14.4">
      <c r="A309" s="675"/>
      <c r="B309" s="211" t="s">
        <v>106</v>
      </c>
      <c r="C309" s="227">
        <v>62</v>
      </c>
      <c r="D309" s="321"/>
      <c r="E309" s="321"/>
      <c r="F309" s="373">
        <f t="shared" si="50"/>
        <v>62</v>
      </c>
      <c r="G309" s="203">
        <v>11500</v>
      </c>
      <c r="H309" s="203">
        <v>11300</v>
      </c>
      <c r="I309" s="204"/>
      <c r="J309" s="205">
        <f t="shared" si="58"/>
        <v>0</v>
      </c>
      <c r="K309" s="205">
        <f t="shared" si="59"/>
        <v>0</v>
      </c>
      <c r="L309" s="374">
        <f t="shared" si="60"/>
        <v>713000</v>
      </c>
      <c r="M309" s="375">
        <f t="shared" si="61"/>
        <v>700600</v>
      </c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 spans="1:26" ht="14.4">
      <c r="A310" s="675"/>
      <c r="B310" s="211" t="s">
        <v>400</v>
      </c>
      <c r="C310" s="229">
        <v>6</v>
      </c>
      <c r="D310" s="321"/>
      <c r="E310" s="321"/>
      <c r="F310" s="373">
        <f t="shared" si="50"/>
        <v>6</v>
      </c>
      <c r="G310" s="203">
        <v>8800</v>
      </c>
      <c r="H310" s="203">
        <v>8000</v>
      </c>
      <c r="I310" s="204"/>
      <c r="J310" s="205">
        <f t="shared" si="58"/>
        <v>0</v>
      </c>
      <c r="K310" s="205">
        <f t="shared" si="59"/>
        <v>0</v>
      </c>
      <c r="L310" s="374">
        <f t="shared" si="60"/>
        <v>52800</v>
      </c>
      <c r="M310" s="375">
        <f t="shared" si="61"/>
        <v>48000</v>
      </c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 spans="1:26" ht="14.4">
      <c r="A311" s="675"/>
      <c r="B311" s="211" t="s">
        <v>401</v>
      </c>
      <c r="C311" s="227">
        <v>38</v>
      </c>
      <c r="D311" s="321"/>
      <c r="E311" s="321"/>
      <c r="F311" s="373">
        <f t="shared" si="50"/>
        <v>38</v>
      </c>
      <c r="G311" s="203">
        <v>4400</v>
      </c>
      <c r="H311" s="203">
        <v>4700</v>
      </c>
      <c r="I311" s="204"/>
      <c r="J311" s="205">
        <f t="shared" si="58"/>
        <v>0</v>
      </c>
      <c r="K311" s="205">
        <f t="shared" si="59"/>
        <v>0</v>
      </c>
      <c r="L311" s="374">
        <f t="shared" si="60"/>
        <v>167200</v>
      </c>
      <c r="M311" s="375">
        <f t="shared" si="61"/>
        <v>178600</v>
      </c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 spans="1:26" ht="14.4">
      <c r="A312" s="675"/>
      <c r="B312" s="211" t="s">
        <v>402</v>
      </c>
      <c r="C312" s="227">
        <v>17</v>
      </c>
      <c r="D312" s="321"/>
      <c r="E312" s="321"/>
      <c r="F312" s="373">
        <f t="shared" si="50"/>
        <v>17</v>
      </c>
      <c r="G312" s="203">
        <v>4400</v>
      </c>
      <c r="H312" s="203">
        <v>4700</v>
      </c>
      <c r="I312" s="204"/>
      <c r="J312" s="205">
        <f t="shared" si="58"/>
        <v>0</v>
      </c>
      <c r="K312" s="205">
        <f t="shared" si="59"/>
        <v>0</v>
      </c>
      <c r="L312" s="374">
        <f t="shared" si="60"/>
        <v>74800</v>
      </c>
      <c r="M312" s="375">
        <f t="shared" si="61"/>
        <v>79900</v>
      </c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 spans="1:26" ht="14.4">
      <c r="A313" s="675"/>
      <c r="B313" s="211" t="s">
        <v>661</v>
      </c>
      <c r="C313" s="238">
        <v>22</v>
      </c>
      <c r="D313" s="321"/>
      <c r="E313" s="321"/>
      <c r="F313" s="373">
        <f t="shared" si="50"/>
        <v>22</v>
      </c>
      <c r="G313" s="203">
        <v>4400</v>
      </c>
      <c r="H313" s="203">
        <v>4700</v>
      </c>
      <c r="I313" s="204"/>
      <c r="J313" s="205">
        <f t="shared" si="58"/>
        <v>0</v>
      </c>
      <c r="K313" s="205">
        <f t="shared" si="59"/>
        <v>0</v>
      </c>
      <c r="L313" s="374">
        <f t="shared" si="60"/>
        <v>96800</v>
      </c>
      <c r="M313" s="375">
        <f t="shared" si="61"/>
        <v>103400</v>
      </c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 spans="1:26" ht="14.4">
      <c r="A314" s="675"/>
      <c r="B314" s="211" t="s">
        <v>403</v>
      </c>
      <c r="C314" s="238">
        <v>355</v>
      </c>
      <c r="D314" s="321"/>
      <c r="E314" s="321"/>
      <c r="F314" s="373">
        <f t="shared" si="50"/>
        <v>355</v>
      </c>
      <c r="G314" s="203">
        <v>6800</v>
      </c>
      <c r="H314" s="203">
        <v>7200</v>
      </c>
      <c r="I314" s="204"/>
      <c r="J314" s="205">
        <f t="shared" si="58"/>
        <v>0</v>
      </c>
      <c r="K314" s="205">
        <f t="shared" si="59"/>
        <v>0</v>
      </c>
      <c r="L314" s="374">
        <f t="shared" si="60"/>
        <v>2414000</v>
      </c>
      <c r="M314" s="375">
        <f t="shared" si="61"/>
        <v>2556000</v>
      </c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 spans="1:26" ht="14.4">
      <c r="A315" s="675"/>
      <c r="B315" s="211" t="s">
        <v>404</v>
      </c>
      <c r="C315" s="227">
        <v>12</v>
      </c>
      <c r="D315" s="321"/>
      <c r="E315" s="321"/>
      <c r="F315" s="373">
        <f t="shared" si="50"/>
        <v>12</v>
      </c>
      <c r="G315" s="203">
        <v>13600</v>
      </c>
      <c r="H315" s="203">
        <v>14400</v>
      </c>
      <c r="I315" s="204"/>
      <c r="J315" s="205">
        <f t="shared" si="58"/>
        <v>0</v>
      </c>
      <c r="K315" s="205">
        <f t="shared" si="59"/>
        <v>0</v>
      </c>
      <c r="L315" s="374">
        <f t="shared" si="60"/>
        <v>163200</v>
      </c>
      <c r="M315" s="375">
        <f t="shared" si="61"/>
        <v>172800</v>
      </c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 spans="1:26" ht="14.4">
      <c r="A316" s="675"/>
      <c r="B316" s="230" t="s">
        <v>405</v>
      </c>
      <c r="C316" s="238">
        <v>62</v>
      </c>
      <c r="D316" s="321"/>
      <c r="E316" s="321"/>
      <c r="F316" s="373">
        <f t="shared" si="50"/>
        <v>62</v>
      </c>
      <c r="G316" s="203">
        <v>3571</v>
      </c>
      <c r="H316" s="203">
        <v>4000</v>
      </c>
      <c r="I316" s="204"/>
      <c r="J316" s="205">
        <f t="shared" si="58"/>
        <v>0</v>
      </c>
      <c r="K316" s="205">
        <f t="shared" si="59"/>
        <v>0</v>
      </c>
      <c r="L316" s="374">
        <f t="shared" si="60"/>
        <v>221402</v>
      </c>
      <c r="M316" s="375">
        <f t="shared" si="61"/>
        <v>248000</v>
      </c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 spans="1:26" ht="14.4">
      <c r="A317" s="675"/>
      <c r="B317" s="230" t="s">
        <v>406</v>
      </c>
      <c r="C317" s="227">
        <v>8</v>
      </c>
      <c r="D317" s="321"/>
      <c r="E317" s="321"/>
      <c r="F317" s="373">
        <f t="shared" si="50"/>
        <v>8</v>
      </c>
      <c r="G317" s="203">
        <v>7141</v>
      </c>
      <c r="H317" s="203">
        <v>8000</v>
      </c>
      <c r="I317" s="204"/>
      <c r="J317" s="205">
        <f t="shared" si="58"/>
        <v>0</v>
      </c>
      <c r="K317" s="205">
        <f t="shared" si="59"/>
        <v>0</v>
      </c>
      <c r="L317" s="374">
        <f t="shared" si="60"/>
        <v>57128</v>
      </c>
      <c r="M317" s="375">
        <f t="shared" si="61"/>
        <v>64000</v>
      </c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 spans="1:26" ht="14.4">
      <c r="A318" s="675"/>
      <c r="B318" s="230" t="s">
        <v>407</v>
      </c>
      <c r="C318" s="238">
        <v>85</v>
      </c>
      <c r="D318" s="321"/>
      <c r="E318" s="321"/>
      <c r="F318" s="373">
        <f t="shared" si="50"/>
        <v>85</v>
      </c>
      <c r="G318" s="203">
        <v>5251</v>
      </c>
      <c r="H318" s="203">
        <v>5800</v>
      </c>
      <c r="I318" s="204"/>
      <c r="J318" s="205">
        <f t="shared" si="58"/>
        <v>0</v>
      </c>
      <c r="K318" s="205">
        <f t="shared" si="59"/>
        <v>0</v>
      </c>
      <c r="L318" s="374">
        <f t="shared" si="60"/>
        <v>446335</v>
      </c>
      <c r="M318" s="375">
        <f t="shared" si="61"/>
        <v>493000</v>
      </c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 spans="1:26" ht="14.4">
      <c r="A319" s="675"/>
      <c r="B319" s="230" t="s">
        <v>408</v>
      </c>
      <c r="C319" s="238">
        <v>16</v>
      </c>
      <c r="D319" s="321"/>
      <c r="E319" s="321"/>
      <c r="F319" s="373">
        <f t="shared" si="50"/>
        <v>16</v>
      </c>
      <c r="G319" s="203">
        <v>10521</v>
      </c>
      <c r="H319" s="203">
        <v>11600</v>
      </c>
      <c r="I319" s="204"/>
      <c r="J319" s="205">
        <f t="shared" si="58"/>
        <v>0</v>
      </c>
      <c r="K319" s="205">
        <f t="shared" si="59"/>
        <v>0</v>
      </c>
      <c r="L319" s="374">
        <f t="shared" si="60"/>
        <v>168336</v>
      </c>
      <c r="M319" s="375">
        <f t="shared" si="61"/>
        <v>185600</v>
      </c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 spans="1:26" ht="14.4">
      <c r="A320" s="675"/>
      <c r="B320" s="230" t="s">
        <v>409</v>
      </c>
      <c r="C320" s="227"/>
      <c r="D320" s="321"/>
      <c r="E320" s="321"/>
      <c r="F320" s="373">
        <f t="shared" si="50"/>
        <v>0</v>
      </c>
      <c r="G320" s="203">
        <v>7552</v>
      </c>
      <c r="H320" s="203">
        <v>8000</v>
      </c>
      <c r="I320" s="224"/>
      <c r="J320" s="205">
        <f t="shared" si="58"/>
        <v>0</v>
      </c>
      <c r="K320" s="205">
        <f t="shared" si="59"/>
        <v>0</v>
      </c>
      <c r="L320" s="374">
        <f t="shared" si="60"/>
        <v>0</v>
      </c>
      <c r="M320" s="375">
        <f t="shared" si="61"/>
        <v>0</v>
      </c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 spans="1:26" ht="14.4">
      <c r="A321" s="675"/>
      <c r="B321" s="230" t="s">
        <v>410</v>
      </c>
      <c r="C321" s="238">
        <v>15</v>
      </c>
      <c r="D321" s="321"/>
      <c r="E321" s="321"/>
      <c r="F321" s="373">
        <f t="shared" si="50"/>
        <v>15</v>
      </c>
      <c r="G321" s="203">
        <v>7521</v>
      </c>
      <c r="H321" s="203">
        <v>8000</v>
      </c>
      <c r="I321" s="204"/>
      <c r="J321" s="205">
        <f t="shared" si="58"/>
        <v>0</v>
      </c>
      <c r="K321" s="205">
        <f t="shared" si="59"/>
        <v>0</v>
      </c>
      <c r="L321" s="374">
        <f t="shared" si="60"/>
        <v>112815</v>
      </c>
      <c r="M321" s="375">
        <f t="shared" si="61"/>
        <v>120000</v>
      </c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 spans="1:26" ht="14.4">
      <c r="A322" s="675"/>
      <c r="B322" s="230" t="s">
        <v>411</v>
      </c>
      <c r="C322" s="227">
        <v>42</v>
      </c>
      <c r="D322" s="321"/>
      <c r="E322" s="321"/>
      <c r="F322" s="373">
        <f t="shared" si="50"/>
        <v>42</v>
      </c>
      <c r="G322" s="203">
        <v>800</v>
      </c>
      <c r="H322" s="203">
        <v>1200</v>
      </c>
      <c r="I322" s="204"/>
      <c r="J322" s="205">
        <f t="shared" si="58"/>
        <v>0</v>
      </c>
      <c r="K322" s="205">
        <f t="shared" si="59"/>
        <v>0</v>
      </c>
      <c r="L322" s="374">
        <f t="shared" si="60"/>
        <v>33600</v>
      </c>
      <c r="M322" s="375">
        <f t="shared" si="61"/>
        <v>50400</v>
      </c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 spans="1:26" ht="14.4">
      <c r="A323" s="675"/>
      <c r="B323" s="230" t="s">
        <v>412</v>
      </c>
      <c r="C323" s="227"/>
      <c r="D323" s="321"/>
      <c r="E323" s="321"/>
      <c r="F323" s="373">
        <f t="shared" si="50"/>
        <v>0</v>
      </c>
      <c r="G323" s="203">
        <v>2480</v>
      </c>
      <c r="H323" s="203">
        <v>3000</v>
      </c>
      <c r="I323" s="204"/>
      <c r="J323" s="205">
        <f t="shared" si="58"/>
        <v>0</v>
      </c>
      <c r="K323" s="205">
        <f t="shared" si="59"/>
        <v>0</v>
      </c>
      <c r="L323" s="374">
        <f t="shared" si="60"/>
        <v>0</v>
      </c>
      <c r="M323" s="375">
        <f t="shared" si="61"/>
        <v>0</v>
      </c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 spans="1:26" ht="14.4">
      <c r="A324" s="675"/>
      <c r="B324" s="230" t="s">
        <v>413</v>
      </c>
      <c r="C324" s="227">
        <v>27</v>
      </c>
      <c r="D324" s="321"/>
      <c r="E324" s="321"/>
      <c r="F324" s="373">
        <f t="shared" si="50"/>
        <v>27</v>
      </c>
      <c r="G324" s="239">
        <v>2100</v>
      </c>
      <c r="H324" s="239">
        <v>2500</v>
      </c>
      <c r="I324" s="213"/>
      <c r="J324" s="205">
        <f t="shared" si="58"/>
        <v>0</v>
      </c>
      <c r="K324" s="205">
        <f t="shared" si="59"/>
        <v>0</v>
      </c>
      <c r="L324" s="374">
        <f t="shared" si="60"/>
        <v>56700</v>
      </c>
      <c r="M324" s="375">
        <f t="shared" si="61"/>
        <v>67500</v>
      </c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 spans="1:26" ht="14.4">
      <c r="A325" s="676"/>
      <c r="B325" s="376"/>
      <c r="C325" s="377">
        <f t="shared" ref="C325:I325" si="62">SUM(C308:C321)</f>
        <v>948</v>
      </c>
      <c r="D325" s="378">
        <f t="shared" si="62"/>
        <v>0</v>
      </c>
      <c r="E325" s="379">
        <f t="shared" si="62"/>
        <v>0</v>
      </c>
      <c r="F325" s="379">
        <f t="shared" si="62"/>
        <v>948</v>
      </c>
      <c r="G325" s="380">
        <f t="shared" si="62"/>
        <v>101207</v>
      </c>
      <c r="H325" s="380">
        <f t="shared" si="62"/>
        <v>106600</v>
      </c>
      <c r="I325" s="381">
        <f t="shared" si="62"/>
        <v>0</v>
      </c>
      <c r="J325" s="382">
        <f>SUM(J308:J324)</f>
        <v>0</v>
      </c>
      <c r="K325" s="382">
        <f>SUM(K308:K321)</f>
        <v>0</v>
      </c>
      <c r="L325" s="382">
        <f t="shared" ref="L325:M325" si="63">SUM(L308:L324)</f>
        <v>6215616</v>
      </c>
      <c r="M325" s="382">
        <f t="shared" si="63"/>
        <v>6617800</v>
      </c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 spans="1:26" ht="14.4">
      <c r="A326" s="191"/>
      <c r="B326" s="383"/>
      <c r="C326" s="384"/>
      <c r="D326" s="191"/>
      <c r="E326" s="191"/>
      <c r="F326" s="191"/>
      <c r="G326" s="386"/>
      <c r="H326" s="386"/>
      <c r="I326" s="386"/>
      <c r="J326" s="387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 spans="1:26" ht="14.4">
      <c r="A327" s="191"/>
      <c r="B327" s="387"/>
      <c r="C327" s="201"/>
      <c r="D327" s="390" t="s">
        <v>118</v>
      </c>
      <c r="E327" s="390" t="s">
        <v>131</v>
      </c>
      <c r="F327" s="390" t="s">
        <v>414</v>
      </c>
      <c r="G327" s="386"/>
      <c r="H327" s="677" t="s">
        <v>415</v>
      </c>
      <c r="I327" s="678"/>
      <c r="J327" s="387"/>
      <c r="K327" s="677" t="s">
        <v>416</v>
      </c>
      <c r="L327" s="678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 spans="1:26" ht="14.4">
      <c r="A328" s="191"/>
      <c r="B328" s="390" t="s">
        <v>3</v>
      </c>
      <c r="C328" s="391"/>
      <c r="D328" s="392">
        <f t="shared" ref="D328:F328" si="64">+J22</f>
        <v>0</v>
      </c>
      <c r="E328" s="392">
        <f t="shared" si="64"/>
        <v>0</v>
      </c>
      <c r="F328" s="464">
        <f t="shared" si="64"/>
        <v>38499727</v>
      </c>
      <c r="G328" s="386"/>
      <c r="H328" s="393" t="s">
        <v>120</v>
      </c>
      <c r="I328" s="394">
        <v>180000000</v>
      </c>
      <c r="J328" s="387"/>
      <c r="K328" s="393" t="s">
        <v>417</v>
      </c>
      <c r="L328" s="394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 spans="1:26" ht="14.4">
      <c r="A329" s="191"/>
      <c r="B329" s="390" t="s">
        <v>418</v>
      </c>
      <c r="C329" s="391"/>
      <c r="D329" s="392">
        <f t="shared" ref="D329:F329" si="65">+J60</f>
        <v>0</v>
      </c>
      <c r="E329" s="392">
        <f t="shared" si="65"/>
        <v>0</v>
      </c>
      <c r="F329" s="464">
        <f t="shared" si="65"/>
        <v>97697317.5</v>
      </c>
      <c r="G329" s="386"/>
      <c r="H329" s="395" t="s">
        <v>419</v>
      </c>
      <c r="I329" s="396">
        <v>20000000</v>
      </c>
      <c r="J329" s="387" t="s">
        <v>683</v>
      </c>
      <c r="K329" s="395" t="s">
        <v>421</v>
      </c>
      <c r="L329" s="396">
        <v>460000</v>
      </c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 spans="1:26" ht="14.4">
      <c r="A330" s="191"/>
      <c r="B330" s="390" t="s">
        <v>422</v>
      </c>
      <c r="C330" s="391"/>
      <c r="D330" s="392">
        <f t="shared" ref="D330:F330" si="66">+J87</f>
        <v>0</v>
      </c>
      <c r="E330" s="392">
        <f t="shared" si="66"/>
        <v>0</v>
      </c>
      <c r="F330" s="464">
        <f t="shared" si="66"/>
        <v>21366161.25</v>
      </c>
      <c r="G330" s="386"/>
      <c r="H330" s="395" t="s">
        <v>423</v>
      </c>
      <c r="I330" s="396">
        <f>39517417-25000000-1545000</f>
        <v>12972417</v>
      </c>
      <c r="J330" s="387"/>
      <c r="K330" s="395"/>
      <c r="L330" s="396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 spans="1:26" ht="14.4">
      <c r="A331" s="191"/>
      <c r="B331" s="390" t="s">
        <v>424</v>
      </c>
      <c r="C331" s="391"/>
      <c r="D331" s="392">
        <f t="shared" ref="D331:F331" si="67">+J147</f>
        <v>0</v>
      </c>
      <c r="E331" s="392">
        <f t="shared" si="67"/>
        <v>0</v>
      </c>
      <c r="F331" s="464">
        <f t="shared" si="67"/>
        <v>7669179</v>
      </c>
      <c r="G331" s="386"/>
      <c r="H331" s="395" t="s">
        <v>662</v>
      </c>
      <c r="I331" s="396">
        <v>20000000</v>
      </c>
      <c r="J331" s="387"/>
      <c r="K331" s="395"/>
      <c r="L331" s="396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 spans="1:26" ht="14.4">
      <c r="A332" s="191"/>
      <c r="B332" s="390" t="s">
        <v>425</v>
      </c>
      <c r="C332" s="391"/>
      <c r="D332" s="392">
        <f t="shared" ref="D332:F332" si="68">+J159</f>
        <v>0</v>
      </c>
      <c r="E332" s="392">
        <f t="shared" si="68"/>
        <v>0</v>
      </c>
      <c r="F332" s="464">
        <f t="shared" si="68"/>
        <v>15815550</v>
      </c>
      <c r="G332" s="386"/>
      <c r="H332" s="395"/>
      <c r="I332" s="396"/>
      <c r="J332" s="387"/>
      <c r="K332" s="395"/>
      <c r="L332" s="396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 spans="1:26" ht="14.4">
      <c r="A333" s="191"/>
      <c r="B333" s="390" t="s">
        <v>426</v>
      </c>
      <c r="C333" s="391"/>
      <c r="D333" s="392">
        <f t="shared" ref="D333:E333" si="69">+J244</f>
        <v>0</v>
      </c>
      <c r="E333" s="392">
        <f t="shared" si="69"/>
        <v>0</v>
      </c>
      <c r="F333" s="464">
        <f>+L244+L183</f>
        <v>20428250</v>
      </c>
      <c r="G333" s="386"/>
      <c r="H333" s="395"/>
      <c r="I333" s="396"/>
      <c r="J333" s="387"/>
      <c r="K333" s="395"/>
      <c r="L333" s="396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 spans="1:26" ht="14.4">
      <c r="A334" s="191"/>
      <c r="B334" s="390" t="s">
        <v>427</v>
      </c>
      <c r="C334" s="391"/>
      <c r="D334" s="392">
        <f t="shared" ref="D334:E334" si="70">+J307</f>
        <v>0</v>
      </c>
      <c r="E334" s="392">
        <f t="shared" si="70"/>
        <v>0</v>
      </c>
      <c r="F334" s="465">
        <f>L307</f>
        <v>23443766</v>
      </c>
      <c r="G334" s="386"/>
      <c r="H334" s="395"/>
      <c r="I334" s="396"/>
      <c r="J334" s="387"/>
      <c r="K334" s="395"/>
      <c r="L334" s="396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 spans="1:26" ht="14.4">
      <c r="A335" s="191"/>
      <c r="B335" s="390" t="s">
        <v>663</v>
      </c>
      <c r="C335" s="391"/>
      <c r="D335" s="392">
        <f t="shared" ref="D335:E335" si="71">+J308</f>
        <v>0</v>
      </c>
      <c r="E335" s="392">
        <f t="shared" si="71"/>
        <v>0</v>
      </c>
      <c r="F335" s="465">
        <f>L183</f>
        <v>1980950</v>
      </c>
      <c r="G335" s="386"/>
      <c r="H335" s="395"/>
      <c r="I335" s="396"/>
      <c r="J335" s="387"/>
      <c r="K335" s="395"/>
      <c r="L335" s="396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 spans="1:26" ht="14.4">
      <c r="A336" s="191"/>
      <c r="B336" s="390" t="s">
        <v>428</v>
      </c>
      <c r="C336" s="391"/>
      <c r="D336" s="392">
        <f t="shared" ref="D336:F336" si="72">+J325</f>
        <v>0</v>
      </c>
      <c r="E336" s="392">
        <f t="shared" si="72"/>
        <v>0</v>
      </c>
      <c r="F336" s="464">
        <f t="shared" si="72"/>
        <v>6215616</v>
      </c>
      <c r="G336" s="386"/>
      <c r="H336" s="395"/>
      <c r="I336" s="396"/>
      <c r="J336" s="387"/>
      <c r="K336" s="395"/>
      <c r="L336" s="396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 spans="1:26" ht="14.4">
      <c r="A337" s="191"/>
      <c r="B337" s="390" t="s">
        <v>429</v>
      </c>
      <c r="C337" s="391"/>
      <c r="D337" s="392">
        <f t="shared" ref="D337:F337" si="73">J576</f>
        <v>0</v>
      </c>
      <c r="E337" s="392">
        <f t="shared" si="73"/>
        <v>0</v>
      </c>
      <c r="F337" s="464">
        <f t="shared" si="73"/>
        <v>31473546.75</v>
      </c>
      <c r="G337" s="386"/>
      <c r="H337" s="395"/>
      <c r="I337" s="396"/>
      <c r="J337" s="387"/>
      <c r="K337" s="395"/>
      <c r="L337" s="396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 spans="1:26" ht="15.6">
      <c r="A338" s="191"/>
      <c r="B338" s="398" t="s">
        <v>430</v>
      </c>
      <c r="C338" s="399"/>
      <c r="D338" s="400">
        <f t="shared" ref="D338:F338" si="74">SUM(D328:D337)</f>
        <v>0</v>
      </c>
      <c r="E338" s="400">
        <f t="shared" si="74"/>
        <v>0</v>
      </c>
      <c r="F338" s="401">
        <f t="shared" si="74"/>
        <v>264590063.5</v>
      </c>
      <c r="G338" s="386"/>
      <c r="H338" s="395" t="s">
        <v>431</v>
      </c>
      <c r="I338" s="396"/>
      <c r="J338" s="387"/>
      <c r="K338" s="395"/>
      <c r="L338" s="396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 spans="1:26" ht="15.6">
      <c r="A339" s="191"/>
      <c r="B339" s="402" t="s">
        <v>432</v>
      </c>
      <c r="C339" s="403"/>
      <c r="D339" s="404"/>
      <c r="E339" s="405"/>
      <c r="F339" s="406">
        <v>3823000</v>
      </c>
      <c r="G339" s="386"/>
      <c r="H339" s="395" t="s">
        <v>433</v>
      </c>
      <c r="I339" s="407"/>
      <c r="J339" s="387"/>
      <c r="K339" s="395"/>
      <c r="L339" s="407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 spans="1:26" ht="14.4">
      <c r="A340" s="191"/>
      <c r="B340" s="408" t="s">
        <v>112</v>
      </c>
      <c r="C340" s="409"/>
      <c r="D340" s="410"/>
      <c r="E340" s="411"/>
      <c r="F340" s="412">
        <v>27300000</v>
      </c>
      <c r="G340" s="386"/>
      <c r="H340" s="386"/>
      <c r="I340" s="413">
        <f>SUM(I328:I339)</f>
        <v>232972417</v>
      </c>
      <c r="J340" s="387"/>
      <c r="K340" s="386"/>
      <c r="L340" s="413">
        <f>SUM(L328:L339)</f>
        <v>460000</v>
      </c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 spans="1:26" ht="17.399999999999999">
      <c r="A341" s="191"/>
      <c r="B341" s="414" t="s">
        <v>430</v>
      </c>
      <c r="C341" s="415"/>
      <c r="D341" s="416"/>
      <c r="E341" s="411"/>
      <c r="F341" s="466">
        <f>F338+F339+F340</f>
        <v>295713063.5</v>
      </c>
      <c r="G341" s="467" t="s">
        <v>435</v>
      </c>
      <c r="H341" s="419">
        <f>F341-I340+L340</f>
        <v>63200646.5</v>
      </c>
      <c r="I341" s="387"/>
      <c r="J341" s="387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 spans="1:26" ht="14.4">
      <c r="A342" s="420"/>
      <c r="B342" s="420"/>
      <c r="C342" s="20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 spans="1:26" ht="14.4">
      <c r="A343" s="420"/>
      <c r="B343" s="420"/>
      <c r="C343" s="20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 spans="1:26" ht="28.8">
      <c r="A344" s="679">
        <v>24</v>
      </c>
      <c r="B344" s="680"/>
      <c r="C344" s="421" t="s">
        <v>125</v>
      </c>
      <c r="D344" s="422" t="s">
        <v>126</v>
      </c>
      <c r="E344" s="422" t="s">
        <v>127</v>
      </c>
      <c r="F344" s="423" t="s">
        <v>0</v>
      </c>
      <c r="G344" s="424" t="s">
        <v>436</v>
      </c>
      <c r="H344" s="425" t="s">
        <v>437</v>
      </c>
      <c r="I344" s="426" t="s">
        <v>438</v>
      </c>
      <c r="J344" s="422" t="s">
        <v>130</v>
      </c>
      <c r="K344" s="422" t="s">
        <v>131</v>
      </c>
      <c r="L344" s="422" t="s">
        <v>2</v>
      </c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spans="1:26" ht="14.4">
      <c r="A345" s="427"/>
      <c r="B345" s="428" t="s">
        <v>439</v>
      </c>
      <c r="C345" s="321"/>
      <c r="D345" s="321"/>
      <c r="E345" s="321"/>
      <c r="F345" s="429">
        <f t="shared" ref="F345:F422" si="75">+C345+D345-E345</f>
        <v>0</v>
      </c>
      <c r="G345" s="203">
        <v>213600</v>
      </c>
      <c r="H345" s="203">
        <v>220000</v>
      </c>
      <c r="I345" s="204"/>
      <c r="J345" s="205">
        <f t="shared" ref="J345:J365" si="76">+H345*I345</f>
        <v>0</v>
      </c>
      <c r="K345" s="205">
        <f t="shared" ref="K345:K422" si="77">+(H345-G345)*I345</f>
        <v>0</v>
      </c>
      <c r="L345" s="430">
        <f t="shared" ref="L345:L422" si="78">+G345*F345</f>
        <v>0</v>
      </c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spans="1:26" ht="14.4">
      <c r="A346" s="427"/>
      <c r="B346" s="428" t="s">
        <v>440</v>
      </c>
      <c r="C346" s="431">
        <v>3</v>
      </c>
      <c r="D346" s="321"/>
      <c r="E346" s="321"/>
      <c r="F346" s="429">
        <f t="shared" si="75"/>
        <v>3</v>
      </c>
      <c r="G346" s="203">
        <v>166772</v>
      </c>
      <c r="H346" s="203">
        <v>180000</v>
      </c>
      <c r="I346" s="204"/>
      <c r="J346" s="205">
        <f t="shared" si="76"/>
        <v>0</v>
      </c>
      <c r="K346" s="205">
        <f t="shared" si="77"/>
        <v>0</v>
      </c>
      <c r="L346" s="430">
        <f t="shared" si="78"/>
        <v>500316</v>
      </c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spans="1:26" ht="14.4">
      <c r="A347" s="427"/>
      <c r="B347" s="428" t="s">
        <v>441</v>
      </c>
      <c r="C347" s="431">
        <v>1</v>
      </c>
      <c r="D347" s="321"/>
      <c r="E347" s="321"/>
      <c r="F347" s="429">
        <f t="shared" si="75"/>
        <v>1</v>
      </c>
      <c r="G347" s="203">
        <v>176484</v>
      </c>
      <c r="H347" s="203">
        <v>190000</v>
      </c>
      <c r="I347" s="204"/>
      <c r="J347" s="205">
        <f t="shared" si="76"/>
        <v>0</v>
      </c>
      <c r="K347" s="205">
        <f t="shared" si="77"/>
        <v>0</v>
      </c>
      <c r="L347" s="430">
        <f t="shared" si="78"/>
        <v>176484</v>
      </c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spans="1:26" ht="14.4">
      <c r="A348" s="427"/>
      <c r="B348" s="428" t="s">
        <v>442</v>
      </c>
      <c r="C348" s="431">
        <v>3</v>
      </c>
      <c r="D348" s="321"/>
      <c r="E348" s="321"/>
      <c r="F348" s="429">
        <f t="shared" si="75"/>
        <v>3</v>
      </c>
      <c r="G348" s="203">
        <v>181000</v>
      </c>
      <c r="H348" s="203">
        <v>196000</v>
      </c>
      <c r="I348" s="204"/>
      <c r="J348" s="205">
        <f t="shared" si="76"/>
        <v>0</v>
      </c>
      <c r="K348" s="205">
        <f t="shared" si="77"/>
        <v>0</v>
      </c>
      <c r="L348" s="430">
        <f t="shared" si="78"/>
        <v>543000</v>
      </c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spans="1:26" ht="14.4">
      <c r="A349" s="427"/>
      <c r="B349" s="428" t="s">
        <v>443</v>
      </c>
      <c r="C349" s="431">
        <v>9</v>
      </c>
      <c r="D349" s="321"/>
      <c r="E349" s="321"/>
      <c r="F349" s="429">
        <f t="shared" si="75"/>
        <v>9</v>
      </c>
      <c r="G349" s="203">
        <v>141931</v>
      </c>
      <c r="H349" s="203">
        <v>155000</v>
      </c>
      <c r="I349" s="204"/>
      <c r="J349" s="205">
        <f t="shared" si="76"/>
        <v>0</v>
      </c>
      <c r="K349" s="205">
        <f t="shared" si="77"/>
        <v>0</v>
      </c>
      <c r="L349" s="430">
        <f t="shared" si="78"/>
        <v>1277379</v>
      </c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spans="1:26" ht="14.4">
      <c r="A350" s="427"/>
      <c r="B350" s="428" t="s">
        <v>444</v>
      </c>
      <c r="C350" s="321">
        <v>2</v>
      </c>
      <c r="D350" s="321"/>
      <c r="E350" s="321"/>
      <c r="F350" s="429">
        <f t="shared" si="75"/>
        <v>2</v>
      </c>
      <c r="G350" s="203">
        <v>81350</v>
      </c>
      <c r="H350" s="203">
        <v>93000</v>
      </c>
      <c r="I350" s="204"/>
      <c r="J350" s="205">
        <f t="shared" si="76"/>
        <v>0</v>
      </c>
      <c r="K350" s="205">
        <f t="shared" si="77"/>
        <v>0</v>
      </c>
      <c r="L350" s="430">
        <f t="shared" si="78"/>
        <v>162700</v>
      </c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spans="1:26" ht="14.4">
      <c r="A351" s="427"/>
      <c r="B351" s="428" t="s">
        <v>445</v>
      </c>
      <c r="C351" s="321">
        <v>4</v>
      </c>
      <c r="D351" s="321"/>
      <c r="E351" s="321"/>
      <c r="F351" s="429">
        <f t="shared" si="75"/>
        <v>4</v>
      </c>
      <c r="G351" s="203">
        <v>41000</v>
      </c>
      <c r="H351" s="203">
        <v>43000</v>
      </c>
      <c r="I351" s="204"/>
      <c r="J351" s="205">
        <f t="shared" si="76"/>
        <v>0</v>
      </c>
      <c r="K351" s="205">
        <f t="shared" si="77"/>
        <v>0</v>
      </c>
      <c r="L351" s="430">
        <f t="shared" si="78"/>
        <v>164000</v>
      </c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spans="1:26" ht="14.4">
      <c r="A352" s="427"/>
      <c r="B352" s="428" t="s">
        <v>446</v>
      </c>
      <c r="C352" s="431">
        <v>1</v>
      </c>
      <c r="D352" s="321"/>
      <c r="E352" s="321"/>
      <c r="F352" s="429">
        <f t="shared" si="75"/>
        <v>1</v>
      </c>
      <c r="G352" s="203">
        <v>160857</v>
      </c>
      <c r="H352" s="203">
        <v>170000</v>
      </c>
      <c r="I352" s="204"/>
      <c r="J352" s="205">
        <f t="shared" si="76"/>
        <v>0</v>
      </c>
      <c r="K352" s="205">
        <f t="shared" si="77"/>
        <v>0</v>
      </c>
      <c r="L352" s="430">
        <f t="shared" si="78"/>
        <v>160857</v>
      </c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spans="1:26" ht="14.4">
      <c r="A353" s="427"/>
      <c r="B353" s="428" t="s">
        <v>447</v>
      </c>
      <c r="C353" s="431">
        <v>1</v>
      </c>
      <c r="D353" s="321"/>
      <c r="E353" s="321"/>
      <c r="F353" s="429">
        <f t="shared" si="75"/>
        <v>1</v>
      </c>
      <c r="G353" s="203">
        <v>128000</v>
      </c>
      <c r="H353" s="203">
        <v>140000</v>
      </c>
      <c r="I353" s="204"/>
      <c r="J353" s="205">
        <f t="shared" si="76"/>
        <v>0</v>
      </c>
      <c r="K353" s="205">
        <f t="shared" si="77"/>
        <v>0</v>
      </c>
      <c r="L353" s="430">
        <f t="shared" si="78"/>
        <v>128000</v>
      </c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 spans="1:26" ht="14.4">
      <c r="A354" s="427"/>
      <c r="B354" s="428" t="s">
        <v>448</v>
      </c>
      <c r="C354" s="431"/>
      <c r="D354" s="321"/>
      <c r="E354" s="321"/>
      <c r="F354" s="429">
        <f t="shared" si="75"/>
        <v>0</v>
      </c>
      <c r="G354" s="203">
        <v>90814</v>
      </c>
      <c r="H354" s="203">
        <v>99000</v>
      </c>
      <c r="I354" s="204"/>
      <c r="J354" s="205">
        <f t="shared" si="76"/>
        <v>0</v>
      </c>
      <c r="K354" s="205">
        <f t="shared" si="77"/>
        <v>0</v>
      </c>
      <c r="L354" s="430">
        <f t="shared" si="78"/>
        <v>0</v>
      </c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 spans="1:26" ht="14.4">
      <c r="A355" s="427"/>
      <c r="B355" s="428" t="s">
        <v>449</v>
      </c>
      <c r="C355" s="431">
        <v>1</v>
      </c>
      <c r="D355" s="321"/>
      <c r="E355" s="321"/>
      <c r="F355" s="429">
        <f t="shared" si="75"/>
        <v>1</v>
      </c>
      <c r="G355" s="203">
        <v>160312</v>
      </c>
      <c r="H355" s="203">
        <v>170000</v>
      </c>
      <c r="I355" s="204"/>
      <c r="J355" s="205">
        <f t="shared" si="76"/>
        <v>0</v>
      </c>
      <c r="K355" s="205">
        <f t="shared" si="77"/>
        <v>0</v>
      </c>
      <c r="L355" s="430">
        <f t="shared" si="78"/>
        <v>160312</v>
      </c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 spans="1:26" ht="14.4">
      <c r="A356" s="427"/>
      <c r="B356" s="428" t="s">
        <v>450</v>
      </c>
      <c r="C356" s="321">
        <v>1</v>
      </c>
      <c r="D356" s="321"/>
      <c r="E356" s="321"/>
      <c r="F356" s="429">
        <f t="shared" si="75"/>
        <v>1</v>
      </c>
      <c r="G356" s="203">
        <v>166740</v>
      </c>
      <c r="H356" s="203">
        <v>172000</v>
      </c>
      <c r="I356" s="204"/>
      <c r="J356" s="205">
        <f t="shared" si="76"/>
        <v>0</v>
      </c>
      <c r="K356" s="205">
        <f t="shared" si="77"/>
        <v>0</v>
      </c>
      <c r="L356" s="430">
        <f t="shared" si="78"/>
        <v>166740</v>
      </c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 spans="1:26" ht="14.4">
      <c r="A357" s="427"/>
      <c r="B357" s="428" t="s">
        <v>451</v>
      </c>
      <c r="C357" s="431">
        <v>2</v>
      </c>
      <c r="D357" s="321"/>
      <c r="E357" s="321"/>
      <c r="F357" s="429">
        <f t="shared" si="75"/>
        <v>2</v>
      </c>
      <c r="G357" s="203">
        <v>129841</v>
      </c>
      <c r="H357" s="203">
        <v>142000</v>
      </c>
      <c r="I357" s="204"/>
      <c r="J357" s="205">
        <f t="shared" si="76"/>
        <v>0</v>
      </c>
      <c r="K357" s="205">
        <f t="shared" si="77"/>
        <v>0</v>
      </c>
      <c r="L357" s="430">
        <f t="shared" si="78"/>
        <v>259682</v>
      </c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 spans="1:26" ht="14.4">
      <c r="A358" s="427"/>
      <c r="B358" s="428" t="s">
        <v>452</v>
      </c>
      <c r="C358" s="321">
        <v>2</v>
      </c>
      <c r="D358" s="321"/>
      <c r="E358" s="321"/>
      <c r="F358" s="429">
        <f t="shared" si="75"/>
        <v>2</v>
      </c>
      <c r="G358" s="203">
        <v>69534</v>
      </c>
      <c r="H358" s="203">
        <v>72000</v>
      </c>
      <c r="I358" s="204"/>
      <c r="J358" s="205">
        <f t="shared" si="76"/>
        <v>0</v>
      </c>
      <c r="K358" s="205">
        <f t="shared" si="77"/>
        <v>0</v>
      </c>
      <c r="L358" s="430">
        <f t="shared" si="78"/>
        <v>139068</v>
      </c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 spans="1:26" ht="14.4">
      <c r="A359" s="427"/>
      <c r="B359" s="428" t="s">
        <v>453</v>
      </c>
      <c r="C359" s="431">
        <v>3</v>
      </c>
      <c r="D359" s="321"/>
      <c r="E359" s="321"/>
      <c r="F359" s="429">
        <f t="shared" si="75"/>
        <v>3</v>
      </c>
      <c r="G359" s="203">
        <v>82080</v>
      </c>
      <c r="H359" s="203">
        <v>89000</v>
      </c>
      <c r="I359" s="204"/>
      <c r="J359" s="205">
        <f t="shared" si="76"/>
        <v>0</v>
      </c>
      <c r="K359" s="205">
        <f t="shared" si="77"/>
        <v>0</v>
      </c>
      <c r="L359" s="430">
        <f t="shared" si="78"/>
        <v>246240</v>
      </c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 spans="1:26" ht="14.4">
      <c r="A360" s="427"/>
      <c r="B360" s="428" t="s">
        <v>454</v>
      </c>
      <c r="C360" s="431">
        <v>3</v>
      </c>
      <c r="D360" s="321"/>
      <c r="E360" s="321"/>
      <c r="F360" s="429">
        <f t="shared" si="75"/>
        <v>3</v>
      </c>
      <c r="G360" s="203">
        <v>62646</v>
      </c>
      <c r="H360" s="203">
        <v>69000</v>
      </c>
      <c r="I360" s="204"/>
      <c r="J360" s="205">
        <f t="shared" si="76"/>
        <v>0</v>
      </c>
      <c r="K360" s="205">
        <f t="shared" si="77"/>
        <v>0</v>
      </c>
      <c r="L360" s="430">
        <f t="shared" si="78"/>
        <v>187938</v>
      </c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 spans="1:26" ht="14.4">
      <c r="A361" s="427"/>
      <c r="B361" s="428" t="s">
        <v>455</v>
      </c>
      <c r="C361" s="321">
        <v>2</v>
      </c>
      <c r="D361" s="321"/>
      <c r="E361" s="321"/>
      <c r="F361" s="429">
        <f t="shared" si="75"/>
        <v>2</v>
      </c>
      <c r="G361" s="203">
        <v>39970</v>
      </c>
      <c r="H361" s="203">
        <v>44000</v>
      </c>
      <c r="I361" s="204"/>
      <c r="J361" s="205">
        <f t="shared" si="76"/>
        <v>0</v>
      </c>
      <c r="K361" s="205">
        <f t="shared" si="77"/>
        <v>0</v>
      </c>
      <c r="L361" s="430">
        <f t="shared" si="78"/>
        <v>79940</v>
      </c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 spans="1:26" ht="14.4">
      <c r="A362" s="427"/>
      <c r="B362" s="428" t="s">
        <v>456</v>
      </c>
      <c r="C362" s="431">
        <v>0</v>
      </c>
      <c r="D362" s="321"/>
      <c r="E362" s="321"/>
      <c r="F362" s="429">
        <f t="shared" si="75"/>
        <v>0</v>
      </c>
      <c r="G362" s="203">
        <v>18300</v>
      </c>
      <c r="H362" s="203">
        <v>21000</v>
      </c>
      <c r="I362" s="204"/>
      <c r="J362" s="205">
        <f t="shared" si="76"/>
        <v>0</v>
      </c>
      <c r="K362" s="205">
        <f t="shared" si="77"/>
        <v>0</v>
      </c>
      <c r="L362" s="430">
        <f t="shared" si="78"/>
        <v>0</v>
      </c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 spans="1:26" ht="14.4">
      <c r="A363" s="427"/>
      <c r="B363" s="428" t="s">
        <v>457</v>
      </c>
      <c r="C363" s="431">
        <v>0</v>
      </c>
      <c r="D363" s="321"/>
      <c r="E363" s="321"/>
      <c r="F363" s="429">
        <f t="shared" si="75"/>
        <v>0</v>
      </c>
      <c r="G363" s="203">
        <v>286000</v>
      </c>
      <c r="H363" s="203">
        <v>320000</v>
      </c>
      <c r="I363" s="204"/>
      <c r="J363" s="205">
        <f t="shared" si="76"/>
        <v>0</v>
      </c>
      <c r="K363" s="205">
        <f t="shared" si="77"/>
        <v>0</v>
      </c>
      <c r="L363" s="430">
        <f t="shared" si="78"/>
        <v>0</v>
      </c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 spans="1:26" ht="14.4">
      <c r="A364" s="427"/>
      <c r="B364" s="428" t="s">
        <v>458</v>
      </c>
      <c r="C364" s="431">
        <v>23</v>
      </c>
      <c r="D364" s="321"/>
      <c r="E364" s="321"/>
      <c r="F364" s="429">
        <f t="shared" si="75"/>
        <v>23</v>
      </c>
      <c r="G364" s="203">
        <v>132000</v>
      </c>
      <c r="H364" s="203">
        <v>145000</v>
      </c>
      <c r="I364" s="204"/>
      <c r="J364" s="205">
        <f t="shared" si="76"/>
        <v>0</v>
      </c>
      <c r="K364" s="205">
        <f t="shared" si="77"/>
        <v>0</v>
      </c>
      <c r="L364" s="430">
        <f t="shared" si="78"/>
        <v>3036000</v>
      </c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 spans="1:26" ht="14.4">
      <c r="A365" s="427"/>
      <c r="B365" s="428" t="s">
        <v>664</v>
      </c>
      <c r="C365" s="431">
        <v>10</v>
      </c>
      <c r="D365" s="321"/>
      <c r="E365" s="321"/>
      <c r="F365" s="429">
        <f t="shared" si="75"/>
        <v>10</v>
      </c>
      <c r="G365" s="203">
        <v>130000</v>
      </c>
      <c r="H365" s="203">
        <v>39000</v>
      </c>
      <c r="I365" s="204"/>
      <c r="J365" s="205">
        <f t="shared" si="76"/>
        <v>0</v>
      </c>
      <c r="K365" s="205">
        <f t="shared" si="77"/>
        <v>0</v>
      </c>
      <c r="L365" s="430">
        <f t="shared" si="78"/>
        <v>1300000</v>
      </c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 spans="1:26" ht="14.4">
      <c r="A366" s="427"/>
      <c r="B366" s="428" t="s">
        <v>460</v>
      </c>
      <c r="C366" s="431">
        <v>0</v>
      </c>
      <c r="D366" s="321"/>
      <c r="E366" s="321"/>
      <c r="F366" s="429">
        <f t="shared" si="75"/>
        <v>0</v>
      </c>
      <c r="G366" s="203">
        <v>75300</v>
      </c>
      <c r="H366" s="203">
        <v>78000</v>
      </c>
      <c r="I366" s="204"/>
      <c r="J366" s="205">
        <f t="shared" ref="J366:J422" si="79">+I366*H366</f>
        <v>0</v>
      </c>
      <c r="K366" s="205">
        <f t="shared" si="77"/>
        <v>0</v>
      </c>
      <c r="L366" s="430">
        <f t="shared" si="78"/>
        <v>0</v>
      </c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 spans="1:26" ht="14.4">
      <c r="A367" s="427"/>
      <c r="B367" s="428" t="s">
        <v>461</v>
      </c>
      <c r="C367" s="431"/>
      <c r="D367" s="321"/>
      <c r="E367" s="321"/>
      <c r="F367" s="429">
        <f t="shared" si="75"/>
        <v>0</v>
      </c>
      <c r="G367" s="203">
        <v>156500</v>
      </c>
      <c r="H367" s="203">
        <v>160000</v>
      </c>
      <c r="I367" s="204"/>
      <c r="J367" s="205">
        <f t="shared" si="79"/>
        <v>0</v>
      </c>
      <c r="K367" s="205">
        <f t="shared" si="77"/>
        <v>0</v>
      </c>
      <c r="L367" s="430">
        <f t="shared" si="78"/>
        <v>0</v>
      </c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 spans="1:26" ht="14.4">
      <c r="A368" s="427"/>
      <c r="B368" s="428" t="s">
        <v>462</v>
      </c>
      <c r="C368" s="431">
        <v>3</v>
      </c>
      <c r="D368" s="321"/>
      <c r="E368" s="321"/>
      <c r="F368" s="429">
        <f t="shared" si="75"/>
        <v>3</v>
      </c>
      <c r="G368" s="203">
        <v>124500</v>
      </c>
      <c r="H368" s="203">
        <v>127000</v>
      </c>
      <c r="I368" s="204"/>
      <c r="J368" s="205">
        <f t="shared" si="79"/>
        <v>0</v>
      </c>
      <c r="K368" s="205">
        <f t="shared" si="77"/>
        <v>0</v>
      </c>
      <c r="L368" s="430">
        <f t="shared" si="78"/>
        <v>373500</v>
      </c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 spans="1:26" ht="14.4">
      <c r="A369" s="427"/>
      <c r="B369" s="428" t="s">
        <v>463</v>
      </c>
      <c r="C369" s="431">
        <v>0</v>
      </c>
      <c r="D369" s="321"/>
      <c r="E369" s="321"/>
      <c r="F369" s="429">
        <f t="shared" si="75"/>
        <v>0</v>
      </c>
      <c r="G369" s="203">
        <v>74300</v>
      </c>
      <c r="H369" s="203">
        <v>78000</v>
      </c>
      <c r="I369" s="204"/>
      <c r="J369" s="205">
        <f t="shared" si="79"/>
        <v>0</v>
      </c>
      <c r="K369" s="205">
        <f t="shared" si="77"/>
        <v>0</v>
      </c>
      <c r="L369" s="430">
        <f t="shared" si="78"/>
        <v>0</v>
      </c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 spans="1:26" ht="14.4">
      <c r="A370" s="427"/>
      <c r="B370" s="428" t="s">
        <v>665</v>
      </c>
      <c r="C370" s="431">
        <v>2</v>
      </c>
      <c r="D370" s="321"/>
      <c r="E370" s="321"/>
      <c r="F370" s="429">
        <f t="shared" si="75"/>
        <v>2</v>
      </c>
      <c r="G370" s="203">
        <v>55000</v>
      </c>
      <c r="H370" s="203">
        <v>60000</v>
      </c>
      <c r="I370" s="204"/>
      <c r="J370" s="205">
        <f t="shared" si="79"/>
        <v>0</v>
      </c>
      <c r="K370" s="205">
        <f t="shared" si="77"/>
        <v>0</v>
      </c>
      <c r="L370" s="430">
        <f t="shared" si="78"/>
        <v>110000</v>
      </c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 spans="1:26" ht="14.4">
      <c r="A371" s="427"/>
      <c r="B371" s="428" t="s">
        <v>465</v>
      </c>
      <c r="C371" s="431">
        <v>2</v>
      </c>
      <c r="D371" s="321"/>
      <c r="E371" s="321"/>
      <c r="F371" s="429">
        <f t="shared" si="75"/>
        <v>2</v>
      </c>
      <c r="G371" s="203">
        <v>47725</v>
      </c>
      <c r="H371" s="203">
        <v>53000</v>
      </c>
      <c r="I371" s="204"/>
      <c r="J371" s="205">
        <f t="shared" si="79"/>
        <v>0</v>
      </c>
      <c r="K371" s="205">
        <f t="shared" si="77"/>
        <v>0</v>
      </c>
      <c r="L371" s="430">
        <f t="shared" si="78"/>
        <v>95450</v>
      </c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 spans="1:26" ht="14.4">
      <c r="A372" s="427"/>
      <c r="B372" s="428" t="s">
        <v>466</v>
      </c>
      <c r="C372" s="431">
        <v>2</v>
      </c>
      <c r="D372" s="321"/>
      <c r="E372" s="321"/>
      <c r="F372" s="429">
        <f t="shared" si="75"/>
        <v>2</v>
      </c>
      <c r="G372" s="203">
        <v>25888</v>
      </c>
      <c r="H372" s="203">
        <v>28500</v>
      </c>
      <c r="I372" s="204"/>
      <c r="J372" s="205">
        <f t="shared" si="79"/>
        <v>0</v>
      </c>
      <c r="K372" s="205">
        <f t="shared" si="77"/>
        <v>0</v>
      </c>
      <c r="L372" s="430">
        <f t="shared" si="78"/>
        <v>51776</v>
      </c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 spans="1:26" ht="14.4">
      <c r="A373" s="427"/>
      <c r="B373" s="428" t="s">
        <v>467</v>
      </c>
      <c r="C373" s="431">
        <v>1</v>
      </c>
      <c r="D373" s="321"/>
      <c r="E373" s="321"/>
      <c r="F373" s="429">
        <f t="shared" si="75"/>
        <v>1</v>
      </c>
      <c r="G373" s="203">
        <v>158300</v>
      </c>
      <c r="H373" s="203">
        <v>167000</v>
      </c>
      <c r="I373" s="204"/>
      <c r="J373" s="205">
        <f t="shared" si="79"/>
        <v>0</v>
      </c>
      <c r="K373" s="205">
        <f t="shared" si="77"/>
        <v>0</v>
      </c>
      <c r="L373" s="430">
        <f t="shared" si="78"/>
        <v>158300</v>
      </c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 spans="1:26" ht="14.4">
      <c r="A374" s="427"/>
      <c r="B374" s="428" t="s">
        <v>468</v>
      </c>
      <c r="C374" s="431">
        <v>3</v>
      </c>
      <c r="D374" s="321"/>
      <c r="E374" s="321"/>
      <c r="F374" s="429">
        <f t="shared" si="75"/>
        <v>3</v>
      </c>
      <c r="G374" s="203">
        <v>129000</v>
      </c>
      <c r="H374" s="203">
        <v>136000</v>
      </c>
      <c r="I374" s="204"/>
      <c r="J374" s="205">
        <f t="shared" si="79"/>
        <v>0</v>
      </c>
      <c r="K374" s="205">
        <f t="shared" si="77"/>
        <v>0</v>
      </c>
      <c r="L374" s="430">
        <f t="shared" si="78"/>
        <v>387000</v>
      </c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 spans="1:26" ht="14.4">
      <c r="A375" s="427"/>
      <c r="B375" s="428" t="s">
        <v>469</v>
      </c>
      <c r="C375" s="431">
        <v>3</v>
      </c>
      <c r="D375" s="321"/>
      <c r="E375" s="321"/>
      <c r="F375" s="429">
        <f t="shared" si="75"/>
        <v>3</v>
      </c>
      <c r="G375" s="203">
        <v>129000</v>
      </c>
      <c r="H375" s="203">
        <v>131000</v>
      </c>
      <c r="I375" s="204"/>
      <c r="J375" s="205">
        <f t="shared" si="79"/>
        <v>0</v>
      </c>
      <c r="K375" s="205">
        <f t="shared" si="77"/>
        <v>0</v>
      </c>
      <c r="L375" s="430">
        <f t="shared" si="78"/>
        <v>387000</v>
      </c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 spans="1:26" ht="14.4">
      <c r="A376" s="427"/>
      <c r="B376" s="428" t="s">
        <v>470</v>
      </c>
      <c r="C376" s="431">
        <v>3</v>
      </c>
      <c r="D376" s="321"/>
      <c r="E376" s="321"/>
      <c r="F376" s="429">
        <f t="shared" si="75"/>
        <v>3</v>
      </c>
      <c r="G376" s="203">
        <v>129068</v>
      </c>
      <c r="H376" s="203">
        <v>131000</v>
      </c>
      <c r="I376" s="204"/>
      <c r="J376" s="205">
        <f t="shared" si="79"/>
        <v>0</v>
      </c>
      <c r="K376" s="205">
        <f t="shared" si="77"/>
        <v>0</v>
      </c>
      <c r="L376" s="430">
        <f t="shared" si="78"/>
        <v>387204</v>
      </c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 spans="1:26" ht="14.4">
      <c r="A377" s="427"/>
      <c r="B377" s="428" t="s">
        <v>471</v>
      </c>
      <c r="C377" s="431">
        <v>4</v>
      </c>
      <c r="D377" s="321"/>
      <c r="E377" s="321"/>
      <c r="F377" s="429">
        <f t="shared" si="75"/>
        <v>4</v>
      </c>
      <c r="G377" s="203">
        <v>128936</v>
      </c>
      <c r="H377" s="203">
        <v>131000</v>
      </c>
      <c r="I377" s="204"/>
      <c r="J377" s="205">
        <f t="shared" si="79"/>
        <v>0</v>
      </c>
      <c r="K377" s="205">
        <f t="shared" si="77"/>
        <v>0</v>
      </c>
      <c r="L377" s="430">
        <f t="shared" si="78"/>
        <v>515744</v>
      </c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 spans="1:26" ht="14.4">
      <c r="A378" s="427"/>
      <c r="B378" s="428" t="s">
        <v>472</v>
      </c>
      <c r="C378" s="431">
        <v>4</v>
      </c>
      <c r="D378" s="321"/>
      <c r="E378" s="321"/>
      <c r="F378" s="429">
        <f t="shared" si="75"/>
        <v>4</v>
      </c>
      <c r="G378" s="203">
        <v>69344</v>
      </c>
      <c r="H378" s="203">
        <v>78000</v>
      </c>
      <c r="I378" s="204"/>
      <c r="J378" s="205">
        <f t="shared" si="79"/>
        <v>0</v>
      </c>
      <c r="K378" s="205">
        <f t="shared" si="77"/>
        <v>0</v>
      </c>
      <c r="L378" s="430">
        <f t="shared" si="78"/>
        <v>277376</v>
      </c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 spans="1:26" ht="14.4">
      <c r="A379" s="427"/>
      <c r="B379" s="428" t="s">
        <v>666</v>
      </c>
      <c r="C379" s="431">
        <v>1</v>
      </c>
      <c r="D379" s="321"/>
      <c r="E379" s="321"/>
      <c r="F379" s="429">
        <f t="shared" si="75"/>
        <v>1</v>
      </c>
      <c r="G379" s="203">
        <v>72000</v>
      </c>
      <c r="H379" s="203">
        <v>78000</v>
      </c>
      <c r="I379" s="204"/>
      <c r="J379" s="205">
        <f t="shared" si="79"/>
        <v>0</v>
      </c>
      <c r="K379" s="205">
        <f t="shared" si="77"/>
        <v>0</v>
      </c>
      <c r="L379" s="430">
        <f t="shared" si="78"/>
        <v>72000</v>
      </c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 spans="1:26" ht="14.4">
      <c r="A380" s="427"/>
      <c r="B380" s="428" t="s">
        <v>473</v>
      </c>
      <c r="C380" s="431">
        <v>5</v>
      </c>
      <c r="D380" s="321"/>
      <c r="E380" s="321"/>
      <c r="F380" s="429">
        <f t="shared" si="75"/>
        <v>5</v>
      </c>
      <c r="G380" s="203">
        <v>16500</v>
      </c>
      <c r="H380" s="203">
        <v>19000</v>
      </c>
      <c r="I380" s="204"/>
      <c r="J380" s="205">
        <f t="shared" si="79"/>
        <v>0</v>
      </c>
      <c r="K380" s="205">
        <f t="shared" si="77"/>
        <v>0</v>
      </c>
      <c r="L380" s="430">
        <f t="shared" si="78"/>
        <v>82500</v>
      </c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 spans="1:26" ht="14.4">
      <c r="A381" s="427"/>
      <c r="B381" s="428" t="s">
        <v>474</v>
      </c>
      <c r="C381" s="431">
        <v>2</v>
      </c>
      <c r="D381" s="321"/>
      <c r="E381" s="321"/>
      <c r="F381" s="429">
        <f t="shared" si="75"/>
        <v>2</v>
      </c>
      <c r="G381" s="203">
        <v>71500</v>
      </c>
      <c r="H381" s="203">
        <v>75500</v>
      </c>
      <c r="I381" s="204"/>
      <c r="J381" s="205">
        <f t="shared" si="79"/>
        <v>0</v>
      </c>
      <c r="K381" s="205">
        <f t="shared" si="77"/>
        <v>0</v>
      </c>
      <c r="L381" s="430">
        <f t="shared" si="78"/>
        <v>143000</v>
      </c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 spans="1:26" ht="14.4">
      <c r="A382" s="427"/>
      <c r="B382" s="428" t="s">
        <v>475</v>
      </c>
      <c r="C382" s="431">
        <v>3</v>
      </c>
      <c r="D382" s="321"/>
      <c r="E382" s="321"/>
      <c r="F382" s="429">
        <f t="shared" si="75"/>
        <v>3</v>
      </c>
      <c r="G382" s="203">
        <v>61227</v>
      </c>
      <c r="H382" s="203">
        <v>65000</v>
      </c>
      <c r="I382" s="204"/>
      <c r="J382" s="205">
        <f t="shared" si="79"/>
        <v>0</v>
      </c>
      <c r="K382" s="205">
        <f t="shared" si="77"/>
        <v>0</v>
      </c>
      <c r="L382" s="430">
        <f t="shared" si="78"/>
        <v>183681</v>
      </c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 spans="1:26" ht="14.4">
      <c r="A383" s="427"/>
      <c r="B383" s="428" t="s">
        <v>476</v>
      </c>
      <c r="C383" s="321"/>
      <c r="D383" s="321"/>
      <c r="E383" s="321"/>
      <c r="F383" s="429">
        <f t="shared" si="75"/>
        <v>0</v>
      </c>
      <c r="G383" s="203">
        <v>30000</v>
      </c>
      <c r="H383" s="203">
        <v>33000</v>
      </c>
      <c r="I383" s="204"/>
      <c r="J383" s="205">
        <f t="shared" si="79"/>
        <v>0</v>
      </c>
      <c r="K383" s="205">
        <f t="shared" si="77"/>
        <v>0</v>
      </c>
      <c r="L383" s="430">
        <f t="shared" si="78"/>
        <v>0</v>
      </c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 spans="1:26" ht="14.4">
      <c r="A384" s="427"/>
      <c r="B384" s="428" t="s">
        <v>477</v>
      </c>
      <c r="C384" s="321">
        <v>4</v>
      </c>
      <c r="D384" s="321"/>
      <c r="E384" s="321"/>
      <c r="F384" s="429">
        <f t="shared" si="75"/>
        <v>4</v>
      </c>
      <c r="G384" s="203">
        <v>18100</v>
      </c>
      <c r="H384" s="203">
        <v>20000</v>
      </c>
      <c r="I384" s="204"/>
      <c r="J384" s="205">
        <f t="shared" si="79"/>
        <v>0</v>
      </c>
      <c r="K384" s="205">
        <f t="shared" si="77"/>
        <v>0</v>
      </c>
      <c r="L384" s="430">
        <f t="shared" si="78"/>
        <v>72400</v>
      </c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 spans="1:26" ht="14.4">
      <c r="A385" s="427"/>
      <c r="B385" s="428" t="s">
        <v>478</v>
      </c>
      <c r="C385" s="431">
        <v>2</v>
      </c>
      <c r="D385" s="321"/>
      <c r="E385" s="321"/>
      <c r="F385" s="429">
        <f t="shared" si="75"/>
        <v>2</v>
      </c>
      <c r="G385" s="203">
        <v>67624</v>
      </c>
      <c r="H385" s="203">
        <v>72000</v>
      </c>
      <c r="I385" s="204"/>
      <c r="J385" s="205">
        <f t="shared" si="79"/>
        <v>0</v>
      </c>
      <c r="K385" s="205">
        <f t="shared" si="77"/>
        <v>0</v>
      </c>
      <c r="L385" s="430">
        <f t="shared" si="78"/>
        <v>135248</v>
      </c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 spans="1:26" ht="14.4">
      <c r="A386" s="427"/>
      <c r="B386" s="428" t="s">
        <v>479</v>
      </c>
      <c r="C386" s="431"/>
      <c r="D386" s="321"/>
      <c r="E386" s="321"/>
      <c r="F386" s="429">
        <f t="shared" si="75"/>
        <v>0</v>
      </c>
      <c r="G386" s="203">
        <v>90000</v>
      </c>
      <c r="H386" s="203">
        <v>99000</v>
      </c>
      <c r="I386" s="204"/>
      <c r="J386" s="205">
        <f t="shared" si="79"/>
        <v>0</v>
      </c>
      <c r="K386" s="205">
        <f t="shared" si="77"/>
        <v>0</v>
      </c>
      <c r="L386" s="430">
        <f t="shared" si="78"/>
        <v>0</v>
      </c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 spans="1:26" ht="14.4">
      <c r="A387" s="427"/>
      <c r="B387" s="428" t="s">
        <v>480</v>
      </c>
      <c r="C387" s="321">
        <v>3</v>
      </c>
      <c r="D387" s="321"/>
      <c r="E387" s="321"/>
      <c r="F387" s="429">
        <f t="shared" si="75"/>
        <v>3</v>
      </c>
      <c r="G387" s="203">
        <v>50092</v>
      </c>
      <c r="H387" s="203">
        <v>55000</v>
      </c>
      <c r="I387" s="204"/>
      <c r="J387" s="205">
        <f t="shared" si="79"/>
        <v>0</v>
      </c>
      <c r="K387" s="205">
        <f t="shared" si="77"/>
        <v>0</v>
      </c>
      <c r="L387" s="430">
        <f t="shared" si="78"/>
        <v>150276</v>
      </c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 spans="1:26" ht="14.4">
      <c r="A388" s="427"/>
      <c r="B388" s="428" t="s">
        <v>481</v>
      </c>
      <c r="C388" s="431">
        <v>3</v>
      </c>
      <c r="D388" s="321"/>
      <c r="E388" s="321"/>
      <c r="F388" s="429">
        <f t="shared" si="75"/>
        <v>3</v>
      </c>
      <c r="G388" s="203">
        <v>27239</v>
      </c>
      <c r="H388" s="203">
        <v>30000</v>
      </c>
      <c r="I388" s="204"/>
      <c r="J388" s="205">
        <f t="shared" si="79"/>
        <v>0</v>
      </c>
      <c r="K388" s="205">
        <f t="shared" si="77"/>
        <v>0</v>
      </c>
      <c r="L388" s="430">
        <f t="shared" si="78"/>
        <v>81717</v>
      </c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 spans="1:26" ht="14.4">
      <c r="A389" s="427"/>
      <c r="B389" s="428" t="s">
        <v>482</v>
      </c>
      <c r="C389" s="431">
        <v>0</v>
      </c>
      <c r="D389" s="321"/>
      <c r="E389" s="321"/>
      <c r="F389" s="429">
        <f t="shared" si="75"/>
        <v>0</v>
      </c>
      <c r="G389" s="203">
        <v>13838</v>
      </c>
      <c r="H389" s="203">
        <v>16000</v>
      </c>
      <c r="I389" s="204"/>
      <c r="J389" s="205">
        <f t="shared" si="79"/>
        <v>0</v>
      </c>
      <c r="K389" s="205">
        <f t="shared" si="77"/>
        <v>0</v>
      </c>
      <c r="L389" s="430">
        <f t="shared" si="78"/>
        <v>0</v>
      </c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 spans="1:26" ht="14.4">
      <c r="A390" s="427"/>
      <c r="B390" s="428" t="s">
        <v>483</v>
      </c>
      <c r="C390" s="321">
        <v>3</v>
      </c>
      <c r="D390" s="321"/>
      <c r="E390" s="321"/>
      <c r="F390" s="429">
        <f t="shared" si="75"/>
        <v>3</v>
      </c>
      <c r="G390" s="203">
        <v>79800</v>
      </c>
      <c r="H390" s="203">
        <v>84000</v>
      </c>
      <c r="I390" s="204"/>
      <c r="J390" s="205">
        <f t="shared" si="79"/>
        <v>0</v>
      </c>
      <c r="K390" s="205">
        <f t="shared" si="77"/>
        <v>0</v>
      </c>
      <c r="L390" s="430">
        <f t="shared" si="78"/>
        <v>239400</v>
      </c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 spans="1:26" ht="14.4">
      <c r="A391" s="427"/>
      <c r="B391" s="428" t="s">
        <v>484</v>
      </c>
      <c r="C391" s="431">
        <v>2</v>
      </c>
      <c r="D391" s="321"/>
      <c r="E391" s="321"/>
      <c r="F391" s="429">
        <f t="shared" si="75"/>
        <v>2</v>
      </c>
      <c r="G391" s="203">
        <v>60000</v>
      </c>
      <c r="H391" s="203">
        <v>65000</v>
      </c>
      <c r="I391" s="204"/>
      <c r="J391" s="205">
        <f t="shared" si="79"/>
        <v>0</v>
      </c>
      <c r="K391" s="205">
        <f t="shared" si="77"/>
        <v>0</v>
      </c>
      <c r="L391" s="430">
        <f t="shared" si="78"/>
        <v>120000</v>
      </c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 spans="1:26" ht="14.4">
      <c r="A392" s="427"/>
      <c r="B392" s="428" t="s">
        <v>485</v>
      </c>
      <c r="C392" s="431">
        <v>2</v>
      </c>
      <c r="D392" s="321"/>
      <c r="E392" s="321"/>
      <c r="F392" s="429">
        <f t="shared" si="75"/>
        <v>2</v>
      </c>
      <c r="G392" s="203">
        <v>38000</v>
      </c>
      <c r="H392" s="203">
        <v>41000</v>
      </c>
      <c r="I392" s="204"/>
      <c r="J392" s="205">
        <f t="shared" si="79"/>
        <v>0</v>
      </c>
      <c r="K392" s="205">
        <f t="shared" si="77"/>
        <v>0</v>
      </c>
      <c r="L392" s="430">
        <f t="shared" si="78"/>
        <v>76000</v>
      </c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 spans="1:26" ht="14.4">
      <c r="A393" s="427"/>
      <c r="B393" s="428" t="s">
        <v>486</v>
      </c>
      <c r="C393" s="431">
        <v>2</v>
      </c>
      <c r="D393" s="321"/>
      <c r="E393" s="321"/>
      <c r="F393" s="429">
        <f t="shared" si="75"/>
        <v>2</v>
      </c>
      <c r="G393" s="203">
        <v>19000</v>
      </c>
      <c r="H393" s="203">
        <v>22000</v>
      </c>
      <c r="I393" s="204"/>
      <c r="J393" s="205">
        <f t="shared" si="79"/>
        <v>0</v>
      </c>
      <c r="K393" s="205">
        <f t="shared" si="77"/>
        <v>0</v>
      </c>
      <c r="L393" s="430">
        <f t="shared" si="78"/>
        <v>38000</v>
      </c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 spans="1:26" ht="14.4">
      <c r="A394" s="427"/>
      <c r="B394" s="428" t="s">
        <v>487</v>
      </c>
      <c r="C394" s="431">
        <v>0</v>
      </c>
      <c r="D394" s="321"/>
      <c r="E394" s="321"/>
      <c r="F394" s="429">
        <f t="shared" si="75"/>
        <v>0</v>
      </c>
      <c r="G394" s="203">
        <v>59500</v>
      </c>
      <c r="H394" s="203">
        <v>63000</v>
      </c>
      <c r="I394" s="204"/>
      <c r="J394" s="205">
        <f t="shared" si="79"/>
        <v>0</v>
      </c>
      <c r="K394" s="205">
        <f t="shared" si="77"/>
        <v>0</v>
      </c>
      <c r="L394" s="430">
        <f t="shared" si="78"/>
        <v>0</v>
      </c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 spans="1:26" ht="14.4">
      <c r="A395" s="427"/>
      <c r="B395" s="428" t="s">
        <v>488</v>
      </c>
      <c r="C395" s="431">
        <v>3</v>
      </c>
      <c r="D395" s="321"/>
      <c r="E395" s="321"/>
      <c r="F395" s="429">
        <f t="shared" si="75"/>
        <v>3</v>
      </c>
      <c r="G395" s="203">
        <v>44800</v>
      </c>
      <c r="H395" s="203">
        <v>48000</v>
      </c>
      <c r="I395" s="204"/>
      <c r="J395" s="205">
        <f t="shared" si="79"/>
        <v>0</v>
      </c>
      <c r="K395" s="205">
        <f t="shared" si="77"/>
        <v>0</v>
      </c>
      <c r="L395" s="430">
        <f t="shared" si="78"/>
        <v>134400</v>
      </c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 spans="1:26" ht="14.4">
      <c r="A396" s="427"/>
      <c r="B396" s="428" t="s">
        <v>489</v>
      </c>
      <c r="C396" s="431"/>
      <c r="D396" s="321"/>
      <c r="E396" s="321"/>
      <c r="F396" s="429">
        <f t="shared" si="75"/>
        <v>0</v>
      </c>
      <c r="G396" s="203">
        <v>26800</v>
      </c>
      <c r="H396" s="203">
        <v>30000</v>
      </c>
      <c r="I396" s="204"/>
      <c r="J396" s="205">
        <f t="shared" si="79"/>
        <v>0</v>
      </c>
      <c r="K396" s="205">
        <f t="shared" si="77"/>
        <v>0</v>
      </c>
      <c r="L396" s="430">
        <f t="shared" si="78"/>
        <v>0</v>
      </c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 spans="1:26" ht="14.4">
      <c r="A397" s="427"/>
      <c r="B397" s="428" t="s">
        <v>490</v>
      </c>
      <c r="C397" s="431">
        <v>3</v>
      </c>
      <c r="D397" s="321"/>
      <c r="E397" s="321"/>
      <c r="F397" s="429">
        <f t="shared" si="75"/>
        <v>3</v>
      </c>
      <c r="G397" s="203">
        <v>13000</v>
      </c>
      <c r="H397" s="203">
        <v>15000</v>
      </c>
      <c r="I397" s="204"/>
      <c r="J397" s="205">
        <f t="shared" si="79"/>
        <v>0</v>
      </c>
      <c r="K397" s="205">
        <f t="shared" si="77"/>
        <v>0</v>
      </c>
      <c r="L397" s="430">
        <f t="shared" si="78"/>
        <v>39000</v>
      </c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 spans="1:26" ht="14.4">
      <c r="A398" s="427"/>
      <c r="B398" s="428" t="s">
        <v>491</v>
      </c>
      <c r="C398" s="431">
        <v>4</v>
      </c>
      <c r="D398" s="321"/>
      <c r="E398" s="321"/>
      <c r="F398" s="429">
        <f t="shared" si="75"/>
        <v>4</v>
      </c>
      <c r="G398" s="203">
        <v>39200</v>
      </c>
      <c r="H398" s="203">
        <v>45000</v>
      </c>
      <c r="I398" s="204"/>
      <c r="J398" s="205">
        <f t="shared" si="79"/>
        <v>0</v>
      </c>
      <c r="K398" s="205">
        <f t="shared" si="77"/>
        <v>0</v>
      </c>
      <c r="L398" s="430">
        <f t="shared" si="78"/>
        <v>156800</v>
      </c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 spans="1:26" ht="14.4">
      <c r="A399" s="427"/>
      <c r="B399" s="428" t="s">
        <v>492</v>
      </c>
      <c r="C399" s="431">
        <v>63</v>
      </c>
      <c r="D399" s="321"/>
      <c r="E399" s="321"/>
      <c r="F399" s="429">
        <f t="shared" si="75"/>
        <v>63</v>
      </c>
      <c r="G399" s="203">
        <v>43500</v>
      </c>
      <c r="H399" s="203">
        <v>45000</v>
      </c>
      <c r="I399" s="204"/>
      <c r="J399" s="205">
        <f t="shared" si="79"/>
        <v>0</v>
      </c>
      <c r="K399" s="205">
        <f t="shared" si="77"/>
        <v>0</v>
      </c>
      <c r="L399" s="430">
        <f t="shared" si="78"/>
        <v>2740500</v>
      </c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 spans="1:26" ht="14.4">
      <c r="A400" s="427"/>
      <c r="B400" s="428" t="s">
        <v>493</v>
      </c>
      <c r="C400" s="431">
        <v>4</v>
      </c>
      <c r="D400" s="321"/>
      <c r="E400" s="321"/>
      <c r="F400" s="429">
        <f t="shared" si="75"/>
        <v>4</v>
      </c>
      <c r="G400" s="203">
        <v>23100</v>
      </c>
      <c r="H400" s="203">
        <v>25000</v>
      </c>
      <c r="I400" s="204"/>
      <c r="J400" s="205">
        <f t="shared" si="79"/>
        <v>0</v>
      </c>
      <c r="K400" s="205">
        <f t="shared" si="77"/>
        <v>0</v>
      </c>
      <c r="L400" s="430">
        <f t="shared" si="78"/>
        <v>92400</v>
      </c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 spans="1:26" ht="14.4">
      <c r="A401" s="427"/>
      <c r="B401" s="428" t="s">
        <v>494</v>
      </c>
      <c r="C401" s="431"/>
      <c r="D401" s="321"/>
      <c r="E401" s="321"/>
      <c r="F401" s="429">
        <f t="shared" si="75"/>
        <v>0</v>
      </c>
      <c r="G401" s="203">
        <v>25400</v>
      </c>
      <c r="H401" s="203">
        <v>27000</v>
      </c>
      <c r="I401" s="204"/>
      <c r="J401" s="205">
        <f t="shared" si="79"/>
        <v>0</v>
      </c>
      <c r="K401" s="205">
        <f t="shared" si="77"/>
        <v>0</v>
      </c>
      <c r="L401" s="430">
        <f t="shared" si="78"/>
        <v>0</v>
      </c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 spans="1:26" ht="14.4">
      <c r="A402" s="427"/>
      <c r="B402" s="428" t="s">
        <v>495</v>
      </c>
      <c r="C402" s="431">
        <v>0</v>
      </c>
      <c r="D402" s="321"/>
      <c r="E402" s="321"/>
      <c r="F402" s="429">
        <f t="shared" si="75"/>
        <v>0</v>
      </c>
      <c r="G402" s="203">
        <v>47400</v>
      </c>
      <c r="H402" s="203">
        <v>48000</v>
      </c>
      <c r="I402" s="204"/>
      <c r="J402" s="205">
        <f t="shared" si="79"/>
        <v>0</v>
      </c>
      <c r="K402" s="205">
        <f t="shared" si="77"/>
        <v>0</v>
      </c>
      <c r="L402" s="430">
        <f t="shared" si="78"/>
        <v>0</v>
      </c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 spans="1:26" ht="14.4">
      <c r="A403" s="427"/>
      <c r="B403" s="428" t="s">
        <v>496</v>
      </c>
      <c r="C403" s="431">
        <v>2</v>
      </c>
      <c r="D403" s="321"/>
      <c r="E403" s="321"/>
      <c r="F403" s="429">
        <f t="shared" si="75"/>
        <v>2</v>
      </c>
      <c r="G403" s="203">
        <v>93900</v>
      </c>
      <c r="H403" s="203">
        <v>98000</v>
      </c>
      <c r="I403" s="204"/>
      <c r="J403" s="205">
        <f t="shared" si="79"/>
        <v>0</v>
      </c>
      <c r="K403" s="205">
        <f t="shared" si="77"/>
        <v>0</v>
      </c>
      <c r="L403" s="430">
        <f t="shared" si="78"/>
        <v>187800</v>
      </c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 spans="1:26" ht="14.4">
      <c r="A404" s="427"/>
      <c r="B404" s="428" t="s">
        <v>497</v>
      </c>
      <c r="C404" s="431">
        <v>1</v>
      </c>
      <c r="D404" s="321"/>
      <c r="E404" s="321"/>
      <c r="F404" s="429">
        <f t="shared" si="75"/>
        <v>1</v>
      </c>
      <c r="G404" s="203">
        <v>45400</v>
      </c>
      <c r="H404" s="203">
        <v>50000</v>
      </c>
      <c r="I404" s="204"/>
      <c r="J404" s="205">
        <f t="shared" si="79"/>
        <v>0</v>
      </c>
      <c r="K404" s="205">
        <f t="shared" si="77"/>
        <v>0</v>
      </c>
      <c r="L404" s="430">
        <f t="shared" si="78"/>
        <v>45400</v>
      </c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 spans="1:26" ht="14.4">
      <c r="A405" s="427"/>
      <c r="B405" s="428" t="s">
        <v>498</v>
      </c>
      <c r="C405" s="431">
        <v>1</v>
      </c>
      <c r="D405" s="321"/>
      <c r="E405" s="321"/>
      <c r="F405" s="429">
        <f t="shared" si="75"/>
        <v>1</v>
      </c>
      <c r="G405" s="203">
        <v>42800</v>
      </c>
      <c r="H405" s="203">
        <v>46000</v>
      </c>
      <c r="I405" s="204"/>
      <c r="J405" s="205">
        <f t="shared" si="79"/>
        <v>0</v>
      </c>
      <c r="K405" s="205">
        <f t="shared" si="77"/>
        <v>0</v>
      </c>
      <c r="L405" s="430">
        <f t="shared" si="78"/>
        <v>42800</v>
      </c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 spans="1:26" ht="14.4">
      <c r="A406" s="427"/>
      <c r="B406" s="428" t="s">
        <v>499</v>
      </c>
      <c r="C406" s="431">
        <v>1</v>
      </c>
      <c r="D406" s="321"/>
      <c r="E406" s="321"/>
      <c r="F406" s="429">
        <f t="shared" si="75"/>
        <v>1</v>
      </c>
      <c r="G406" s="203">
        <v>28000</v>
      </c>
      <c r="H406" s="203">
        <v>30000</v>
      </c>
      <c r="I406" s="204"/>
      <c r="J406" s="205">
        <f t="shared" si="79"/>
        <v>0</v>
      </c>
      <c r="K406" s="205">
        <f t="shared" si="77"/>
        <v>0</v>
      </c>
      <c r="L406" s="430">
        <f t="shared" si="78"/>
        <v>28000</v>
      </c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 spans="1:26" ht="14.4">
      <c r="A407" s="427"/>
      <c r="B407" s="428" t="s">
        <v>500</v>
      </c>
      <c r="C407" s="431">
        <v>3</v>
      </c>
      <c r="D407" s="321"/>
      <c r="E407" s="321"/>
      <c r="F407" s="429">
        <f t="shared" si="75"/>
        <v>3</v>
      </c>
      <c r="G407" s="203">
        <v>34400</v>
      </c>
      <c r="H407" s="203">
        <v>37000</v>
      </c>
      <c r="I407" s="204"/>
      <c r="J407" s="205">
        <f t="shared" si="79"/>
        <v>0</v>
      </c>
      <c r="K407" s="205">
        <f t="shared" si="77"/>
        <v>0</v>
      </c>
      <c r="L407" s="430">
        <f t="shared" si="78"/>
        <v>103200</v>
      </c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 spans="1:26" ht="14.4">
      <c r="A408" s="427"/>
      <c r="B408" s="428" t="s">
        <v>501</v>
      </c>
      <c r="C408" s="431">
        <v>6</v>
      </c>
      <c r="D408" s="321"/>
      <c r="E408" s="321"/>
      <c r="F408" s="429">
        <f t="shared" si="75"/>
        <v>6</v>
      </c>
      <c r="G408" s="203">
        <v>148207</v>
      </c>
      <c r="H408" s="203">
        <v>135000</v>
      </c>
      <c r="I408" s="204"/>
      <c r="J408" s="205">
        <f t="shared" si="79"/>
        <v>0</v>
      </c>
      <c r="K408" s="205">
        <f t="shared" si="77"/>
        <v>0</v>
      </c>
      <c r="L408" s="430">
        <f t="shared" si="78"/>
        <v>889242</v>
      </c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 spans="1:26" ht="14.4">
      <c r="A409" s="427"/>
      <c r="B409" s="428" t="s">
        <v>502</v>
      </c>
      <c r="C409" s="321">
        <v>6</v>
      </c>
      <c r="D409" s="321"/>
      <c r="E409" s="321"/>
      <c r="F409" s="429">
        <f t="shared" si="75"/>
        <v>6</v>
      </c>
      <c r="G409" s="203">
        <v>87472</v>
      </c>
      <c r="H409" s="203">
        <v>84000</v>
      </c>
      <c r="I409" s="213"/>
      <c r="J409" s="205">
        <f t="shared" si="79"/>
        <v>0</v>
      </c>
      <c r="K409" s="205">
        <f t="shared" si="77"/>
        <v>0</v>
      </c>
      <c r="L409" s="430">
        <f t="shared" si="78"/>
        <v>524832</v>
      </c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 spans="1:26" ht="14.4">
      <c r="A410" s="427"/>
      <c r="B410" s="428" t="s">
        <v>503</v>
      </c>
      <c r="C410" s="431">
        <v>12</v>
      </c>
      <c r="D410" s="321"/>
      <c r="E410" s="321"/>
      <c r="F410" s="429">
        <f t="shared" si="75"/>
        <v>12</v>
      </c>
      <c r="G410" s="203">
        <v>65456</v>
      </c>
      <c r="H410" s="432">
        <v>63000</v>
      </c>
      <c r="I410" s="433"/>
      <c r="J410" s="205">
        <f t="shared" si="79"/>
        <v>0</v>
      </c>
      <c r="K410" s="205">
        <f t="shared" si="77"/>
        <v>0</v>
      </c>
      <c r="L410" s="430">
        <f t="shared" si="78"/>
        <v>785472</v>
      </c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 spans="1:26" ht="14.4">
      <c r="A411" s="427"/>
      <c r="B411" s="428" t="s">
        <v>504</v>
      </c>
      <c r="C411" s="431">
        <v>3</v>
      </c>
      <c r="D411" s="321"/>
      <c r="E411" s="321"/>
      <c r="F411" s="429">
        <f t="shared" si="75"/>
        <v>3</v>
      </c>
      <c r="G411" s="203">
        <v>36476</v>
      </c>
      <c r="H411" s="203">
        <v>34000</v>
      </c>
      <c r="I411" s="224"/>
      <c r="J411" s="205">
        <f t="shared" si="79"/>
        <v>0</v>
      </c>
      <c r="K411" s="205">
        <f t="shared" si="77"/>
        <v>0</v>
      </c>
      <c r="L411" s="430">
        <f t="shared" si="78"/>
        <v>109428</v>
      </c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 spans="1:26" ht="14.4">
      <c r="A412" s="427"/>
      <c r="B412" s="428" t="s">
        <v>505</v>
      </c>
      <c r="C412" s="431">
        <v>5</v>
      </c>
      <c r="D412" s="321"/>
      <c r="E412" s="321"/>
      <c r="F412" s="429">
        <f t="shared" si="75"/>
        <v>5</v>
      </c>
      <c r="G412" s="203">
        <v>23503</v>
      </c>
      <c r="H412" s="203">
        <v>22000</v>
      </c>
      <c r="I412" s="204"/>
      <c r="J412" s="205">
        <f t="shared" si="79"/>
        <v>0</v>
      </c>
      <c r="K412" s="205">
        <f t="shared" si="77"/>
        <v>0</v>
      </c>
      <c r="L412" s="430">
        <f t="shared" si="78"/>
        <v>117515</v>
      </c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 spans="1:26" ht="14.4">
      <c r="A413" s="427"/>
      <c r="B413" s="428" t="s">
        <v>506</v>
      </c>
      <c r="C413" s="431">
        <v>1</v>
      </c>
      <c r="D413" s="321"/>
      <c r="E413" s="321"/>
      <c r="F413" s="429">
        <f t="shared" si="75"/>
        <v>1</v>
      </c>
      <c r="G413" s="203">
        <v>139000</v>
      </c>
      <c r="H413" s="203">
        <v>145000</v>
      </c>
      <c r="I413" s="204"/>
      <c r="J413" s="205">
        <f t="shared" si="79"/>
        <v>0</v>
      </c>
      <c r="K413" s="205">
        <f t="shared" si="77"/>
        <v>0</v>
      </c>
      <c r="L413" s="430">
        <f t="shared" si="78"/>
        <v>139000</v>
      </c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 spans="1:26" ht="14.4">
      <c r="A414" s="427"/>
      <c r="B414" s="428" t="s">
        <v>507</v>
      </c>
      <c r="C414" s="431"/>
      <c r="D414" s="321"/>
      <c r="E414" s="321"/>
      <c r="F414" s="429">
        <f t="shared" si="75"/>
        <v>0</v>
      </c>
      <c r="G414" s="203">
        <v>60000</v>
      </c>
      <c r="H414" s="203">
        <v>65000</v>
      </c>
      <c r="I414" s="204"/>
      <c r="J414" s="205">
        <f t="shared" si="79"/>
        <v>0</v>
      </c>
      <c r="K414" s="205">
        <f t="shared" si="77"/>
        <v>0</v>
      </c>
      <c r="L414" s="430">
        <f t="shared" si="78"/>
        <v>0</v>
      </c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 spans="1:26" ht="14.4">
      <c r="A415" s="427"/>
      <c r="B415" s="428" t="s">
        <v>508</v>
      </c>
      <c r="C415" s="431">
        <v>0</v>
      </c>
      <c r="D415" s="321"/>
      <c r="E415" s="321"/>
      <c r="F415" s="429">
        <f t="shared" si="75"/>
        <v>0</v>
      </c>
      <c r="G415" s="203">
        <v>40300</v>
      </c>
      <c r="H415" s="203">
        <v>43000</v>
      </c>
      <c r="I415" s="204"/>
      <c r="J415" s="205">
        <f t="shared" si="79"/>
        <v>0</v>
      </c>
      <c r="K415" s="205">
        <f t="shared" si="77"/>
        <v>0</v>
      </c>
      <c r="L415" s="430">
        <f t="shared" si="78"/>
        <v>0</v>
      </c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 spans="1:26" ht="14.4">
      <c r="A416" s="427"/>
      <c r="B416" s="428" t="s">
        <v>509</v>
      </c>
      <c r="C416" s="431">
        <v>2</v>
      </c>
      <c r="D416" s="321"/>
      <c r="E416" s="321"/>
      <c r="F416" s="429">
        <f t="shared" si="75"/>
        <v>2</v>
      </c>
      <c r="G416" s="203">
        <v>40300</v>
      </c>
      <c r="H416" s="203">
        <v>43000</v>
      </c>
      <c r="I416" s="204"/>
      <c r="J416" s="205">
        <f t="shared" si="79"/>
        <v>0</v>
      </c>
      <c r="K416" s="205">
        <f t="shared" si="77"/>
        <v>0</v>
      </c>
      <c r="L416" s="430">
        <f t="shared" si="78"/>
        <v>80600</v>
      </c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 spans="1:26" ht="14.4">
      <c r="A417" s="427"/>
      <c r="B417" s="428" t="s">
        <v>667</v>
      </c>
      <c r="C417" s="431">
        <v>2</v>
      </c>
      <c r="D417" s="321"/>
      <c r="E417" s="321"/>
      <c r="F417" s="429">
        <f t="shared" si="75"/>
        <v>2</v>
      </c>
      <c r="G417" s="203">
        <v>40300</v>
      </c>
      <c r="H417" s="203">
        <v>43000</v>
      </c>
      <c r="I417" s="204"/>
      <c r="J417" s="205">
        <f t="shared" si="79"/>
        <v>0</v>
      </c>
      <c r="K417" s="205">
        <f t="shared" si="77"/>
        <v>0</v>
      </c>
      <c r="L417" s="430">
        <f t="shared" si="78"/>
        <v>80600</v>
      </c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 spans="1:26" ht="14.4">
      <c r="A418" s="427"/>
      <c r="B418" s="428" t="s">
        <v>668</v>
      </c>
      <c r="C418" s="431">
        <v>2</v>
      </c>
      <c r="D418" s="321"/>
      <c r="E418" s="321"/>
      <c r="F418" s="429">
        <f t="shared" si="75"/>
        <v>2</v>
      </c>
      <c r="G418" s="203">
        <v>35900</v>
      </c>
      <c r="H418" s="203">
        <v>40000</v>
      </c>
      <c r="I418" s="204"/>
      <c r="J418" s="205">
        <f t="shared" si="79"/>
        <v>0</v>
      </c>
      <c r="K418" s="205">
        <f t="shared" si="77"/>
        <v>0</v>
      </c>
      <c r="L418" s="430">
        <f t="shared" si="78"/>
        <v>71800</v>
      </c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 spans="1:26" ht="14.4">
      <c r="A419" s="427"/>
      <c r="B419" s="428" t="s">
        <v>510</v>
      </c>
      <c r="C419" s="431">
        <v>2</v>
      </c>
      <c r="D419" s="321"/>
      <c r="E419" s="321"/>
      <c r="F419" s="429">
        <f t="shared" si="75"/>
        <v>2</v>
      </c>
      <c r="G419" s="203">
        <v>36431</v>
      </c>
      <c r="H419" s="203">
        <v>37000</v>
      </c>
      <c r="I419" s="204"/>
      <c r="J419" s="205">
        <f t="shared" si="79"/>
        <v>0</v>
      </c>
      <c r="K419" s="205">
        <f t="shared" si="77"/>
        <v>0</v>
      </c>
      <c r="L419" s="430">
        <f t="shared" si="78"/>
        <v>72862</v>
      </c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 spans="1:26" ht="14.4">
      <c r="A420" s="427"/>
      <c r="B420" s="434" t="s">
        <v>511</v>
      </c>
      <c r="C420" s="431">
        <v>3</v>
      </c>
      <c r="D420" s="321"/>
      <c r="E420" s="321"/>
      <c r="F420" s="429">
        <f t="shared" si="75"/>
        <v>3</v>
      </c>
      <c r="G420" s="203">
        <v>5500</v>
      </c>
      <c r="H420" s="203">
        <v>6000</v>
      </c>
      <c r="I420" s="204"/>
      <c r="J420" s="205">
        <f t="shared" si="79"/>
        <v>0</v>
      </c>
      <c r="K420" s="205">
        <f t="shared" si="77"/>
        <v>0</v>
      </c>
      <c r="L420" s="430">
        <f t="shared" si="78"/>
        <v>16500</v>
      </c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 spans="1:26" ht="14.4">
      <c r="A421" s="427"/>
      <c r="B421" s="434" t="s">
        <v>512</v>
      </c>
      <c r="C421" s="431">
        <v>3</v>
      </c>
      <c r="D421" s="321"/>
      <c r="E421" s="321"/>
      <c r="F421" s="429">
        <f t="shared" si="75"/>
        <v>3</v>
      </c>
      <c r="G421" s="239">
        <v>65000</v>
      </c>
      <c r="H421" s="239">
        <v>70000</v>
      </c>
      <c r="I421" s="204"/>
      <c r="J421" s="205">
        <f t="shared" si="79"/>
        <v>0</v>
      </c>
      <c r="K421" s="205">
        <f t="shared" si="77"/>
        <v>0</v>
      </c>
      <c r="L421" s="430">
        <f t="shared" si="78"/>
        <v>195000</v>
      </c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 spans="1:26" ht="14.4">
      <c r="A422" s="427"/>
      <c r="B422" s="434" t="s">
        <v>513</v>
      </c>
      <c r="C422" s="431"/>
      <c r="D422" s="435"/>
      <c r="E422" s="435"/>
      <c r="F422" s="429">
        <f t="shared" si="75"/>
        <v>0</v>
      </c>
      <c r="G422" s="298">
        <v>109000</v>
      </c>
      <c r="H422" s="298">
        <v>118000</v>
      </c>
      <c r="I422" s="299"/>
      <c r="J422" s="300">
        <f t="shared" si="79"/>
        <v>0</v>
      </c>
      <c r="K422" s="300">
        <f t="shared" si="77"/>
        <v>0</v>
      </c>
      <c r="L422" s="436">
        <f t="shared" si="78"/>
        <v>0</v>
      </c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 spans="1:26" ht="14.4">
      <c r="A423" s="437"/>
      <c r="B423" s="438"/>
      <c r="C423" s="439">
        <f t="shared" ref="C423:F423" si="80">+SUM(C345:C415)</f>
        <v>248</v>
      </c>
      <c r="D423" s="440">
        <f t="shared" si="80"/>
        <v>0</v>
      </c>
      <c r="E423" s="440">
        <f t="shared" si="80"/>
        <v>0</v>
      </c>
      <c r="F423" s="439">
        <f t="shared" si="80"/>
        <v>248</v>
      </c>
      <c r="G423" s="441">
        <f t="shared" ref="G423:L423" si="81">+SUM(G345:G422)</f>
        <v>6177057</v>
      </c>
      <c r="H423" s="441">
        <f t="shared" si="81"/>
        <v>6457000</v>
      </c>
      <c r="I423" s="442">
        <f t="shared" si="81"/>
        <v>0</v>
      </c>
      <c r="J423" s="441">
        <f t="shared" si="81"/>
        <v>0</v>
      </c>
      <c r="K423" s="441">
        <f t="shared" si="81"/>
        <v>0</v>
      </c>
      <c r="L423" s="441">
        <f t="shared" si="81"/>
        <v>19479379</v>
      </c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 spans="1:26" ht="14.4">
      <c r="A424" s="427"/>
      <c r="B424" s="428" t="s">
        <v>514</v>
      </c>
      <c r="C424" s="431">
        <v>5</v>
      </c>
      <c r="D424" s="321"/>
      <c r="E424" s="321"/>
      <c r="F424" s="429">
        <f t="shared" ref="F424:F435" si="82">+C424+D424-E424</f>
        <v>5</v>
      </c>
      <c r="G424" s="203">
        <v>43421</v>
      </c>
      <c r="H424" s="203">
        <v>50000</v>
      </c>
      <c r="I424" s="204"/>
      <c r="J424" s="205">
        <f t="shared" ref="J424:J435" si="83">+I424*H424</f>
        <v>0</v>
      </c>
      <c r="K424" s="205">
        <f t="shared" ref="K424:K435" si="84">+(H424-G424)*I424</f>
        <v>0</v>
      </c>
      <c r="L424" s="430">
        <f t="shared" ref="L424:L435" si="85">+G424*F424</f>
        <v>217105</v>
      </c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 spans="1:26" ht="14.4">
      <c r="A425" s="427"/>
      <c r="B425" s="428" t="s">
        <v>515</v>
      </c>
      <c r="C425" s="431"/>
      <c r="D425" s="321"/>
      <c r="E425" s="321"/>
      <c r="F425" s="429">
        <f t="shared" si="82"/>
        <v>0</v>
      </c>
      <c r="G425" s="203">
        <v>44748</v>
      </c>
      <c r="H425" s="203">
        <v>44000</v>
      </c>
      <c r="I425" s="204"/>
      <c r="J425" s="205">
        <f t="shared" si="83"/>
        <v>0</v>
      </c>
      <c r="K425" s="205">
        <f t="shared" si="84"/>
        <v>0</v>
      </c>
      <c r="L425" s="430">
        <f t="shared" si="85"/>
        <v>0</v>
      </c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 spans="1:26" ht="14.4">
      <c r="A426" s="427"/>
      <c r="B426" s="428" t="s">
        <v>516</v>
      </c>
      <c r="C426" s="431">
        <v>4</v>
      </c>
      <c r="D426" s="321"/>
      <c r="E426" s="321"/>
      <c r="F426" s="429">
        <f t="shared" si="82"/>
        <v>4</v>
      </c>
      <c r="G426" s="203">
        <v>40111</v>
      </c>
      <c r="H426" s="203">
        <v>38000</v>
      </c>
      <c r="I426" s="204"/>
      <c r="J426" s="205">
        <f t="shared" si="83"/>
        <v>0</v>
      </c>
      <c r="K426" s="205">
        <f t="shared" si="84"/>
        <v>0</v>
      </c>
      <c r="L426" s="430">
        <f t="shared" si="85"/>
        <v>160444</v>
      </c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 spans="1:26" ht="14.4">
      <c r="A427" s="427"/>
      <c r="B427" s="428" t="s">
        <v>517</v>
      </c>
      <c r="C427" s="431">
        <v>2</v>
      </c>
      <c r="D427" s="321"/>
      <c r="E427" s="321"/>
      <c r="F427" s="429">
        <f t="shared" si="82"/>
        <v>2</v>
      </c>
      <c r="G427" s="203">
        <v>19662</v>
      </c>
      <c r="H427" s="203">
        <v>22000</v>
      </c>
      <c r="I427" s="204"/>
      <c r="J427" s="205">
        <f t="shared" si="83"/>
        <v>0</v>
      </c>
      <c r="K427" s="205">
        <f t="shared" si="84"/>
        <v>0</v>
      </c>
      <c r="L427" s="430">
        <f t="shared" si="85"/>
        <v>39324</v>
      </c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 spans="1:26" ht="14.4">
      <c r="A428" s="427"/>
      <c r="B428" s="428" t="s">
        <v>518</v>
      </c>
      <c r="C428" s="431"/>
      <c r="D428" s="321"/>
      <c r="E428" s="321"/>
      <c r="F428" s="429">
        <f t="shared" si="82"/>
        <v>0</v>
      </c>
      <c r="G428" s="203">
        <v>72900</v>
      </c>
      <c r="H428" s="203">
        <v>76000</v>
      </c>
      <c r="I428" s="204"/>
      <c r="J428" s="205">
        <f t="shared" si="83"/>
        <v>0</v>
      </c>
      <c r="K428" s="205">
        <f t="shared" si="84"/>
        <v>0</v>
      </c>
      <c r="L428" s="430">
        <f t="shared" si="85"/>
        <v>0</v>
      </c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 spans="1:26" ht="14.4">
      <c r="A429" s="427"/>
      <c r="B429" s="428" t="s">
        <v>519</v>
      </c>
      <c r="C429" s="431"/>
      <c r="D429" s="321"/>
      <c r="E429" s="321"/>
      <c r="F429" s="429">
        <f t="shared" si="82"/>
        <v>0</v>
      </c>
      <c r="G429" s="203">
        <v>45300</v>
      </c>
      <c r="H429" s="203">
        <v>48000</v>
      </c>
      <c r="I429" s="204"/>
      <c r="J429" s="205">
        <f t="shared" si="83"/>
        <v>0</v>
      </c>
      <c r="K429" s="205">
        <f t="shared" si="84"/>
        <v>0</v>
      </c>
      <c r="L429" s="430">
        <f t="shared" si="85"/>
        <v>0</v>
      </c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 spans="1:26" ht="14.4">
      <c r="A430" s="443"/>
      <c r="B430" s="444" t="s">
        <v>520</v>
      </c>
      <c r="C430" s="431">
        <v>18</v>
      </c>
      <c r="D430" s="321"/>
      <c r="E430" s="321"/>
      <c r="F430" s="429">
        <f t="shared" si="82"/>
        <v>18</v>
      </c>
      <c r="G430" s="239">
        <v>6465</v>
      </c>
      <c r="H430" s="239">
        <v>7000</v>
      </c>
      <c r="I430" s="204"/>
      <c r="J430" s="205">
        <f t="shared" si="83"/>
        <v>0</v>
      </c>
      <c r="K430" s="205">
        <f t="shared" si="84"/>
        <v>0</v>
      </c>
      <c r="L430" s="430">
        <f t="shared" si="85"/>
        <v>116370</v>
      </c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 spans="1:26" ht="14.4">
      <c r="A431" s="443"/>
      <c r="B431" s="444" t="s">
        <v>521</v>
      </c>
      <c r="C431" s="431">
        <v>26</v>
      </c>
      <c r="D431" s="321"/>
      <c r="E431" s="321"/>
      <c r="F431" s="431">
        <f t="shared" si="82"/>
        <v>26</v>
      </c>
      <c r="G431" s="210">
        <v>7460</v>
      </c>
      <c r="H431" s="210">
        <v>8000</v>
      </c>
      <c r="I431" s="445"/>
      <c r="J431" s="205">
        <f t="shared" si="83"/>
        <v>0</v>
      </c>
      <c r="K431" s="205">
        <f t="shared" si="84"/>
        <v>0</v>
      </c>
      <c r="L431" s="430">
        <f t="shared" si="85"/>
        <v>193960</v>
      </c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 spans="1:26" ht="14.4">
      <c r="A432" s="443"/>
      <c r="B432" s="446" t="s">
        <v>522</v>
      </c>
      <c r="C432" s="431"/>
      <c r="D432" s="321"/>
      <c r="E432" s="321"/>
      <c r="F432" s="431">
        <f t="shared" si="82"/>
        <v>0</v>
      </c>
      <c r="G432" s="210">
        <v>80000</v>
      </c>
      <c r="H432" s="210">
        <v>84000</v>
      </c>
      <c r="I432" s="445"/>
      <c r="J432" s="205">
        <f t="shared" si="83"/>
        <v>0</v>
      </c>
      <c r="K432" s="205">
        <f t="shared" si="84"/>
        <v>0</v>
      </c>
      <c r="L432" s="430">
        <f t="shared" si="85"/>
        <v>0</v>
      </c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 spans="1:26" ht="14.4">
      <c r="A433" s="427"/>
      <c r="B433" s="428" t="s">
        <v>523</v>
      </c>
      <c r="C433" s="431"/>
      <c r="D433" s="321"/>
      <c r="E433" s="321"/>
      <c r="F433" s="429">
        <f t="shared" si="82"/>
        <v>0</v>
      </c>
      <c r="G433" s="203">
        <v>80000</v>
      </c>
      <c r="H433" s="203">
        <v>84000</v>
      </c>
      <c r="I433" s="204"/>
      <c r="J433" s="205">
        <f t="shared" si="83"/>
        <v>0</v>
      </c>
      <c r="K433" s="205">
        <f t="shared" si="84"/>
        <v>0</v>
      </c>
      <c r="L433" s="430">
        <f t="shared" si="85"/>
        <v>0</v>
      </c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 spans="1:26" ht="14.4">
      <c r="A434" s="427"/>
      <c r="B434" s="428" t="s">
        <v>524</v>
      </c>
      <c r="C434" s="431">
        <v>5</v>
      </c>
      <c r="D434" s="321"/>
      <c r="E434" s="321"/>
      <c r="F434" s="429">
        <f t="shared" si="82"/>
        <v>5</v>
      </c>
      <c r="G434" s="210">
        <v>38000</v>
      </c>
      <c r="H434" s="210">
        <v>40000</v>
      </c>
      <c r="I434" s="445"/>
      <c r="J434" s="205">
        <f t="shared" si="83"/>
        <v>0</v>
      </c>
      <c r="K434" s="205">
        <f t="shared" si="84"/>
        <v>0</v>
      </c>
      <c r="L434" s="430">
        <f t="shared" si="85"/>
        <v>190000</v>
      </c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 spans="1:26" ht="14.4">
      <c r="A435" s="427"/>
      <c r="B435" s="434" t="s">
        <v>525</v>
      </c>
      <c r="C435" s="431"/>
      <c r="D435" s="321"/>
      <c r="E435" s="321"/>
      <c r="F435" s="429">
        <f t="shared" si="82"/>
        <v>0</v>
      </c>
      <c r="G435" s="210">
        <v>29800</v>
      </c>
      <c r="H435" s="210">
        <v>33000</v>
      </c>
      <c r="I435" s="445"/>
      <c r="J435" s="205">
        <f t="shared" si="83"/>
        <v>0</v>
      </c>
      <c r="K435" s="205">
        <f t="shared" si="84"/>
        <v>0</v>
      </c>
      <c r="L435" s="430">
        <f t="shared" si="85"/>
        <v>0</v>
      </c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 spans="1:26" ht="14.4">
      <c r="A436" s="437"/>
      <c r="B436" s="438"/>
      <c r="C436" s="447">
        <f t="shared" ref="C436:F436" si="86">+SUM(C424:C433)</f>
        <v>55</v>
      </c>
      <c r="D436" s="447">
        <f t="shared" si="86"/>
        <v>0</v>
      </c>
      <c r="E436" s="447">
        <f t="shared" si="86"/>
        <v>0</v>
      </c>
      <c r="F436" s="447">
        <f t="shared" si="86"/>
        <v>55</v>
      </c>
      <c r="G436" s="448">
        <f t="shared" ref="G436:L436" si="87">+SUM(G424:G435)</f>
        <v>507867</v>
      </c>
      <c r="H436" s="448">
        <f t="shared" si="87"/>
        <v>534000</v>
      </c>
      <c r="I436" s="449">
        <f t="shared" si="87"/>
        <v>0</v>
      </c>
      <c r="J436" s="448">
        <f t="shared" si="87"/>
        <v>0</v>
      </c>
      <c r="K436" s="448">
        <f t="shared" si="87"/>
        <v>0</v>
      </c>
      <c r="L436" s="448">
        <f t="shared" si="87"/>
        <v>917203</v>
      </c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 spans="1:26" ht="14.4">
      <c r="A437" s="427"/>
      <c r="B437" s="428" t="s">
        <v>669</v>
      </c>
      <c r="C437" s="431">
        <v>4</v>
      </c>
      <c r="D437" s="321"/>
      <c r="E437" s="321"/>
      <c r="F437" s="429">
        <f t="shared" ref="F437:F464" si="88">+C437+D437-E437</f>
        <v>4</v>
      </c>
      <c r="G437" s="203"/>
      <c r="H437" s="203"/>
      <c r="I437" s="204"/>
      <c r="J437" s="205">
        <f t="shared" ref="J437:J464" si="89">+I437*H437</f>
        <v>0</v>
      </c>
      <c r="K437" s="205">
        <f t="shared" ref="K437:K464" si="90">+(H437-G437)*I437</f>
        <v>0</v>
      </c>
      <c r="L437" s="430">
        <f t="shared" ref="L437:L464" si="91">+G437*F437</f>
        <v>0</v>
      </c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 spans="1:26" ht="14.4">
      <c r="A438" s="427"/>
      <c r="B438" s="428" t="s">
        <v>526</v>
      </c>
      <c r="C438" s="431"/>
      <c r="D438" s="321"/>
      <c r="E438" s="321"/>
      <c r="F438" s="429">
        <f t="shared" si="88"/>
        <v>0</v>
      </c>
      <c r="G438" s="203">
        <v>102000</v>
      </c>
      <c r="H438" s="203">
        <v>108000</v>
      </c>
      <c r="I438" s="204"/>
      <c r="J438" s="205">
        <f t="shared" si="89"/>
        <v>0</v>
      </c>
      <c r="K438" s="205">
        <f t="shared" si="90"/>
        <v>0</v>
      </c>
      <c r="L438" s="430">
        <f t="shared" si="91"/>
        <v>0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14.4">
      <c r="A439" s="427"/>
      <c r="B439" s="387" t="s">
        <v>527</v>
      </c>
      <c r="C439" s="431">
        <v>1</v>
      </c>
      <c r="D439" s="321"/>
      <c r="E439" s="321"/>
      <c r="F439" s="429">
        <f t="shared" si="88"/>
        <v>1</v>
      </c>
      <c r="G439" s="203">
        <v>86250</v>
      </c>
      <c r="H439" s="203">
        <v>93000</v>
      </c>
      <c r="I439" s="204"/>
      <c r="J439" s="205">
        <f t="shared" si="89"/>
        <v>0</v>
      </c>
      <c r="K439" s="205">
        <f t="shared" si="90"/>
        <v>0</v>
      </c>
      <c r="L439" s="430">
        <f t="shared" si="91"/>
        <v>86250</v>
      </c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 spans="1:26" ht="14.4">
      <c r="A440" s="427"/>
      <c r="B440" s="428" t="s">
        <v>528</v>
      </c>
      <c r="C440" s="431">
        <v>2</v>
      </c>
      <c r="D440" s="321"/>
      <c r="E440" s="321"/>
      <c r="F440" s="429">
        <f t="shared" si="88"/>
        <v>2</v>
      </c>
      <c r="G440" s="203">
        <v>58000</v>
      </c>
      <c r="H440" s="203">
        <v>64000</v>
      </c>
      <c r="I440" s="204"/>
      <c r="J440" s="205">
        <f t="shared" si="89"/>
        <v>0</v>
      </c>
      <c r="K440" s="205">
        <f t="shared" si="90"/>
        <v>0</v>
      </c>
      <c r="L440" s="430">
        <f t="shared" si="91"/>
        <v>116000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 spans="1:26" ht="14.4">
      <c r="A441" s="427"/>
      <c r="B441" s="428" t="s">
        <v>529</v>
      </c>
      <c r="C441" s="431"/>
      <c r="D441" s="321"/>
      <c r="E441" s="321"/>
      <c r="F441" s="429">
        <f t="shared" si="88"/>
        <v>0</v>
      </c>
      <c r="G441" s="203">
        <v>85000</v>
      </c>
      <c r="H441" s="203">
        <v>64000</v>
      </c>
      <c r="I441" s="204"/>
      <c r="J441" s="205">
        <f t="shared" si="89"/>
        <v>0</v>
      </c>
      <c r="K441" s="205">
        <f t="shared" si="90"/>
        <v>0</v>
      </c>
      <c r="L441" s="430">
        <f t="shared" si="91"/>
        <v>0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 spans="1:26" ht="14.4">
      <c r="A442" s="427"/>
      <c r="B442" s="428" t="s">
        <v>670</v>
      </c>
      <c r="C442" s="431">
        <v>1</v>
      </c>
      <c r="D442" s="321"/>
      <c r="E442" s="321"/>
      <c r="F442" s="429">
        <f t="shared" si="88"/>
        <v>1</v>
      </c>
      <c r="G442" s="203"/>
      <c r="H442" s="203"/>
      <c r="I442" s="204"/>
      <c r="J442" s="205">
        <f t="shared" si="89"/>
        <v>0</v>
      </c>
      <c r="K442" s="205">
        <f t="shared" si="90"/>
        <v>0</v>
      </c>
      <c r="L442" s="430">
        <f t="shared" si="91"/>
        <v>0</v>
      </c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 spans="1:26" ht="14.4">
      <c r="A443" s="427"/>
      <c r="B443" s="428" t="s">
        <v>671</v>
      </c>
      <c r="C443" s="431">
        <v>1</v>
      </c>
      <c r="D443" s="321"/>
      <c r="E443" s="321"/>
      <c r="F443" s="429">
        <f t="shared" si="88"/>
        <v>1</v>
      </c>
      <c r="G443" s="203"/>
      <c r="H443" s="203"/>
      <c r="I443" s="204"/>
      <c r="J443" s="205">
        <f t="shared" si="89"/>
        <v>0</v>
      </c>
      <c r="K443" s="205">
        <f t="shared" si="90"/>
        <v>0</v>
      </c>
      <c r="L443" s="430">
        <f t="shared" si="91"/>
        <v>0</v>
      </c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 spans="1:26" ht="14.4">
      <c r="A444" s="427"/>
      <c r="B444" s="428" t="s">
        <v>530</v>
      </c>
      <c r="C444" s="431">
        <v>3</v>
      </c>
      <c r="D444" s="321"/>
      <c r="E444" s="321"/>
      <c r="F444" s="429">
        <f t="shared" si="88"/>
        <v>3</v>
      </c>
      <c r="G444" s="203">
        <v>70000</v>
      </c>
      <c r="H444" s="203">
        <v>75000</v>
      </c>
      <c r="I444" s="204"/>
      <c r="J444" s="205">
        <f t="shared" si="89"/>
        <v>0</v>
      </c>
      <c r="K444" s="205">
        <f t="shared" si="90"/>
        <v>0</v>
      </c>
      <c r="L444" s="430">
        <f t="shared" si="91"/>
        <v>210000</v>
      </c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 spans="1:26" ht="14.4">
      <c r="A445" s="427"/>
      <c r="B445" s="428" t="s">
        <v>531</v>
      </c>
      <c r="C445" s="431"/>
      <c r="D445" s="321"/>
      <c r="E445" s="321"/>
      <c r="F445" s="429">
        <f t="shared" si="88"/>
        <v>0</v>
      </c>
      <c r="G445" s="203">
        <v>195088</v>
      </c>
      <c r="H445" s="203">
        <v>22000</v>
      </c>
      <c r="I445" s="204"/>
      <c r="J445" s="205">
        <f t="shared" si="89"/>
        <v>0</v>
      </c>
      <c r="K445" s="205">
        <f t="shared" si="90"/>
        <v>0</v>
      </c>
      <c r="L445" s="430">
        <f t="shared" si="91"/>
        <v>0</v>
      </c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 spans="1:26" ht="14.4">
      <c r="A446" s="427"/>
      <c r="B446" s="428" t="s">
        <v>532</v>
      </c>
      <c r="C446" s="431">
        <v>9</v>
      </c>
      <c r="D446" s="321"/>
      <c r="E446" s="321"/>
      <c r="F446" s="429">
        <f t="shared" si="88"/>
        <v>9</v>
      </c>
      <c r="G446" s="203">
        <v>75000</v>
      </c>
      <c r="H446" s="203">
        <v>80000</v>
      </c>
      <c r="I446" s="204"/>
      <c r="J446" s="205">
        <f t="shared" si="89"/>
        <v>0</v>
      </c>
      <c r="K446" s="205">
        <f t="shared" si="90"/>
        <v>0</v>
      </c>
      <c r="L446" s="430">
        <f t="shared" si="91"/>
        <v>675000</v>
      </c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 spans="1:26" ht="14.4">
      <c r="A447" s="427"/>
      <c r="B447" s="428" t="s">
        <v>533</v>
      </c>
      <c r="C447" s="431">
        <v>1</v>
      </c>
      <c r="D447" s="321"/>
      <c r="E447" s="321"/>
      <c r="F447" s="429">
        <f t="shared" si="88"/>
        <v>1</v>
      </c>
      <c r="G447" s="203">
        <v>38000</v>
      </c>
      <c r="H447" s="203">
        <v>42000</v>
      </c>
      <c r="I447" s="204"/>
      <c r="J447" s="205">
        <f t="shared" si="89"/>
        <v>0</v>
      </c>
      <c r="K447" s="205">
        <f t="shared" si="90"/>
        <v>0</v>
      </c>
      <c r="L447" s="430">
        <f t="shared" si="91"/>
        <v>38000</v>
      </c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 spans="1:26" ht="14.4">
      <c r="A448" s="427"/>
      <c r="B448" s="428" t="s">
        <v>534</v>
      </c>
      <c r="C448" s="431">
        <v>2</v>
      </c>
      <c r="D448" s="321"/>
      <c r="E448" s="321"/>
      <c r="F448" s="429">
        <f t="shared" si="88"/>
        <v>2</v>
      </c>
      <c r="G448" s="203">
        <v>105000</v>
      </c>
      <c r="H448" s="203">
        <v>80000</v>
      </c>
      <c r="I448" s="204"/>
      <c r="J448" s="205">
        <f t="shared" si="89"/>
        <v>0</v>
      </c>
      <c r="K448" s="205">
        <f t="shared" si="90"/>
        <v>0</v>
      </c>
      <c r="L448" s="430">
        <f t="shared" si="91"/>
        <v>210000</v>
      </c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 spans="1:26" ht="14.4">
      <c r="A449" s="427"/>
      <c r="B449" s="428" t="s">
        <v>535</v>
      </c>
      <c r="C449" s="431">
        <v>1</v>
      </c>
      <c r="D449" s="321"/>
      <c r="E449" s="321"/>
      <c r="F449" s="429">
        <f t="shared" si="88"/>
        <v>1</v>
      </c>
      <c r="G449" s="203">
        <v>94000</v>
      </c>
      <c r="H449" s="203">
        <v>100000</v>
      </c>
      <c r="I449" s="204"/>
      <c r="J449" s="205">
        <f t="shared" si="89"/>
        <v>0</v>
      </c>
      <c r="K449" s="205">
        <f t="shared" si="90"/>
        <v>0</v>
      </c>
      <c r="L449" s="430">
        <f t="shared" si="91"/>
        <v>94000</v>
      </c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 spans="1:26" ht="14.4">
      <c r="A450" s="427"/>
      <c r="B450" s="428" t="s">
        <v>536</v>
      </c>
      <c r="C450" s="431"/>
      <c r="D450" s="321"/>
      <c r="E450" s="321"/>
      <c r="F450" s="429">
        <f t="shared" si="88"/>
        <v>0</v>
      </c>
      <c r="G450" s="203">
        <v>78500</v>
      </c>
      <c r="H450" s="203">
        <v>88000</v>
      </c>
      <c r="I450" s="204"/>
      <c r="J450" s="205">
        <f t="shared" si="89"/>
        <v>0</v>
      </c>
      <c r="K450" s="205">
        <f t="shared" si="90"/>
        <v>0</v>
      </c>
      <c r="L450" s="430">
        <f t="shared" si="91"/>
        <v>0</v>
      </c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 spans="1:26" ht="14.4">
      <c r="A451" s="427"/>
      <c r="B451" s="428" t="s">
        <v>537</v>
      </c>
      <c r="C451" s="431"/>
      <c r="D451" s="321"/>
      <c r="E451" s="321"/>
      <c r="F451" s="429">
        <f t="shared" si="88"/>
        <v>0</v>
      </c>
      <c r="G451" s="203">
        <v>43000</v>
      </c>
      <c r="H451" s="203">
        <v>47000</v>
      </c>
      <c r="I451" s="204"/>
      <c r="J451" s="205">
        <f t="shared" si="89"/>
        <v>0</v>
      </c>
      <c r="K451" s="205">
        <f t="shared" si="90"/>
        <v>0</v>
      </c>
      <c r="L451" s="430">
        <f t="shared" si="91"/>
        <v>0</v>
      </c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 spans="1:26" ht="14.4">
      <c r="A452" s="427"/>
      <c r="B452" s="428" t="s">
        <v>538</v>
      </c>
      <c r="C452" s="431"/>
      <c r="D452" s="321"/>
      <c r="E452" s="321"/>
      <c r="F452" s="429">
        <f t="shared" si="88"/>
        <v>0</v>
      </c>
      <c r="G452" s="203">
        <v>93420</v>
      </c>
      <c r="H452" s="203">
        <v>105000</v>
      </c>
      <c r="I452" s="204"/>
      <c r="J452" s="205">
        <f t="shared" si="89"/>
        <v>0</v>
      </c>
      <c r="K452" s="205">
        <f t="shared" si="90"/>
        <v>0</v>
      </c>
      <c r="L452" s="430">
        <f t="shared" si="91"/>
        <v>0</v>
      </c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 spans="1:26" ht="14.4">
      <c r="A453" s="427"/>
      <c r="B453" s="428" t="s">
        <v>539</v>
      </c>
      <c r="C453" s="321"/>
      <c r="D453" s="321"/>
      <c r="E453" s="321"/>
      <c r="F453" s="429">
        <f t="shared" si="88"/>
        <v>0</v>
      </c>
      <c r="G453" s="203">
        <v>91300</v>
      </c>
      <c r="H453" s="203">
        <v>97000</v>
      </c>
      <c r="I453" s="204"/>
      <c r="J453" s="205">
        <f t="shared" si="89"/>
        <v>0</v>
      </c>
      <c r="K453" s="205">
        <f t="shared" si="90"/>
        <v>0</v>
      </c>
      <c r="L453" s="430">
        <f t="shared" si="91"/>
        <v>0</v>
      </c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 spans="1:26" ht="14.4">
      <c r="A454" s="427"/>
      <c r="B454" s="428" t="s">
        <v>540</v>
      </c>
      <c r="C454" s="431"/>
      <c r="D454" s="321"/>
      <c r="E454" s="321"/>
      <c r="F454" s="429">
        <f t="shared" si="88"/>
        <v>0</v>
      </c>
      <c r="G454" s="203">
        <v>70000</v>
      </c>
      <c r="H454" s="203">
        <v>75000</v>
      </c>
      <c r="I454" s="204"/>
      <c r="J454" s="205">
        <f t="shared" si="89"/>
        <v>0</v>
      </c>
      <c r="K454" s="205">
        <f t="shared" si="90"/>
        <v>0</v>
      </c>
      <c r="L454" s="430">
        <f t="shared" si="91"/>
        <v>0</v>
      </c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 spans="1:26" ht="14.4">
      <c r="A455" s="427"/>
      <c r="B455" s="428" t="s">
        <v>541</v>
      </c>
      <c r="C455" s="431">
        <v>1</v>
      </c>
      <c r="D455" s="321"/>
      <c r="E455" s="321"/>
      <c r="F455" s="429">
        <f t="shared" si="88"/>
        <v>1</v>
      </c>
      <c r="G455" s="203">
        <v>37300</v>
      </c>
      <c r="H455" s="203">
        <v>40000</v>
      </c>
      <c r="I455" s="204"/>
      <c r="J455" s="205">
        <f t="shared" si="89"/>
        <v>0</v>
      </c>
      <c r="K455" s="205">
        <f t="shared" si="90"/>
        <v>0</v>
      </c>
      <c r="L455" s="430">
        <f t="shared" si="91"/>
        <v>37300</v>
      </c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 spans="1:26" ht="14.4">
      <c r="A456" s="427"/>
      <c r="B456" s="428" t="s">
        <v>542</v>
      </c>
      <c r="C456" s="321">
        <v>1</v>
      </c>
      <c r="D456" s="321"/>
      <c r="E456" s="321"/>
      <c r="F456" s="429">
        <f t="shared" si="88"/>
        <v>1</v>
      </c>
      <c r="G456" s="203">
        <v>70000</v>
      </c>
      <c r="H456" s="203">
        <v>75000</v>
      </c>
      <c r="I456" s="204"/>
      <c r="J456" s="205">
        <f t="shared" si="89"/>
        <v>0</v>
      </c>
      <c r="K456" s="205">
        <f t="shared" si="90"/>
        <v>0</v>
      </c>
      <c r="L456" s="430">
        <f t="shared" si="91"/>
        <v>70000</v>
      </c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 spans="1:26" ht="14.4">
      <c r="A457" s="427"/>
      <c r="B457" s="428" t="s">
        <v>543</v>
      </c>
      <c r="C457" s="431"/>
      <c r="D457" s="321"/>
      <c r="E457" s="321"/>
      <c r="F457" s="429">
        <f t="shared" si="88"/>
        <v>0</v>
      </c>
      <c r="G457" s="203">
        <v>37300</v>
      </c>
      <c r="H457" s="203">
        <v>40000</v>
      </c>
      <c r="I457" s="204"/>
      <c r="J457" s="205">
        <f t="shared" si="89"/>
        <v>0</v>
      </c>
      <c r="K457" s="205">
        <f t="shared" si="90"/>
        <v>0</v>
      </c>
      <c r="L457" s="430">
        <f t="shared" si="91"/>
        <v>0</v>
      </c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 spans="1:26" ht="14.4">
      <c r="A458" s="427"/>
      <c r="B458" s="428" t="s">
        <v>544</v>
      </c>
      <c r="C458" s="431"/>
      <c r="D458" s="321"/>
      <c r="E458" s="321"/>
      <c r="F458" s="429">
        <f t="shared" si="88"/>
        <v>0</v>
      </c>
      <c r="G458" s="203">
        <v>77500</v>
      </c>
      <c r="H458" s="203">
        <v>84000</v>
      </c>
      <c r="I458" s="204"/>
      <c r="J458" s="205">
        <f t="shared" si="89"/>
        <v>0</v>
      </c>
      <c r="K458" s="205">
        <f t="shared" si="90"/>
        <v>0</v>
      </c>
      <c r="L458" s="430">
        <f t="shared" si="91"/>
        <v>0</v>
      </c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 spans="1:26" ht="14.4">
      <c r="A459" s="427"/>
      <c r="B459" s="428" t="s">
        <v>545</v>
      </c>
      <c r="C459" s="431"/>
      <c r="D459" s="321"/>
      <c r="E459" s="321"/>
      <c r="F459" s="429">
        <f t="shared" si="88"/>
        <v>0</v>
      </c>
      <c r="G459" s="203">
        <v>194000</v>
      </c>
      <c r="H459" s="203">
        <v>205000</v>
      </c>
      <c r="I459" s="204"/>
      <c r="J459" s="205">
        <f t="shared" si="89"/>
        <v>0</v>
      </c>
      <c r="K459" s="205">
        <f t="shared" si="90"/>
        <v>0</v>
      </c>
      <c r="L459" s="430">
        <f t="shared" si="91"/>
        <v>0</v>
      </c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 spans="1:26" ht="14.4">
      <c r="A460" s="427"/>
      <c r="B460" s="428" t="s">
        <v>546</v>
      </c>
      <c r="C460" s="321"/>
      <c r="D460" s="321"/>
      <c r="E460" s="321"/>
      <c r="F460" s="429">
        <f t="shared" si="88"/>
        <v>0</v>
      </c>
      <c r="G460" s="203">
        <v>5000</v>
      </c>
      <c r="H460" s="203">
        <v>5500</v>
      </c>
      <c r="I460" s="204"/>
      <c r="J460" s="205">
        <f t="shared" si="89"/>
        <v>0</v>
      </c>
      <c r="K460" s="205">
        <f t="shared" si="90"/>
        <v>0</v>
      </c>
      <c r="L460" s="430">
        <f t="shared" si="91"/>
        <v>0</v>
      </c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 spans="1:26" ht="14.4">
      <c r="A461" s="427"/>
      <c r="B461" s="428" t="s">
        <v>547</v>
      </c>
      <c r="C461" s="431"/>
      <c r="D461" s="321"/>
      <c r="E461" s="321"/>
      <c r="F461" s="429">
        <f t="shared" si="88"/>
        <v>0</v>
      </c>
      <c r="G461" s="203">
        <v>3200</v>
      </c>
      <c r="H461" s="203">
        <v>3600</v>
      </c>
      <c r="I461" s="204"/>
      <c r="J461" s="205">
        <f t="shared" si="89"/>
        <v>0</v>
      </c>
      <c r="K461" s="205">
        <f t="shared" si="90"/>
        <v>0</v>
      </c>
      <c r="L461" s="430">
        <f t="shared" si="91"/>
        <v>0</v>
      </c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 spans="1:26" ht="14.4">
      <c r="A462" s="427"/>
      <c r="B462" s="428" t="s">
        <v>548</v>
      </c>
      <c r="C462" s="431"/>
      <c r="D462" s="321"/>
      <c r="E462" s="321"/>
      <c r="F462" s="429">
        <f t="shared" si="88"/>
        <v>0</v>
      </c>
      <c r="G462" s="203">
        <v>270000</v>
      </c>
      <c r="H462" s="203">
        <v>300000</v>
      </c>
      <c r="I462" s="204"/>
      <c r="J462" s="205">
        <f t="shared" si="89"/>
        <v>0</v>
      </c>
      <c r="K462" s="205">
        <f t="shared" si="90"/>
        <v>0</v>
      </c>
      <c r="L462" s="430">
        <f t="shared" si="91"/>
        <v>0</v>
      </c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 spans="1:26" ht="14.4">
      <c r="A463" s="427"/>
      <c r="B463" s="428" t="s">
        <v>549</v>
      </c>
      <c r="C463" s="431">
        <v>1</v>
      </c>
      <c r="D463" s="321"/>
      <c r="E463" s="321"/>
      <c r="F463" s="429">
        <f t="shared" si="88"/>
        <v>1</v>
      </c>
      <c r="G463" s="210">
        <v>260000</v>
      </c>
      <c r="H463" s="210">
        <v>290000</v>
      </c>
      <c r="I463" s="445"/>
      <c r="J463" s="205">
        <f t="shared" si="89"/>
        <v>0</v>
      </c>
      <c r="K463" s="205">
        <f t="shared" si="90"/>
        <v>0</v>
      </c>
      <c r="L463" s="430">
        <f t="shared" si="91"/>
        <v>260000</v>
      </c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 spans="1:26" ht="14.4">
      <c r="A464" s="427"/>
      <c r="B464" s="434" t="s">
        <v>550</v>
      </c>
      <c r="C464" s="431"/>
      <c r="D464" s="321"/>
      <c r="E464" s="321"/>
      <c r="F464" s="429">
        <f t="shared" si="88"/>
        <v>0</v>
      </c>
      <c r="G464" s="210">
        <v>160000</v>
      </c>
      <c r="H464" s="210">
        <v>170000</v>
      </c>
      <c r="I464" s="445"/>
      <c r="J464" s="205">
        <f t="shared" si="89"/>
        <v>0</v>
      </c>
      <c r="K464" s="205">
        <f t="shared" si="90"/>
        <v>0</v>
      </c>
      <c r="L464" s="430">
        <f t="shared" si="91"/>
        <v>0</v>
      </c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 spans="1:26" ht="14.4">
      <c r="A465" s="437"/>
      <c r="B465" s="438"/>
      <c r="C465" s="447">
        <f t="shared" ref="C465:L465" si="92">+SUM(C437:C464)</f>
        <v>28</v>
      </c>
      <c r="D465" s="447">
        <f t="shared" si="92"/>
        <v>0</v>
      </c>
      <c r="E465" s="447">
        <f t="shared" si="92"/>
        <v>0</v>
      </c>
      <c r="F465" s="447">
        <f t="shared" si="92"/>
        <v>28</v>
      </c>
      <c r="G465" s="448">
        <f t="shared" si="92"/>
        <v>2398858</v>
      </c>
      <c r="H465" s="448">
        <f t="shared" si="92"/>
        <v>2353100</v>
      </c>
      <c r="I465" s="449">
        <f t="shared" si="92"/>
        <v>0</v>
      </c>
      <c r="J465" s="448">
        <f t="shared" si="92"/>
        <v>0</v>
      </c>
      <c r="K465" s="448">
        <f t="shared" si="92"/>
        <v>0</v>
      </c>
      <c r="L465" s="448">
        <f t="shared" si="92"/>
        <v>1796550</v>
      </c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 spans="1:26" ht="14.4">
      <c r="A466" s="450"/>
      <c r="B466" s="428" t="s">
        <v>551</v>
      </c>
      <c r="C466" s="431">
        <v>6</v>
      </c>
      <c r="D466" s="321"/>
      <c r="E466" s="321"/>
      <c r="F466" s="429">
        <f t="shared" ref="F466:F574" si="93">+C466+D466-E466</f>
        <v>6</v>
      </c>
      <c r="G466" s="203">
        <v>49000</v>
      </c>
      <c r="H466" s="203">
        <v>58000</v>
      </c>
      <c r="I466" s="204"/>
      <c r="J466" s="205">
        <f t="shared" ref="J466:J572" si="94">+I466*H466</f>
        <v>0</v>
      </c>
      <c r="K466" s="205">
        <f t="shared" ref="K466:K572" si="95">+(H466-G466)*I466</f>
        <v>0</v>
      </c>
      <c r="L466" s="430">
        <f t="shared" ref="L466:L572" si="96">+G466*F466</f>
        <v>294000</v>
      </c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 spans="1:26" ht="14.4">
      <c r="A467" s="450"/>
      <c r="B467" s="428" t="s">
        <v>552</v>
      </c>
      <c r="C467" s="431">
        <v>2</v>
      </c>
      <c r="D467" s="321"/>
      <c r="E467" s="321"/>
      <c r="F467" s="429">
        <f t="shared" si="93"/>
        <v>2</v>
      </c>
      <c r="G467" s="203">
        <v>28000</v>
      </c>
      <c r="H467" s="203">
        <v>32000</v>
      </c>
      <c r="I467" s="204"/>
      <c r="J467" s="205">
        <f t="shared" si="94"/>
        <v>0</v>
      </c>
      <c r="K467" s="205">
        <f t="shared" si="95"/>
        <v>0</v>
      </c>
      <c r="L467" s="430">
        <f t="shared" si="96"/>
        <v>56000</v>
      </c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 spans="1:26" ht="14.4">
      <c r="A468" s="450"/>
      <c r="B468" s="428" t="s">
        <v>553</v>
      </c>
      <c r="C468" s="431">
        <v>0</v>
      </c>
      <c r="D468" s="321"/>
      <c r="E468" s="321"/>
      <c r="F468" s="429">
        <f t="shared" si="93"/>
        <v>0</v>
      </c>
      <c r="G468" s="203">
        <v>71800</v>
      </c>
      <c r="H468" s="203">
        <v>73000</v>
      </c>
      <c r="I468" s="204"/>
      <c r="J468" s="205">
        <f t="shared" si="94"/>
        <v>0</v>
      </c>
      <c r="K468" s="205">
        <f t="shared" si="95"/>
        <v>0</v>
      </c>
      <c r="L468" s="430">
        <f t="shared" si="96"/>
        <v>0</v>
      </c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 spans="1:26" ht="14.4">
      <c r="A469" s="450"/>
      <c r="B469" s="428" t="s">
        <v>554</v>
      </c>
      <c r="C469" s="321">
        <v>4</v>
      </c>
      <c r="D469" s="321"/>
      <c r="E469" s="321"/>
      <c r="F469" s="429">
        <f t="shared" si="93"/>
        <v>4</v>
      </c>
      <c r="G469" s="203">
        <v>57600</v>
      </c>
      <c r="H469" s="203">
        <v>62000</v>
      </c>
      <c r="I469" s="204"/>
      <c r="J469" s="205">
        <f t="shared" si="94"/>
        <v>0</v>
      </c>
      <c r="K469" s="205">
        <f t="shared" si="95"/>
        <v>0</v>
      </c>
      <c r="L469" s="430">
        <f t="shared" si="96"/>
        <v>230400</v>
      </c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 spans="1:26" ht="14.4">
      <c r="A470" s="450"/>
      <c r="B470" s="428" t="s">
        <v>555</v>
      </c>
      <c r="C470" s="321">
        <v>2</v>
      </c>
      <c r="D470" s="321"/>
      <c r="E470" s="321"/>
      <c r="F470" s="429">
        <f t="shared" si="93"/>
        <v>2</v>
      </c>
      <c r="G470" s="203">
        <v>116260</v>
      </c>
      <c r="H470" s="203">
        <v>123000</v>
      </c>
      <c r="I470" s="204"/>
      <c r="J470" s="205">
        <f t="shared" si="94"/>
        <v>0</v>
      </c>
      <c r="K470" s="205">
        <f t="shared" si="95"/>
        <v>0</v>
      </c>
      <c r="L470" s="430">
        <f t="shared" si="96"/>
        <v>232520</v>
      </c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 spans="1:26" ht="14.4">
      <c r="A471" s="450"/>
      <c r="B471" s="428" t="s">
        <v>556</v>
      </c>
      <c r="C471" s="431">
        <v>4</v>
      </c>
      <c r="D471" s="321"/>
      <c r="E471" s="321"/>
      <c r="F471" s="429">
        <f t="shared" si="93"/>
        <v>4</v>
      </c>
      <c r="G471" s="203">
        <v>51000</v>
      </c>
      <c r="H471" s="203">
        <v>58000</v>
      </c>
      <c r="I471" s="204"/>
      <c r="J471" s="205">
        <f t="shared" si="94"/>
        <v>0</v>
      </c>
      <c r="K471" s="205">
        <f t="shared" si="95"/>
        <v>0</v>
      </c>
      <c r="L471" s="430">
        <f t="shared" si="96"/>
        <v>204000</v>
      </c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 spans="1:26" ht="14.4">
      <c r="A472" s="450"/>
      <c r="B472" s="428" t="s">
        <v>557</v>
      </c>
      <c r="C472" s="431"/>
      <c r="D472" s="321"/>
      <c r="E472" s="321"/>
      <c r="F472" s="429">
        <f t="shared" si="93"/>
        <v>0</v>
      </c>
      <c r="G472" s="203">
        <v>51000</v>
      </c>
      <c r="H472" s="203">
        <v>58000</v>
      </c>
      <c r="I472" s="204"/>
      <c r="J472" s="205">
        <f t="shared" si="94"/>
        <v>0</v>
      </c>
      <c r="K472" s="205">
        <f t="shared" si="95"/>
        <v>0</v>
      </c>
      <c r="L472" s="430">
        <f t="shared" si="96"/>
        <v>0</v>
      </c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 spans="1:26" ht="14.4">
      <c r="A473" s="450"/>
      <c r="B473" s="428" t="s">
        <v>558</v>
      </c>
      <c r="C473" s="431">
        <v>1</v>
      </c>
      <c r="D473" s="321"/>
      <c r="E473" s="321"/>
      <c r="F473" s="429">
        <f t="shared" si="93"/>
        <v>1</v>
      </c>
      <c r="G473" s="203">
        <v>51000</v>
      </c>
      <c r="H473" s="203">
        <v>58000</v>
      </c>
      <c r="I473" s="204"/>
      <c r="J473" s="205">
        <f t="shared" si="94"/>
        <v>0</v>
      </c>
      <c r="K473" s="205">
        <f t="shared" si="95"/>
        <v>0</v>
      </c>
      <c r="L473" s="430">
        <f t="shared" si="96"/>
        <v>51000</v>
      </c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 spans="1:26" ht="14.4">
      <c r="A474" s="450"/>
      <c r="B474" s="428" t="s">
        <v>559</v>
      </c>
      <c r="C474" s="431">
        <v>2</v>
      </c>
      <c r="D474" s="321"/>
      <c r="E474" s="321"/>
      <c r="F474" s="429">
        <f t="shared" si="93"/>
        <v>2</v>
      </c>
      <c r="G474" s="203">
        <v>51000</v>
      </c>
      <c r="H474" s="203">
        <v>58000</v>
      </c>
      <c r="I474" s="204"/>
      <c r="J474" s="205">
        <f t="shared" si="94"/>
        <v>0</v>
      </c>
      <c r="K474" s="205">
        <f t="shared" si="95"/>
        <v>0</v>
      </c>
      <c r="L474" s="430">
        <f t="shared" si="96"/>
        <v>102000</v>
      </c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 spans="1:26" ht="14.4">
      <c r="A475" s="450"/>
      <c r="B475" s="428" t="s">
        <v>560</v>
      </c>
      <c r="C475" s="431">
        <v>4</v>
      </c>
      <c r="D475" s="321"/>
      <c r="E475" s="321"/>
      <c r="F475" s="429">
        <f t="shared" si="93"/>
        <v>4</v>
      </c>
      <c r="G475" s="203">
        <v>51000</v>
      </c>
      <c r="H475" s="203">
        <v>58000</v>
      </c>
      <c r="I475" s="204"/>
      <c r="J475" s="205">
        <f t="shared" si="94"/>
        <v>0</v>
      </c>
      <c r="K475" s="205">
        <f t="shared" si="95"/>
        <v>0</v>
      </c>
      <c r="L475" s="430">
        <f t="shared" si="96"/>
        <v>204000</v>
      </c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 spans="1:26" ht="14.4">
      <c r="A476" s="450"/>
      <c r="B476" s="428" t="s">
        <v>561</v>
      </c>
      <c r="C476" s="431"/>
      <c r="D476" s="321"/>
      <c r="E476" s="321"/>
      <c r="F476" s="429">
        <f t="shared" si="93"/>
        <v>0</v>
      </c>
      <c r="G476" s="203">
        <v>17286</v>
      </c>
      <c r="H476" s="203">
        <v>20000</v>
      </c>
      <c r="I476" s="204"/>
      <c r="J476" s="205">
        <f t="shared" si="94"/>
        <v>0</v>
      </c>
      <c r="K476" s="205">
        <f t="shared" si="95"/>
        <v>0</v>
      </c>
      <c r="L476" s="430">
        <f t="shared" si="96"/>
        <v>0</v>
      </c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 spans="1:26" ht="14.4">
      <c r="A477" s="450"/>
      <c r="B477" s="428" t="s">
        <v>562</v>
      </c>
      <c r="C477" s="431">
        <v>2</v>
      </c>
      <c r="D477" s="321"/>
      <c r="E477" s="321"/>
      <c r="F477" s="429">
        <f t="shared" si="93"/>
        <v>2</v>
      </c>
      <c r="G477" s="203">
        <v>90324</v>
      </c>
      <c r="H477" s="203">
        <v>92000</v>
      </c>
      <c r="I477" s="204"/>
      <c r="J477" s="205">
        <f t="shared" si="94"/>
        <v>0</v>
      </c>
      <c r="K477" s="205">
        <f t="shared" si="95"/>
        <v>0</v>
      </c>
      <c r="L477" s="430">
        <f t="shared" si="96"/>
        <v>180648</v>
      </c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 spans="1:26" ht="14.4">
      <c r="A478" s="450"/>
      <c r="B478" s="428" t="s">
        <v>563</v>
      </c>
      <c r="C478" s="431">
        <v>2</v>
      </c>
      <c r="D478" s="321"/>
      <c r="E478" s="321"/>
      <c r="F478" s="429">
        <f t="shared" si="93"/>
        <v>2</v>
      </c>
      <c r="G478" s="203">
        <v>65477</v>
      </c>
      <c r="H478" s="203">
        <v>67000</v>
      </c>
      <c r="I478" s="204"/>
      <c r="J478" s="205">
        <f t="shared" si="94"/>
        <v>0</v>
      </c>
      <c r="K478" s="205">
        <f t="shared" si="95"/>
        <v>0</v>
      </c>
      <c r="L478" s="430">
        <f t="shared" si="96"/>
        <v>130954</v>
      </c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 spans="1:26" ht="14.4">
      <c r="A479" s="450"/>
      <c r="B479" s="428" t="s">
        <v>564</v>
      </c>
      <c r="C479" s="431">
        <v>2</v>
      </c>
      <c r="D479" s="321"/>
      <c r="E479" s="321"/>
      <c r="F479" s="429">
        <f t="shared" si="93"/>
        <v>2</v>
      </c>
      <c r="G479" s="203">
        <v>40825</v>
      </c>
      <c r="H479" s="203">
        <v>41000</v>
      </c>
      <c r="I479" s="204"/>
      <c r="J479" s="205">
        <f t="shared" si="94"/>
        <v>0</v>
      </c>
      <c r="K479" s="205">
        <f t="shared" si="95"/>
        <v>0</v>
      </c>
      <c r="L479" s="430">
        <f t="shared" si="96"/>
        <v>81650</v>
      </c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 spans="1:26" ht="14.4">
      <c r="A480" s="450"/>
      <c r="B480" s="428" t="s">
        <v>565</v>
      </c>
      <c r="C480" s="431"/>
      <c r="D480" s="321"/>
      <c r="E480" s="321"/>
      <c r="F480" s="429">
        <f t="shared" si="93"/>
        <v>0</v>
      </c>
      <c r="G480" s="203">
        <v>81000</v>
      </c>
      <c r="H480" s="203">
        <v>84000</v>
      </c>
      <c r="I480" s="204"/>
      <c r="J480" s="205">
        <f t="shared" si="94"/>
        <v>0</v>
      </c>
      <c r="K480" s="205">
        <f t="shared" si="95"/>
        <v>0</v>
      </c>
      <c r="L480" s="430">
        <f t="shared" si="96"/>
        <v>0</v>
      </c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 spans="1:26" ht="14.4">
      <c r="A481" s="450"/>
      <c r="B481" s="428" t="s">
        <v>566</v>
      </c>
      <c r="C481" s="431"/>
      <c r="D481" s="321"/>
      <c r="E481" s="321"/>
      <c r="F481" s="429">
        <f t="shared" si="93"/>
        <v>0</v>
      </c>
      <c r="G481" s="203">
        <v>27900</v>
      </c>
      <c r="H481" s="203">
        <v>29500</v>
      </c>
      <c r="I481" s="204"/>
      <c r="J481" s="205">
        <f t="shared" si="94"/>
        <v>0</v>
      </c>
      <c r="K481" s="205">
        <f t="shared" si="95"/>
        <v>0</v>
      </c>
      <c r="L481" s="430">
        <f t="shared" si="96"/>
        <v>0</v>
      </c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 spans="1:26" ht="14.4">
      <c r="A482" s="450"/>
      <c r="B482" s="428" t="s">
        <v>567</v>
      </c>
      <c r="C482" s="431"/>
      <c r="D482" s="321"/>
      <c r="E482" s="321"/>
      <c r="F482" s="429">
        <f t="shared" si="93"/>
        <v>0</v>
      </c>
      <c r="G482" s="203">
        <v>25700</v>
      </c>
      <c r="H482" s="203">
        <v>28000</v>
      </c>
      <c r="I482" s="204"/>
      <c r="J482" s="205">
        <f t="shared" si="94"/>
        <v>0</v>
      </c>
      <c r="K482" s="205">
        <f t="shared" si="95"/>
        <v>0</v>
      </c>
      <c r="L482" s="430">
        <f t="shared" si="96"/>
        <v>0</v>
      </c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 spans="1:26" ht="14.4">
      <c r="A483" s="450"/>
      <c r="B483" s="428" t="s">
        <v>568</v>
      </c>
      <c r="C483" s="431"/>
      <c r="D483" s="321"/>
      <c r="E483" s="321"/>
      <c r="F483" s="429">
        <f t="shared" si="93"/>
        <v>0</v>
      </c>
      <c r="G483" s="203">
        <v>36000</v>
      </c>
      <c r="H483" s="203">
        <v>40000</v>
      </c>
      <c r="I483" s="204"/>
      <c r="J483" s="205">
        <f t="shared" si="94"/>
        <v>0</v>
      </c>
      <c r="K483" s="205">
        <f t="shared" si="95"/>
        <v>0</v>
      </c>
      <c r="L483" s="430">
        <f t="shared" si="96"/>
        <v>0</v>
      </c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 spans="1:26" ht="14.4">
      <c r="A484" s="450"/>
      <c r="B484" s="428" t="s">
        <v>569</v>
      </c>
      <c r="C484" s="431"/>
      <c r="D484" s="321"/>
      <c r="E484" s="321"/>
      <c r="F484" s="429">
        <f t="shared" si="93"/>
        <v>0</v>
      </c>
      <c r="G484" s="203">
        <v>19800</v>
      </c>
      <c r="H484" s="203">
        <v>24000</v>
      </c>
      <c r="I484" s="204"/>
      <c r="J484" s="205">
        <f t="shared" si="94"/>
        <v>0</v>
      </c>
      <c r="K484" s="205">
        <f t="shared" si="95"/>
        <v>0</v>
      </c>
      <c r="L484" s="430">
        <f t="shared" si="96"/>
        <v>0</v>
      </c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 spans="1:26" ht="14.4">
      <c r="A485" s="450"/>
      <c r="B485" s="428" t="s">
        <v>570</v>
      </c>
      <c r="C485" s="431">
        <v>1</v>
      </c>
      <c r="D485" s="321"/>
      <c r="E485" s="321"/>
      <c r="F485" s="429">
        <f t="shared" si="93"/>
        <v>1</v>
      </c>
      <c r="G485" s="203">
        <v>24000</v>
      </c>
      <c r="H485" s="203">
        <v>26000</v>
      </c>
      <c r="I485" s="204"/>
      <c r="J485" s="205">
        <f t="shared" si="94"/>
        <v>0</v>
      </c>
      <c r="K485" s="205">
        <f t="shared" si="95"/>
        <v>0</v>
      </c>
      <c r="L485" s="430">
        <f t="shared" si="96"/>
        <v>24000</v>
      </c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 spans="1:26" ht="14.4">
      <c r="A486" s="450"/>
      <c r="B486" s="428" t="s">
        <v>571</v>
      </c>
      <c r="C486" s="431"/>
      <c r="D486" s="321"/>
      <c r="E486" s="321"/>
      <c r="F486" s="429">
        <f t="shared" si="93"/>
        <v>0</v>
      </c>
      <c r="G486" s="203">
        <v>45000</v>
      </c>
      <c r="H486" s="203">
        <v>44000</v>
      </c>
      <c r="I486" s="204"/>
      <c r="J486" s="205">
        <f t="shared" si="94"/>
        <v>0</v>
      </c>
      <c r="K486" s="205">
        <f t="shared" si="95"/>
        <v>0</v>
      </c>
      <c r="L486" s="430">
        <f t="shared" si="96"/>
        <v>0</v>
      </c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 spans="1:26" ht="14.4">
      <c r="A487" s="450"/>
      <c r="B487" s="428" t="s">
        <v>572</v>
      </c>
      <c r="C487" s="431"/>
      <c r="D487" s="321"/>
      <c r="E487" s="321"/>
      <c r="F487" s="429">
        <f t="shared" si="93"/>
        <v>0</v>
      </c>
      <c r="G487" s="203">
        <v>23000</v>
      </c>
      <c r="H487" s="203">
        <v>28000</v>
      </c>
      <c r="I487" s="204"/>
      <c r="J487" s="205">
        <f t="shared" si="94"/>
        <v>0</v>
      </c>
      <c r="K487" s="205">
        <f t="shared" si="95"/>
        <v>0</v>
      </c>
      <c r="L487" s="430">
        <f t="shared" si="96"/>
        <v>0</v>
      </c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 spans="1:26" ht="14.4">
      <c r="A488" s="450"/>
      <c r="B488" s="428" t="s">
        <v>573</v>
      </c>
      <c r="C488" s="431"/>
      <c r="D488" s="321"/>
      <c r="E488" s="321"/>
      <c r="F488" s="429">
        <f t="shared" si="93"/>
        <v>0</v>
      </c>
      <c r="G488" s="203">
        <v>38000</v>
      </c>
      <c r="H488" s="203">
        <v>41000</v>
      </c>
      <c r="I488" s="204"/>
      <c r="J488" s="205">
        <f t="shared" si="94"/>
        <v>0</v>
      </c>
      <c r="K488" s="205">
        <f t="shared" si="95"/>
        <v>0</v>
      </c>
      <c r="L488" s="430">
        <f t="shared" si="96"/>
        <v>0</v>
      </c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 spans="1:26" ht="14.4">
      <c r="A489" s="450"/>
      <c r="B489" s="428" t="s">
        <v>672</v>
      </c>
      <c r="C489" s="431">
        <v>1</v>
      </c>
      <c r="D489" s="321"/>
      <c r="E489" s="321"/>
      <c r="F489" s="429">
        <f t="shared" si="93"/>
        <v>1</v>
      </c>
      <c r="G489" s="203">
        <v>50000</v>
      </c>
      <c r="H489" s="203">
        <v>55000</v>
      </c>
      <c r="I489" s="204"/>
      <c r="J489" s="205">
        <f t="shared" si="94"/>
        <v>0</v>
      </c>
      <c r="K489" s="205">
        <f t="shared" si="95"/>
        <v>0</v>
      </c>
      <c r="L489" s="430">
        <f t="shared" si="96"/>
        <v>50000</v>
      </c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 spans="1:26" ht="14.4">
      <c r="A490" s="450"/>
      <c r="B490" s="428" t="s">
        <v>575</v>
      </c>
      <c r="C490" s="431"/>
      <c r="D490" s="321"/>
      <c r="E490" s="321"/>
      <c r="F490" s="429">
        <f t="shared" si="93"/>
        <v>0</v>
      </c>
      <c r="G490" s="203">
        <v>31500</v>
      </c>
      <c r="H490" s="203">
        <v>35000</v>
      </c>
      <c r="I490" s="204"/>
      <c r="J490" s="205">
        <f t="shared" si="94"/>
        <v>0</v>
      </c>
      <c r="K490" s="205">
        <f t="shared" si="95"/>
        <v>0</v>
      </c>
      <c r="L490" s="430">
        <f t="shared" si="96"/>
        <v>0</v>
      </c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 spans="1:26" ht="14.4">
      <c r="A491" s="450"/>
      <c r="B491" s="428" t="s">
        <v>576</v>
      </c>
      <c r="C491" s="431"/>
      <c r="D491" s="321"/>
      <c r="E491" s="321"/>
      <c r="F491" s="429">
        <f t="shared" si="93"/>
        <v>0</v>
      </c>
      <c r="G491" s="203">
        <v>36000</v>
      </c>
      <c r="H491" s="203">
        <v>48000</v>
      </c>
      <c r="I491" s="204"/>
      <c r="J491" s="205">
        <f t="shared" si="94"/>
        <v>0</v>
      </c>
      <c r="K491" s="205">
        <f t="shared" si="95"/>
        <v>0</v>
      </c>
      <c r="L491" s="430">
        <f t="shared" si="96"/>
        <v>0</v>
      </c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 spans="1:26" ht="14.4">
      <c r="A492" s="450"/>
      <c r="B492" s="428" t="s">
        <v>577</v>
      </c>
      <c r="C492" s="431"/>
      <c r="D492" s="321"/>
      <c r="E492" s="321"/>
      <c r="F492" s="429">
        <f t="shared" si="93"/>
        <v>0</v>
      </c>
      <c r="G492" s="203">
        <v>34908</v>
      </c>
      <c r="H492" s="203">
        <v>37000</v>
      </c>
      <c r="I492" s="204"/>
      <c r="J492" s="205">
        <f t="shared" si="94"/>
        <v>0</v>
      </c>
      <c r="K492" s="205">
        <f t="shared" si="95"/>
        <v>0</v>
      </c>
      <c r="L492" s="430">
        <f t="shared" si="96"/>
        <v>0</v>
      </c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 spans="1:26" ht="14.4">
      <c r="A493" s="450"/>
      <c r="B493" s="428" t="s">
        <v>578</v>
      </c>
      <c r="C493" s="321"/>
      <c r="D493" s="321"/>
      <c r="E493" s="321"/>
      <c r="F493" s="429">
        <f t="shared" si="93"/>
        <v>0</v>
      </c>
      <c r="G493" s="203">
        <v>9266</v>
      </c>
      <c r="H493" s="203">
        <v>12500</v>
      </c>
      <c r="I493" s="204"/>
      <c r="J493" s="205">
        <f t="shared" si="94"/>
        <v>0</v>
      </c>
      <c r="K493" s="205">
        <f t="shared" si="95"/>
        <v>0</v>
      </c>
      <c r="L493" s="430">
        <f t="shared" si="96"/>
        <v>0</v>
      </c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 spans="1:26" ht="14.4">
      <c r="A494" s="450"/>
      <c r="B494" s="428" t="s">
        <v>579</v>
      </c>
      <c r="C494" s="431">
        <v>28</v>
      </c>
      <c r="D494" s="321"/>
      <c r="E494" s="321"/>
      <c r="F494" s="429">
        <f t="shared" si="93"/>
        <v>28</v>
      </c>
      <c r="G494" s="203">
        <v>10400</v>
      </c>
      <c r="H494" s="203">
        <v>13000</v>
      </c>
      <c r="I494" s="204"/>
      <c r="J494" s="205">
        <f t="shared" si="94"/>
        <v>0</v>
      </c>
      <c r="K494" s="205">
        <f t="shared" si="95"/>
        <v>0</v>
      </c>
      <c r="L494" s="430">
        <f t="shared" si="96"/>
        <v>291200</v>
      </c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 spans="1:26" ht="14.4">
      <c r="A495" s="450"/>
      <c r="B495" s="428" t="s">
        <v>580</v>
      </c>
      <c r="C495" s="431">
        <v>4</v>
      </c>
      <c r="D495" s="321"/>
      <c r="E495" s="321"/>
      <c r="F495" s="429">
        <f t="shared" si="93"/>
        <v>4</v>
      </c>
      <c r="G495" s="203">
        <v>18000</v>
      </c>
      <c r="H495" s="203">
        <v>20000</v>
      </c>
      <c r="I495" s="204"/>
      <c r="J495" s="205">
        <f t="shared" si="94"/>
        <v>0</v>
      </c>
      <c r="K495" s="205">
        <f t="shared" si="95"/>
        <v>0</v>
      </c>
      <c r="L495" s="430">
        <f t="shared" si="96"/>
        <v>72000</v>
      </c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 spans="1:26" ht="14.4">
      <c r="A496" s="450"/>
      <c r="B496" s="428" t="s">
        <v>581</v>
      </c>
      <c r="C496" s="431">
        <v>4</v>
      </c>
      <c r="D496" s="321"/>
      <c r="E496" s="321"/>
      <c r="F496" s="429">
        <f t="shared" si="93"/>
        <v>4</v>
      </c>
      <c r="G496" s="203">
        <v>85000</v>
      </c>
      <c r="H496" s="203">
        <v>89000</v>
      </c>
      <c r="I496" s="204"/>
      <c r="J496" s="205">
        <f t="shared" si="94"/>
        <v>0</v>
      </c>
      <c r="K496" s="205">
        <f t="shared" si="95"/>
        <v>0</v>
      </c>
      <c r="L496" s="430">
        <f t="shared" si="96"/>
        <v>340000</v>
      </c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 spans="1:26" ht="14.4">
      <c r="A497" s="450"/>
      <c r="B497" s="428" t="s">
        <v>582</v>
      </c>
      <c r="C497" s="431">
        <v>3</v>
      </c>
      <c r="D497" s="321"/>
      <c r="E497" s="321"/>
      <c r="F497" s="429">
        <f t="shared" si="93"/>
        <v>3</v>
      </c>
      <c r="G497" s="203">
        <v>41000</v>
      </c>
      <c r="H497" s="203">
        <v>46000</v>
      </c>
      <c r="I497" s="204"/>
      <c r="J497" s="205">
        <f t="shared" si="94"/>
        <v>0</v>
      </c>
      <c r="K497" s="205">
        <f t="shared" si="95"/>
        <v>0</v>
      </c>
      <c r="L497" s="430">
        <f t="shared" si="96"/>
        <v>123000</v>
      </c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 spans="1:26" ht="14.4">
      <c r="A498" s="450"/>
      <c r="B498" s="428" t="s">
        <v>583</v>
      </c>
      <c r="C498" s="431">
        <v>3</v>
      </c>
      <c r="D498" s="321"/>
      <c r="E498" s="321"/>
      <c r="F498" s="429">
        <f t="shared" si="93"/>
        <v>3</v>
      </c>
      <c r="G498" s="203">
        <v>138000</v>
      </c>
      <c r="H498" s="203">
        <v>141000</v>
      </c>
      <c r="I498" s="204"/>
      <c r="J498" s="205">
        <f t="shared" si="94"/>
        <v>0</v>
      </c>
      <c r="K498" s="205">
        <f t="shared" si="95"/>
        <v>0</v>
      </c>
      <c r="L498" s="430">
        <f t="shared" si="96"/>
        <v>414000</v>
      </c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 spans="1:26" ht="14.4">
      <c r="A499" s="450"/>
      <c r="B499" s="428" t="s">
        <v>584</v>
      </c>
      <c r="C499" s="431">
        <v>3</v>
      </c>
      <c r="D499" s="321"/>
      <c r="E499" s="321"/>
      <c r="F499" s="429">
        <f t="shared" si="93"/>
        <v>3</v>
      </c>
      <c r="G499" s="203">
        <f>23600</f>
        <v>23600</v>
      </c>
      <c r="H499" s="203">
        <v>26000</v>
      </c>
      <c r="I499" s="204"/>
      <c r="J499" s="205">
        <f t="shared" si="94"/>
        <v>0</v>
      </c>
      <c r="K499" s="205">
        <f t="shared" si="95"/>
        <v>0</v>
      </c>
      <c r="L499" s="430">
        <f t="shared" si="96"/>
        <v>70800</v>
      </c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 spans="1:26" ht="14.4">
      <c r="A500" s="450"/>
      <c r="B500" s="428" t="s">
        <v>585</v>
      </c>
      <c r="C500" s="431"/>
      <c r="D500" s="321"/>
      <c r="E500" s="321"/>
      <c r="F500" s="429">
        <f t="shared" si="93"/>
        <v>0</v>
      </c>
      <c r="G500" s="203">
        <v>13513</v>
      </c>
      <c r="H500" s="203">
        <v>16000</v>
      </c>
      <c r="I500" s="204"/>
      <c r="J500" s="205">
        <f t="shared" si="94"/>
        <v>0</v>
      </c>
      <c r="K500" s="205">
        <f t="shared" si="95"/>
        <v>0</v>
      </c>
      <c r="L500" s="430">
        <f t="shared" si="96"/>
        <v>0</v>
      </c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 spans="1:26" ht="14.4">
      <c r="A501" s="450"/>
      <c r="B501" s="428" t="s">
        <v>586</v>
      </c>
      <c r="C501" s="321">
        <v>5</v>
      </c>
      <c r="D501" s="321"/>
      <c r="E501" s="321"/>
      <c r="F501" s="429">
        <f t="shared" si="93"/>
        <v>5</v>
      </c>
      <c r="G501" s="203">
        <v>9450</v>
      </c>
      <c r="H501" s="203">
        <v>13000</v>
      </c>
      <c r="I501" s="204"/>
      <c r="J501" s="205">
        <f t="shared" si="94"/>
        <v>0</v>
      </c>
      <c r="K501" s="205">
        <f t="shared" si="95"/>
        <v>0</v>
      </c>
      <c r="L501" s="430">
        <f t="shared" si="96"/>
        <v>47250</v>
      </c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 spans="1:26" ht="14.4">
      <c r="A502" s="450"/>
      <c r="B502" s="428" t="s">
        <v>587</v>
      </c>
      <c r="C502" s="431">
        <v>1</v>
      </c>
      <c r="D502" s="321"/>
      <c r="E502" s="321"/>
      <c r="F502" s="429">
        <f t="shared" si="93"/>
        <v>1</v>
      </c>
      <c r="G502" s="203">
        <v>21000</v>
      </c>
      <c r="H502" s="203">
        <v>13000</v>
      </c>
      <c r="I502" s="204"/>
      <c r="J502" s="205">
        <f t="shared" si="94"/>
        <v>0</v>
      </c>
      <c r="K502" s="205">
        <f t="shared" si="95"/>
        <v>0</v>
      </c>
      <c r="L502" s="430">
        <f t="shared" si="96"/>
        <v>21000</v>
      </c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 spans="1:26" ht="14.4">
      <c r="A503" s="450"/>
      <c r="B503" s="428" t="s">
        <v>588</v>
      </c>
      <c r="C503" s="321">
        <v>1</v>
      </c>
      <c r="D503" s="321"/>
      <c r="E503" s="321"/>
      <c r="F503" s="429">
        <f t="shared" si="93"/>
        <v>1</v>
      </c>
      <c r="G503" s="203">
        <v>54310</v>
      </c>
      <c r="H503" s="203">
        <v>58000</v>
      </c>
      <c r="I503" s="204"/>
      <c r="J503" s="205">
        <f t="shared" si="94"/>
        <v>0</v>
      </c>
      <c r="K503" s="205">
        <f t="shared" si="95"/>
        <v>0</v>
      </c>
      <c r="L503" s="430">
        <f t="shared" si="96"/>
        <v>54310</v>
      </c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 spans="1:26" ht="14.4">
      <c r="A504" s="450"/>
      <c r="B504" s="428" t="s">
        <v>589</v>
      </c>
      <c r="C504" s="431">
        <v>7</v>
      </c>
      <c r="D504" s="321"/>
      <c r="E504" s="321"/>
      <c r="F504" s="429">
        <f t="shared" si="93"/>
        <v>7</v>
      </c>
      <c r="G504" s="203">
        <v>14640</v>
      </c>
      <c r="H504" s="203">
        <v>16000</v>
      </c>
      <c r="I504" s="204"/>
      <c r="J504" s="205">
        <f t="shared" si="94"/>
        <v>0</v>
      </c>
      <c r="K504" s="205">
        <f t="shared" si="95"/>
        <v>0</v>
      </c>
      <c r="L504" s="430">
        <f t="shared" si="96"/>
        <v>102480</v>
      </c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 spans="1:26" ht="14.4">
      <c r="A505" s="450"/>
      <c r="B505" s="428" t="s">
        <v>590</v>
      </c>
      <c r="C505" s="431">
        <v>0</v>
      </c>
      <c r="D505" s="321"/>
      <c r="E505" s="321"/>
      <c r="F505" s="429">
        <f t="shared" si="93"/>
        <v>0</v>
      </c>
      <c r="G505" s="203">
        <v>6300</v>
      </c>
      <c r="H505" s="203">
        <v>9000</v>
      </c>
      <c r="I505" s="204"/>
      <c r="J505" s="205">
        <f t="shared" si="94"/>
        <v>0</v>
      </c>
      <c r="K505" s="205">
        <f t="shared" si="95"/>
        <v>0</v>
      </c>
      <c r="L505" s="430">
        <f t="shared" si="96"/>
        <v>0</v>
      </c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 spans="1:26" ht="14.4">
      <c r="A506" s="450"/>
      <c r="B506" s="428" t="s">
        <v>591</v>
      </c>
      <c r="C506" s="431">
        <v>0</v>
      </c>
      <c r="D506" s="321"/>
      <c r="E506" s="321"/>
      <c r="F506" s="429">
        <f t="shared" si="93"/>
        <v>0</v>
      </c>
      <c r="G506" s="203">
        <v>16800</v>
      </c>
      <c r="H506" s="203">
        <v>19000</v>
      </c>
      <c r="I506" s="204"/>
      <c r="J506" s="205">
        <f t="shared" si="94"/>
        <v>0</v>
      </c>
      <c r="K506" s="205">
        <f t="shared" si="95"/>
        <v>0</v>
      </c>
      <c r="L506" s="430">
        <f t="shared" si="96"/>
        <v>0</v>
      </c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 spans="1:26" ht="14.4">
      <c r="A507" s="450"/>
      <c r="B507" s="428" t="s">
        <v>592</v>
      </c>
      <c r="C507" s="431">
        <v>6</v>
      </c>
      <c r="D507" s="321"/>
      <c r="E507" s="321"/>
      <c r="F507" s="429">
        <f t="shared" si="93"/>
        <v>6</v>
      </c>
      <c r="G507" s="203">
        <v>27000</v>
      </c>
      <c r="H507" s="203">
        <v>30000</v>
      </c>
      <c r="I507" s="204"/>
      <c r="J507" s="205">
        <f t="shared" si="94"/>
        <v>0</v>
      </c>
      <c r="K507" s="205">
        <f t="shared" si="95"/>
        <v>0</v>
      </c>
      <c r="L507" s="430">
        <f t="shared" si="96"/>
        <v>162000</v>
      </c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 spans="1:26" ht="14.4">
      <c r="A508" s="450"/>
      <c r="B508" s="428" t="s">
        <v>593</v>
      </c>
      <c r="C508" s="431">
        <v>2</v>
      </c>
      <c r="D508" s="321"/>
      <c r="E508" s="321"/>
      <c r="F508" s="429">
        <f t="shared" si="93"/>
        <v>2</v>
      </c>
      <c r="G508" s="203">
        <v>20000</v>
      </c>
      <c r="H508" s="203">
        <v>22000</v>
      </c>
      <c r="I508" s="204"/>
      <c r="J508" s="205">
        <f t="shared" si="94"/>
        <v>0</v>
      </c>
      <c r="K508" s="205">
        <f t="shared" si="95"/>
        <v>0</v>
      </c>
      <c r="L508" s="430">
        <f t="shared" si="96"/>
        <v>40000</v>
      </c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 spans="1:26" ht="14.4">
      <c r="A509" s="450"/>
      <c r="B509" s="428" t="s">
        <v>594</v>
      </c>
      <c r="C509" s="431"/>
      <c r="D509" s="321"/>
      <c r="E509" s="321"/>
      <c r="F509" s="429">
        <f t="shared" si="93"/>
        <v>0</v>
      </c>
      <c r="G509" s="203">
        <v>40000</v>
      </c>
      <c r="H509" s="203">
        <v>55000</v>
      </c>
      <c r="I509" s="204"/>
      <c r="J509" s="205">
        <f t="shared" si="94"/>
        <v>0</v>
      </c>
      <c r="K509" s="205">
        <f t="shared" si="95"/>
        <v>0</v>
      </c>
      <c r="L509" s="430">
        <f t="shared" si="96"/>
        <v>0</v>
      </c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 spans="1:26" ht="14.4">
      <c r="A510" s="450"/>
      <c r="B510" s="428" t="s">
        <v>595</v>
      </c>
      <c r="C510" s="431">
        <v>0</v>
      </c>
      <c r="D510" s="321"/>
      <c r="E510" s="321"/>
      <c r="F510" s="429">
        <f t="shared" si="93"/>
        <v>0</v>
      </c>
      <c r="G510" s="203">
        <v>7900</v>
      </c>
      <c r="H510" s="203">
        <v>11000</v>
      </c>
      <c r="I510" s="204"/>
      <c r="J510" s="205">
        <f t="shared" si="94"/>
        <v>0</v>
      </c>
      <c r="K510" s="205">
        <f t="shared" si="95"/>
        <v>0</v>
      </c>
      <c r="L510" s="430">
        <f t="shared" si="96"/>
        <v>0</v>
      </c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 spans="1:26" ht="14.4">
      <c r="A511" s="450"/>
      <c r="B511" s="428" t="s">
        <v>596</v>
      </c>
      <c r="C511" s="431">
        <v>14</v>
      </c>
      <c r="D511" s="321"/>
      <c r="E511" s="321"/>
      <c r="F511" s="429">
        <f t="shared" si="93"/>
        <v>14</v>
      </c>
      <c r="G511" s="203">
        <v>18327</v>
      </c>
      <c r="H511" s="203">
        <v>21000</v>
      </c>
      <c r="I511" s="204"/>
      <c r="J511" s="205">
        <f t="shared" si="94"/>
        <v>0</v>
      </c>
      <c r="K511" s="205">
        <f t="shared" si="95"/>
        <v>0</v>
      </c>
      <c r="L511" s="430">
        <f t="shared" si="96"/>
        <v>256578</v>
      </c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 spans="1:26" ht="14.4">
      <c r="A512" s="450"/>
      <c r="B512" s="428" t="s">
        <v>597</v>
      </c>
      <c r="C512" s="431">
        <v>2</v>
      </c>
      <c r="D512" s="321"/>
      <c r="E512" s="321"/>
      <c r="F512" s="429">
        <f t="shared" si="93"/>
        <v>2</v>
      </c>
      <c r="G512" s="203">
        <v>19800</v>
      </c>
      <c r="H512" s="203">
        <v>23000</v>
      </c>
      <c r="I512" s="204"/>
      <c r="J512" s="205">
        <f t="shared" si="94"/>
        <v>0</v>
      </c>
      <c r="K512" s="205">
        <f t="shared" si="95"/>
        <v>0</v>
      </c>
      <c r="L512" s="430">
        <f t="shared" si="96"/>
        <v>39600</v>
      </c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 spans="1:26" ht="14.4">
      <c r="A513" s="450"/>
      <c r="B513" s="428" t="s">
        <v>598</v>
      </c>
      <c r="C513" s="431">
        <v>2</v>
      </c>
      <c r="D513" s="321"/>
      <c r="E513" s="321"/>
      <c r="F513" s="429">
        <f t="shared" si="93"/>
        <v>2</v>
      </c>
      <c r="G513" s="203">
        <v>18650</v>
      </c>
      <c r="H513" s="203">
        <v>21000</v>
      </c>
      <c r="I513" s="204"/>
      <c r="J513" s="205">
        <f t="shared" si="94"/>
        <v>0</v>
      </c>
      <c r="K513" s="205">
        <f t="shared" si="95"/>
        <v>0</v>
      </c>
      <c r="L513" s="430">
        <f t="shared" si="96"/>
        <v>37300</v>
      </c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 spans="1:26" ht="14.4">
      <c r="A514" s="450"/>
      <c r="B514" s="451" t="s">
        <v>599</v>
      </c>
      <c r="C514" s="431">
        <v>7</v>
      </c>
      <c r="D514" s="321"/>
      <c r="E514" s="321"/>
      <c r="F514" s="429">
        <f t="shared" si="93"/>
        <v>7</v>
      </c>
      <c r="G514" s="203">
        <v>17000</v>
      </c>
      <c r="H514" s="203">
        <v>20000</v>
      </c>
      <c r="I514" s="204"/>
      <c r="J514" s="205">
        <f t="shared" si="94"/>
        <v>0</v>
      </c>
      <c r="K514" s="205">
        <f t="shared" si="95"/>
        <v>0</v>
      </c>
      <c r="L514" s="430">
        <f t="shared" si="96"/>
        <v>119000</v>
      </c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 spans="1:26" ht="14.4">
      <c r="A515" s="450"/>
      <c r="B515" s="451" t="s">
        <v>600</v>
      </c>
      <c r="C515" s="321">
        <v>4</v>
      </c>
      <c r="D515" s="321"/>
      <c r="E515" s="321"/>
      <c r="F515" s="429">
        <f t="shared" si="93"/>
        <v>4</v>
      </c>
      <c r="G515" s="203">
        <v>67400</v>
      </c>
      <c r="H515" s="203">
        <v>59000</v>
      </c>
      <c r="I515" s="204"/>
      <c r="J515" s="205">
        <f t="shared" si="94"/>
        <v>0</v>
      </c>
      <c r="K515" s="205">
        <f t="shared" si="95"/>
        <v>0</v>
      </c>
      <c r="L515" s="430">
        <f t="shared" si="96"/>
        <v>269600</v>
      </c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 spans="1:26" ht="14.4">
      <c r="A516" s="450"/>
      <c r="B516" s="451" t="s">
        <v>601</v>
      </c>
      <c r="C516" s="431">
        <v>0</v>
      </c>
      <c r="D516" s="321"/>
      <c r="E516" s="321"/>
      <c r="F516" s="429">
        <f t="shared" si="93"/>
        <v>0</v>
      </c>
      <c r="G516" s="203">
        <v>29000</v>
      </c>
      <c r="H516" s="203">
        <v>31800</v>
      </c>
      <c r="I516" s="204"/>
      <c r="J516" s="205">
        <f t="shared" si="94"/>
        <v>0</v>
      </c>
      <c r="K516" s="205">
        <f t="shared" si="95"/>
        <v>0</v>
      </c>
      <c r="L516" s="430">
        <f t="shared" si="96"/>
        <v>0</v>
      </c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 spans="1:26" ht="14.4">
      <c r="A517" s="450"/>
      <c r="B517" s="451" t="s">
        <v>602</v>
      </c>
      <c r="C517" s="431">
        <v>1</v>
      </c>
      <c r="D517" s="321"/>
      <c r="E517" s="321"/>
      <c r="F517" s="429">
        <f t="shared" si="93"/>
        <v>1</v>
      </c>
      <c r="G517" s="203">
        <v>29500</v>
      </c>
      <c r="H517" s="203">
        <v>32000</v>
      </c>
      <c r="I517" s="204"/>
      <c r="J517" s="205">
        <f t="shared" si="94"/>
        <v>0</v>
      </c>
      <c r="K517" s="205">
        <f t="shared" si="95"/>
        <v>0</v>
      </c>
      <c r="L517" s="430">
        <f t="shared" si="96"/>
        <v>29500</v>
      </c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 spans="1:26" ht="14.4">
      <c r="A518" s="450"/>
      <c r="B518" s="451" t="s">
        <v>603</v>
      </c>
      <c r="C518" s="431">
        <v>1</v>
      </c>
      <c r="D518" s="321"/>
      <c r="E518" s="321"/>
      <c r="F518" s="429">
        <f t="shared" si="93"/>
        <v>1</v>
      </c>
      <c r="G518" s="203">
        <v>48000</v>
      </c>
      <c r="H518" s="203">
        <v>52000</v>
      </c>
      <c r="I518" s="204"/>
      <c r="J518" s="205">
        <f t="shared" si="94"/>
        <v>0</v>
      </c>
      <c r="K518" s="205">
        <f t="shared" si="95"/>
        <v>0</v>
      </c>
      <c r="L518" s="430">
        <f t="shared" si="96"/>
        <v>48000</v>
      </c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 spans="1:26" ht="14.4">
      <c r="A519" s="450"/>
      <c r="B519" s="451" t="s">
        <v>604</v>
      </c>
      <c r="C519" s="431">
        <v>1</v>
      </c>
      <c r="D519" s="321"/>
      <c r="E519" s="321"/>
      <c r="F519" s="429">
        <f t="shared" si="93"/>
        <v>1</v>
      </c>
      <c r="G519" s="203">
        <v>50000</v>
      </c>
      <c r="H519" s="203">
        <v>54000</v>
      </c>
      <c r="I519" s="204"/>
      <c r="J519" s="205">
        <f t="shared" si="94"/>
        <v>0</v>
      </c>
      <c r="K519" s="205">
        <f t="shared" si="95"/>
        <v>0</v>
      </c>
      <c r="L519" s="430">
        <f t="shared" si="96"/>
        <v>50000</v>
      </c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 spans="1:26" ht="14.4">
      <c r="A520" s="450"/>
      <c r="B520" s="451" t="s">
        <v>605</v>
      </c>
      <c r="C520" s="431">
        <v>1</v>
      </c>
      <c r="D520" s="321"/>
      <c r="E520" s="321"/>
      <c r="F520" s="429">
        <f t="shared" si="93"/>
        <v>1</v>
      </c>
      <c r="G520" s="203">
        <v>42000</v>
      </c>
      <c r="H520" s="203">
        <v>46000</v>
      </c>
      <c r="I520" s="204"/>
      <c r="J520" s="205">
        <f t="shared" si="94"/>
        <v>0</v>
      </c>
      <c r="K520" s="205">
        <f t="shared" si="95"/>
        <v>0</v>
      </c>
      <c r="L520" s="430">
        <f t="shared" si="96"/>
        <v>42000</v>
      </c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 spans="1:26" ht="14.4">
      <c r="A521" s="450"/>
      <c r="B521" s="451" t="s">
        <v>606</v>
      </c>
      <c r="C521" s="431">
        <v>6</v>
      </c>
      <c r="D521" s="321"/>
      <c r="E521" s="321"/>
      <c r="F521" s="429">
        <f t="shared" si="93"/>
        <v>6</v>
      </c>
      <c r="G521" s="203">
        <v>34000</v>
      </c>
      <c r="H521" s="203">
        <v>38000</v>
      </c>
      <c r="I521" s="204"/>
      <c r="J521" s="205">
        <f t="shared" si="94"/>
        <v>0</v>
      </c>
      <c r="K521" s="205">
        <f t="shared" si="95"/>
        <v>0</v>
      </c>
      <c r="L521" s="430">
        <f t="shared" si="96"/>
        <v>204000</v>
      </c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 spans="1:26" ht="14.4">
      <c r="A522" s="450"/>
      <c r="B522" s="451" t="s">
        <v>607</v>
      </c>
      <c r="C522" s="431">
        <v>20</v>
      </c>
      <c r="D522" s="321"/>
      <c r="E522" s="321"/>
      <c r="F522" s="429">
        <f t="shared" si="93"/>
        <v>20</v>
      </c>
      <c r="G522" s="203">
        <v>18000</v>
      </c>
      <c r="H522" s="203">
        <v>21000</v>
      </c>
      <c r="I522" s="204"/>
      <c r="J522" s="205">
        <f t="shared" si="94"/>
        <v>0</v>
      </c>
      <c r="K522" s="205">
        <f t="shared" si="95"/>
        <v>0</v>
      </c>
      <c r="L522" s="430">
        <f t="shared" si="96"/>
        <v>360000</v>
      </c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 spans="1:26" ht="14.4">
      <c r="A523" s="450"/>
      <c r="B523" s="451" t="s">
        <v>673</v>
      </c>
      <c r="C523" s="431">
        <v>1</v>
      </c>
      <c r="D523" s="321"/>
      <c r="E523" s="321"/>
      <c r="F523" s="429">
        <f t="shared" si="93"/>
        <v>1</v>
      </c>
      <c r="G523" s="203"/>
      <c r="H523" s="203"/>
      <c r="I523" s="204"/>
      <c r="J523" s="205">
        <f t="shared" si="94"/>
        <v>0</v>
      </c>
      <c r="K523" s="205">
        <f t="shared" si="95"/>
        <v>0</v>
      </c>
      <c r="L523" s="430">
        <f t="shared" si="96"/>
        <v>0</v>
      </c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 spans="1:26" ht="14.4">
      <c r="A524" s="450"/>
      <c r="B524" s="451" t="s">
        <v>674</v>
      </c>
      <c r="C524" s="431">
        <v>3</v>
      </c>
      <c r="D524" s="321"/>
      <c r="E524" s="321"/>
      <c r="F524" s="429">
        <f t="shared" si="93"/>
        <v>3</v>
      </c>
      <c r="G524" s="203"/>
      <c r="H524" s="203"/>
      <c r="I524" s="204"/>
      <c r="J524" s="205">
        <f t="shared" si="94"/>
        <v>0</v>
      </c>
      <c r="K524" s="205">
        <f t="shared" si="95"/>
        <v>0</v>
      </c>
      <c r="L524" s="430">
        <f t="shared" si="96"/>
        <v>0</v>
      </c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 spans="1:26" ht="14.4">
      <c r="A525" s="450"/>
      <c r="B525" s="451" t="s">
        <v>610</v>
      </c>
      <c r="C525" s="431">
        <v>3</v>
      </c>
      <c r="D525" s="321"/>
      <c r="E525" s="321"/>
      <c r="F525" s="429">
        <f t="shared" si="93"/>
        <v>3</v>
      </c>
      <c r="G525" s="203">
        <f>136685/4</f>
        <v>34171.25</v>
      </c>
      <c r="H525" s="203">
        <v>38000</v>
      </c>
      <c r="I525" s="204"/>
      <c r="J525" s="205">
        <f t="shared" si="94"/>
        <v>0</v>
      </c>
      <c r="K525" s="205">
        <f t="shared" si="95"/>
        <v>0</v>
      </c>
      <c r="L525" s="430">
        <f t="shared" si="96"/>
        <v>102513.75</v>
      </c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 spans="1:26" ht="14.4">
      <c r="A526" s="450"/>
      <c r="B526" s="451" t="s">
        <v>611</v>
      </c>
      <c r="C526" s="431">
        <v>5</v>
      </c>
      <c r="D526" s="321"/>
      <c r="E526" s="321"/>
      <c r="F526" s="429">
        <f t="shared" si="93"/>
        <v>5</v>
      </c>
      <c r="G526" s="203">
        <v>24000</v>
      </c>
      <c r="H526" s="203">
        <v>26000</v>
      </c>
      <c r="I526" s="204"/>
      <c r="J526" s="205">
        <f t="shared" si="94"/>
        <v>0</v>
      </c>
      <c r="K526" s="205">
        <f t="shared" si="95"/>
        <v>0</v>
      </c>
      <c r="L526" s="430">
        <f t="shared" si="96"/>
        <v>120000</v>
      </c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 spans="1:26" ht="14.4">
      <c r="A527" s="450"/>
      <c r="B527" s="451" t="s">
        <v>612</v>
      </c>
      <c r="C527" s="431">
        <v>41</v>
      </c>
      <c r="D527" s="321"/>
      <c r="E527" s="321"/>
      <c r="F527" s="429">
        <f t="shared" si="93"/>
        <v>41</v>
      </c>
      <c r="G527" s="203">
        <v>16000</v>
      </c>
      <c r="H527" s="203">
        <v>18000</v>
      </c>
      <c r="I527" s="204"/>
      <c r="J527" s="205">
        <f t="shared" si="94"/>
        <v>0</v>
      </c>
      <c r="K527" s="205">
        <f t="shared" si="95"/>
        <v>0</v>
      </c>
      <c r="L527" s="430">
        <f t="shared" si="96"/>
        <v>656000</v>
      </c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 spans="1:26" ht="14.4">
      <c r="A528" s="450"/>
      <c r="B528" s="451" t="s">
        <v>675</v>
      </c>
      <c r="C528" s="431">
        <v>5</v>
      </c>
      <c r="D528" s="321"/>
      <c r="E528" s="321"/>
      <c r="F528" s="429">
        <f t="shared" si="93"/>
        <v>5</v>
      </c>
      <c r="G528" s="203">
        <v>16000</v>
      </c>
      <c r="H528" s="203">
        <v>20000</v>
      </c>
      <c r="I528" s="204"/>
      <c r="J528" s="205">
        <f t="shared" si="94"/>
        <v>0</v>
      </c>
      <c r="K528" s="205">
        <f t="shared" si="95"/>
        <v>0</v>
      </c>
      <c r="L528" s="430">
        <f t="shared" si="96"/>
        <v>80000</v>
      </c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 spans="1:26" ht="14.4">
      <c r="A529" s="450"/>
      <c r="B529" s="451" t="s">
        <v>614</v>
      </c>
      <c r="C529" s="431">
        <v>2</v>
      </c>
      <c r="D529" s="321"/>
      <c r="E529" s="321"/>
      <c r="F529" s="429">
        <f t="shared" si="93"/>
        <v>2</v>
      </c>
      <c r="G529" s="203">
        <v>75000</v>
      </c>
      <c r="H529" s="203">
        <v>80000</v>
      </c>
      <c r="I529" s="204"/>
      <c r="J529" s="205">
        <f t="shared" si="94"/>
        <v>0</v>
      </c>
      <c r="K529" s="205">
        <f t="shared" si="95"/>
        <v>0</v>
      </c>
      <c r="L529" s="430">
        <f t="shared" si="96"/>
        <v>150000</v>
      </c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 spans="1:26" ht="14.4">
      <c r="A530" s="450"/>
      <c r="B530" s="451" t="s">
        <v>615</v>
      </c>
      <c r="C530" s="321">
        <v>3</v>
      </c>
      <c r="D530" s="321"/>
      <c r="E530" s="321"/>
      <c r="F530" s="429">
        <f t="shared" si="93"/>
        <v>3</v>
      </c>
      <c r="G530" s="203">
        <v>129187</v>
      </c>
      <c r="H530" s="203">
        <v>131000</v>
      </c>
      <c r="I530" s="204"/>
      <c r="J530" s="205">
        <f t="shared" si="94"/>
        <v>0</v>
      </c>
      <c r="K530" s="205">
        <f t="shared" si="95"/>
        <v>0</v>
      </c>
      <c r="L530" s="430">
        <f t="shared" si="96"/>
        <v>387561</v>
      </c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 spans="1:26" ht="14.4">
      <c r="A531" s="450"/>
      <c r="B531" s="451" t="s">
        <v>616</v>
      </c>
      <c r="C531" s="431"/>
      <c r="D531" s="321"/>
      <c r="E531" s="321"/>
      <c r="F531" s="429">
        <f t="shared" si="93"/>
        <v>0</v>
      </c>
      <c r="G531" s="203">
        <v>11000</v>
      </c>
      <c r="H531" s="203">
        <v>13000</v>
      </c>
      <c r="I531" s="204"/>
      <c r="J531" s="205">
        <f t="shared" si="94"/>
        <v>0</v>
      </c>
      <c r="K531" s="205">
        <f t="shared" si="95"/>
        <v>0</v>
      </c>
      <c r="L531" s="430">
        <f t="shared" si="96"/>
        <v>0</v>
      </c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 spans="1:26" ht="14.4">
      <c r="A532" s="450"/>
      <c r="B532" s="451" t="s">
        <v>617</v>
      </c>
      <c r="C532" s="431"/>
      <c r="D532" s="321"/>
      <c r="E532" s="321"/>
      <c r="F532" s="429">
        <f t="shared" si="93"/>
        <v>0</v>
      </c>
      <c r="G532" s="203">
        <v>61000</v>
      </c>
      <c r="H532" s="203">
        <v>66000</v>
      </c>
      <c r="I532" s="204"/>
      <c r="J532" s="205">
        <f t="shared" si="94"/>
        <v>0</v>
      </c>
      <c r="K532" s="205">
        <f t="shared" si="95"/>
        <v>0</v>
      </c>
      <c r="L532" s="430">
        <f t="shared" si="96"/>
        <v>0</v>
      </c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 spans="1:26" ht="14.4">
      <c r="A533" s="450"/>
      <c r="B533" s="451" t="s">
        <v>618</v>
      </c>
      <c r="C533" s="431">
        <v>3</v>
      </c>
      <c r="D533" s="321"/>
      <c r="E533" s="321"/>
      <c r="F533" s="429">
        <f t="shared" si="93"/>
        <v>3</v>
      </c>
      <c r="G533" s="203">
        <v>19000</v>
      </c>
      <c r="H533" s="203">
        <v>22000</v>
      </c>
      <c r="I533" s="204"/>
      <c r="J533" s="205">
        <f t="shared" si="94"/>
        <v>0</v>
      </c>
      <c r="K533" s="205">
        <f t="shared" si="95"/>
        <v>0</v>
      </c>
      <c r="L533" s="430">
        <f t="shared" si="96"/>
        <v>57000</v>
      </c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 spans="1:26" ht="14.4">
      <c r="A534" s="450"/>
      <c r="B534" s="451" t="s">
        <v>619</v>
      </c>
      <c r="C534" s="431"/>
      <c r="D534" s="321"/>
      <c r="E534" s="321"/>
      <c r="F534" s="429">
        <f t="shared" si="93"/>
        <v>0</v>
      </c>
      <c r="G534" s="203">
        <v>10000</v>
      </c>
      <c r="H534" s="203">
        <v>12000</v>
      </c>
      <c r="I534" s="204"/>
      <c r="J534" s="205">
        <f t="shared" si="94"/>
        <v>0</v>
      </c>
      <c r="K534" s="205">
        <f t="shared" si="95"/>
        <v>0</v>
      </c>
      <c r="L534" s="430">
        <f t="shared" si="96"/>
        <v>0</v>
      </c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 spans="1:26" ht="14.4">
      <c r="A535" s="450"/>
      <c r="B535" s="451" t="s">
        <v>676</v>
      </c>
      <c r="C535" s="431">
        <v>4</v>
      </c>
      <c r="D535" s="321"/>
      <c r="E535" s="321"/>
      <c r="F535" s="429">
        <f t="shared" si="93"/>
        <v>4</v>
      </c>
      <c r="G535" s="203"/>
      <c r="H535" s="203"/>
      <c r="I535" s="204"/>
      <c r="J535" s="205">
        <f t="shared" si="94"/>
        <v>0</v>
      </c>
      <c r="K535" s="205">
        <f t="shared" si="95"/>
        <v>0</v>
      </c>
      <c r="L535" s="430">
        <f t="shared" si="96"/>
        <v>0</v>
      </c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 spans="1:26" ht="14.4">
      <c r="A536" s="450"/>
      <c r="B536" s="451" t="s">
        <v>621</v>
      </c>
      <c r="C536" s="431"/>
      <c r="D536" s="321"/>
      <c r="E536" s="321"/>
      <c r="F536" s="429">
        <f t="shared" si="93"/>
        <v>0</v>
      </c>
      <c r="G536" s="203">
        <v>11000</v>
      </c>
      <c r="H536" s="203">
        <v>13000</v>
      </c>
      <c r="I536" s="204"/>
      <c r="J536" s="205">
        <f t="shared" si="94"/>
        <v>0</v>
      </c>
      <c r="K536" s="205">
        <f t="shared" si="95"/>
        <v>0</v>
      </c>
      <c r="L536" s="430">
        <f t="shared" si="96"/>
        <v>0</v>
      </c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 spans="1:26" ht="14.4">
      <c r="A537" s="450"/>
      <c r="B537" s="451" t="s">
        <v>622</v>
      </c>
      <c r="C537" s="431">
        <v>1</v>
      </c>
      <c r="D537" s="321"/>
      <c r="E537" s="321"/>
      <c r="F537" s="429">
        <f t="shared" si="93"/>
        <v>1</v>
      </c>
      <c r="G537" s="203">
        <v>28000</v>
      </c>
      <c r="H537" s="203">
        <v>31000</v>
      </c>
      <c r="I537" s="204"/>
      <c r="J537" s="205">
        <f t="shared" si="94"/>
        <v>0</v>
      </c>
      <c r="K537" s="205">
        <f t="shared" si="95"/>
        <v>0</v>
      </c>
      <c r="L537" s="430">
        <f t="shared" si="96"/>
        <v>28000</v>
      </c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 spans="1:26" ht="14.4">
      <c r="A538" s="450"/>
      <c r="B538" s="451" t="s">
        <v>623</v>
      </c>
      <c r="C538" s="431">
        <v>2</v>
      </c>
      <c r="D538" s="321"/>
      <c r="E538" s="321"/>
      <c r="F538" s="429">
        <f t="shared" si="93"/>
        <v>2</v>
      </c>
      <c r="G538" s="203">
        <v>11000</v>
      </c>
      <c r="H538" s="203">
        <v>13000</v>
      </c>
      <c r="I538" s="204"/>
      <c r="J538" s="205">
        <f t="shared" si="94"/>
        <v>0</v>
      </c>
      <c r="K538" s="205">
        <f t="shared" si="95"/>
        <v>0</v>
      </c>
      <c r="L538" s="430">
        <f t="shared" si="96"/>
        <v>22000</v>
      </c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 spans="1:26" ht="14.4">
      <c r="A539" s="450"/>
      <c r="B539" s="451" t="s">
        <v>624</v>
      </c>
      <c r="C539" s="431">
        <v>17</v>
      </c>
      <c r="D539" s="321"/>
      <c r="E539" s="321"/>
      <c r="F539" s="429">
        <f t="shared" si="93"/>
        <v>17</v>
      </c>
      <c r="G539" s="203">
        <v>23000</v>
      </c>
      <c r="H539" s="203">
        <v>26000</v>
      </c>
      <c r="I539" s="204"/>
      <c r="J539" s="205">
        <f t="shared" si="94"/>
        <v>0</v>
      </c>
      <c r="K539" s="205">
        <f t="shared" si="95"/>
        <v>0</v>
      </c>
      <c r="L539" s="430">
        <f t="shared" si="96"/>
        <v>391000</v>
      </c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 spans="1:26" ht="14.4">
      <c r="A540" s="450"/>
      <c r="B540" s="451" t="s">
        <v>625</v>
      </c>
      <c r="C540" s="431">
        <v>2</v>
      </c>
      <c r="D540" s="321"/>
      <c r="E540" s="321"/>
      <c r="F540" s="429">
        <f t="shared" si="93"/>
        <v>2</v>
      </c>
      <c r="G540" s="203">
        <v>37000</v>
      </c>
      <c r="H540" s="203">
        <v>40000</v>
      </c>
      <c r="I540" s="204"/>
      <c r="J540" s="205">
        <f t="shared" si="94"/>
        <v>0</v>
      </c>
      <c r="K540" s="205">
        <f t="shared" si="95"/>
        <v>0</v>
      </c>
      <c r="L540" s="430">
        <f t="shared" si="96"/>
        <v>74000</v>
      </c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 spans="1:26" ht="14.4">
      <c r="A541" s="450"/>
      <c r="B541" s="451" t="s">
        <v>626</v>
      </c>
      <c r="C541" s="431">
        <v>1</v>
      </c>
      <c r="D541" s="321"/>
      <c r="E541" s="321"/>
      <c r="F541" s="429">
        <f t="shared" si="93"/>
        <v>1</v>
      </c>
      <c r="G541" s="203">
        <v>18800</v>
      </c>
      <c r="H541" s="203">
        <v>21000</v>
      </c>
      <c r="I541" s="204"/>
      <c r="J541" s="205">
        <f t="shared" si="94"/>
        <v>0</v>
      </c>
      <c r="K541" s="205">
        <f t="shared" si="95"/>
        <v>0</v>
      </c>
      <c r="L541" s="430">
        <f t="shared" si="96"/>
        <v>18800</v>
      </c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 spans="1:26" ht="14.4">
      <c r="A542" s="450"/>
      <c r="B542" s="451" t="s">
        <v>627</v>
      </c>
      <c r="C542" s="431">
        <v>0</v>
      </c>
      <c r="D542" s="321"/>
      <c r="E542" s="321"/>
      <c r="F542" s="429">
        <f t="shared" si="93"/>
        <v>0</v>
      </c>
      <c r="G542" s="203">
        <v>11500</v>
      </c>
      <c r="H542" s="203">
        <v>13000</v>
      </c>
      <c r="I542" s="204"/>
      <c r="J542" s="205">
        <f t="shared" si="94"/>
        <v>0</v>
      </c>
      <c r="K542" s="205">
        <f t="shared" si="95"/>
        <v>0</v>
      </c>
      <c r="L542" s="430">
        <f t="shared" si="96"/>
        <v>0</v>
      </c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 spans="1:26" ht="14.4">
      <c r="A543" s="450"/>
      <c r="B543" s="451" t="s">
        <v>628</v>
      </c>
      <c r="C543" s="431"/>
      <c r="D543" s="321"/>
      <c r="E543" s="321"/>
      <c r="F543" s="429">
        <f t="shared" si="93"/>
        <v>0</v>
      </c>
      <c r="G543" s="203">
        <v>22000</v>
      </c>
      <c r="H543" s="203">
        <v>24500</v>
      </c>
      <c r="I543" s="204"/>
      <c r="J543" s="205">
        <f t="shared" si="94"/>
        <v>0</v>
      </c>
      <c r="K543" s="205">
        <f t="shared" si="95"/>
        <v>0</v>
      </c>
      <c r="L543" s="430">
        <f t="shared" si="96"/>
        <v>0</v>
      </c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 spans="1:26" ht="14.4">
      <c r="A544" s="450"/>
      <c r="B544" s="451" t="s">
        <v>629</v>
      </c>
      <c r="C544" s="431">
        <v>3</v>
      </c>
      <c r="D544" s="321"/>
      <c r="E544" s="321"/>
      <c r="F544" s="429">
        <f t="shared" si="93"/>
        <v>3</v>
      </c>
      <c r="G544" s="203">
        <v>40000</v>
      </c>
      <c r="H544" s="203">
        <v>44000</v>
      </c>
      <c r="I544" s="204"/>
      <c r="J544" s="205">
        <f t="shared" si="94"/>
        <v>0</v>
      </c>
      <c r="K544" s="205">
        <f t="shared" si="95"/>
        <v>0</v>
      </c>
      <c r="L544" s="430">
        <f t="shared" si="96"/>
        <v>120000</v>
      </c>
      <c r="M544" s="452">
        <f>8*64</f>
        <v>512</v>
      </c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 spans="1:26" ht="14.4">
      <c r="A545" s="450"/>
      <c r="B545" s="451" t="s">
        <v>677</v>
      </c>
      <c r="C545" s="431">
        <v>3</v>
      </c>
      <c r="D545" s="321"/>
      <c r="E545" s="321"/>
      <c r="F545" s="429">
        <f t="shared" si="93"/>
        <v>3</v>
      </c>
      <c r="G545" s="203">
        <v>57000</v>
      </c>
      <c r="H545" s="203">
        <v>71000</v>
      </c>
      <c r="I545" s="204"/>
      <c r="J545" s="205">
        <f t="shared" si="94"/>
        <v>0</v>
      </c>
      <c r="K545" s="205">
        <f t="shared" si="95"/>
        <v>0</v>
      </c>
      <c r="L545" s="430">
        <f t="shared" si="96"/>
        <v>171000</v>
      </c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 spans="1:26" ht="14.4">
      <c r="A546" s="450"/>
      <c r="B546" s="451" t="s">
        <v>631</v>
      </c>
      <c r="C546" s="431">
        <v>1</v>
      </c>
      <c r="D546" s="321"/>
      <c r="E546" s="321"/>
      <c r="F546" s="429">
        <f t="shared" si="93"/>
        <v>1</v>
      </c>
      <c r="G546" s="203">
        <v>51000</v>
      </c>
      <c r="H546" s="203">
        <v>58000</v>
      </c>
      <c r="I546" s="204"/>
      <c r="J546" s="205">
        <f t="shared" si="94"/>
        <v>0</v>
      </c>
      <c r="K546" s="205">
        <f t="shared" si="95"/>
        <v>0</v>
      </c>
      <c r="L546" s="430">
        <f t="shared" si="96"/>
        <v>51000</v>
      </c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 spans="1:26" ht="14.4">
      <c r="A547" s="450"/>
      <c r="B547" s="451" t="s">
        <v>632</v>
      </c>
      <c r="C547" s="431">
        <v>2</v>
      </c>
      <c r="D547" s="321"/>
      <c r="E547" s="321"/>
      <c r="F547" s="429">
        <f t="shared" si="93"/>
        <v>2</v>
      </c>
      <c r="G547" s="203">
        <v>6500</v>
      </c>
      <c r="H547" s="203">
        <v>7500</v>
      </c>
      <c r="I547" s="204"/>
      <c r="J547" s="205">
        <f t="shared" si="94"/>
        <v>0</v>
      </c>
      <c r="K547" s="205">
        <f t="shared" si="95"/>
        <v>0</v>
      </c>
      <c r="L547" s="430">
        <f t="shared" si="96"/>
        <v>13000</v>
      </c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 spans="1:26" ht="14.4">
      <c r="A548" s="450"/>
      <c r="B548" s="451" t="s">
        <v>633</v>
      </c>
      <c r="C548" s="431">
        <v>2</v>
      </c>
      <c r="D548" s="321"/>
      <c r="E548" s="321"/>
      <c r="F548" s="429">
        <f t="shared" si="93"/>
        <v>2</v>
      </c>
      <c r="G548" s="203">
        <v>75000</v>
      </c>
      <c r="H548" s="203">
        <v>80000</v>
      </c>
      <c r="I548" s="204"/>
      <c r="J548" s="205">
        <f t="shared" si="94"/>
        <v>0</v>
      </c>
      <c r="K548" s="205">
        <f t="shared" si="95"/>
        <v>0</v>
      </c>
      <c r="L548" s="430">
        <f t="shared" si="96"/>
        <v>150000</v>
      </c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 spans="1:26" ht="14.4">
      <c r="A549" s="450"/>
      <c r="B549" s="451" t="s">
        <v>634</v>
      </c>
      <c r="C549" s="431">
        <v>1</v>
      </c>
      <c r="D549" s="321"/>
      <c r="E549" s="321"/>
      <c r="F549" s="429">
        <f t="shared" si="93"/>
        <v>1</v>
      </c>
      <c r="G549" s="203">
        <v>31000</v>
      </c>
      <c r="H549" s="203">
        <v>35000</v>
      </c>
      <c r="I549" s="204"/>
      <c r="J549" s="205">
        <f t="shared" si="94"/>
        <v>0</v>
      </c>
      <c r="K549" s="205">
        <f t="shared" si="95"/>
        <v>0</v>
      </c>
      <c r="L549" s="430">
        <f t="shared" si="96"/>
        <v>31000</v>
      </c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 spans="1:26" ht="14.4">
      <c r="A550" s="450"/>
      <c r="B550" s="451" t="s">
        <v>635</v>
      </c>
      <c r="C550" s="431">
        <v>2</v>
      </c>
      <c r="D550" s="321"/>
      <c r="E550" s="321"/>
      <c r="F550" s="429">
        <f t="shared" si="93"/>
        <v>2</v>
      </c>
      <c r="G550" s="203">
        <v>55000</v>
      </c>
      <c r="H550" s="203">
        <v>59000</v>
      </c>
      <c r="I550" s="204"/>
      <c r="J550" s="205">
        <f t="shared" si="94"/>
        <v>0</v>
      </c>
      <c r="K550" s="205">
        <f t="shared" si="95"/>
        <v>0</v>
      </c>
      <c r="L550" s="430">
        <f t="shared" si="96"/>
        <v>110000</v>
      </c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 spans="1:26" ht="14.4">
      <c r="A551" s="450"/>
      <c r="B551" s="451" t="s">
        <v>636</v>
      </c>
      <c r="C551" s="431">
        <v>0</v>
      </c>
      <c r="D551" s="321"/>
      <c r="E551" s="321"/>
      <c r="F551" s="429">
        <f t="shared" si="93"/>
        <v>0</v>
      </c>
      <c r="G551" s="203">
        <v>22700</v>
      </c>
      <c r="H551" s="203">
        <v>26000</v>
      </c>
      <c r="I551" s="204"/>
      <c r="J551" s="205">
        <f t="shared" si="94"/>
        <v>0</v>
      </c>
      <c r="K551" s="205">
        <f t="shared" si="95"/>
        <v>0</v>
      </c>
      <c r="L551" s="430">
        <f t="shared" si="96"/>
        <v>0</v>
      </c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 spans="1:26" ht="14.4">
      <c r="A552" s="450"/>
      <c r="B552" s="451" t="s">
        <v>637</v>
      </c>
      <c r="C552" s="431">
        <v>1</v>
      </c>
      <c r="D552" s="321"/>
      <c r="E552" s="321"/>
      <c r="F552" s="429">
        <f t="shared" si="93"/>
        <v>1</v>
      </c>
      <c r="G552" s="203">
        <v>27000</v>
      </c>
      <c r="H552" s="203">
        <v>30000</v>
      </c>
      <c r="I552" s="204"/>
      <c r="J552" s="205">
        <f t="shared" si="94"/>
        <v>0</v>
      </c>
      <c r="K552" s="205">
        <f t="shared" si="95"/>
        <v>0</v>
      </c>
      <c r="L552" s="430">
        <f t="shared" si="96"/>
        <v>27000</v>
      </c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 spans="1:26" ht="14.4">
      <c r="A553" s="450"/>
      <c r="B553" s="451" t="s">
        <v>638</v>
      </c>
      <c r="C553" s="431">
        <v>0</v>
      </c>
      <c r="D553" s="321"/>
      <c r="E553" s="321"/>
      <c r="F553" s="429">
        <f t="shared" si="93"/>
        <v>0</v>
      </c>
      <c r="G553" s="203">
        <v>11000</v>
      </c>
      <c r="H553" s="203">
        <v>13000</v>
      </c>
      <c r="I553" s="204"/>
      <c r="J553" s="205">
        <f t="shared" si="94"/>
        <v>0</v>
      </c>
      <c r="K553" s="205">
        <f t="shared" si="95"/>
        <v>0</v>
      </c>
      <c r="L553" s="430">
        <f t="shared" si="96"/>
        <v>0</v>
      </c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 spans="1:26" ht="14.4">
      <c r="A554" s="450"/>
      <c r="B554" s="451" t="s">
        <v>678</v>
      </c>
      <c r="C554" s="431">
        <v>2</v>
      </c>
      <c r="D554" s="321"/>
      <c r="E554" s="321"/>
      <c r="F554" s="429">
        <f t="shared" si="93"/>
        <v>2</v>
      </c>
      <c r="G554" s="203"/>
      <c r="H554" s="203"/>
      <c r="I554" s="204"/>
      <c r="J554" s="205">
        <f t="shared" si="94"/>
        <v>0</v>
      </c>
      <c r="K554" s="205">
        <f t="shared" si="95"/>
        <v>0</v>
      </c>
      <c r="L554" s="430">
        <f t="shared" si="96"/>
        <v>0</v>
      </c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 spans="1:26" ht="14.4">
      <c r="A555" s="450"/>
      <c r="B555" s="451" t="s">
        <v>640</v>
      </c>
      <c r="C555" s="431">
        <v>2</v>
      </c>
      <c r="D555" s="321"/>
      <c r="E555" s="321"/>
      <c r="F555" s="429">
        <f t="shared" si="93"/>
        <v>2</v>
      </c>
      <c r="G555" s="203">
        <v>49000</v>
      </c>
      <c r="H555" s="203">
        <v>52000</v>
      </c>
      <c r="I555" s="204"/>
      <c r="J555" s="205">
        <f t="shared" si="94"/>
        <v>0</v>
      </c>
      <c r="K555" s="205">
        <f t="shared" si="95"/>
        <v>0</v>
      </c>
      <c r="L555" s="430">
        <f t="shared" si="96"/>
        <v>98000</v>
      </c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 spans="1:26" ht="14.4">
      <c r="A556" s="450"/>
      <c r="B556" s="451" t="s">
        <v>641</v>
      </c>
      <c r="C556" s="431">
        <v>3</v>
      </c>
      <c r="D556" s="321"/>
      <c r="E556" s="321"/>
      <c r="F556" s="429">
        <f t="shared" si="93"/>
        <v>3</v>
      </c>
      <c r="G556" s="203">
        <v>49000</v>
      </c>
      <c r="H556" s="203">
        <v>52000</v>
      </c>
      <c r="I556" s="204"/>
      <c r="J556" s="205">
        <f t="shared" si="94"/>
        <v>0</v>
      </c>
      <c r="K556" s="205">
        <f t="shared" si="95"/>
        <v>0</v>
      </c>
      <c r="L556" s="430">
        <f t="shared" si="96"/>
        <v>147000</v>
      </c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 spans="1:26" ht="14.4">
      <c r="A557" s="450"/>
      <c r="B557" s="451" t="s">
        <v>679</v>
      </c>
      <c r="C557" s="431">
        <v>0</v>
      </c>
      <c r="D557" s="321"/>
      <c r="E557" s="321"/>
      <c r="F557" s="429">
        <f t="shared" si="93"/>
        <v>0</v>
      </c>
      <c r="G557" s="203">
        <v>27000</v>
      </c>
      <c r="H557" s="203">
        <v>30000</v>
      </c>
      <c r="I557" s="204"/>
      <c r="J557" s="205">
        <f t="shared" si="94"/>
        <v>0</v>
      </c>
      <c r="K557" s="205">
        <f t="shared" si="95"/>
        <v>0</v>
      </c>
      <c r="L557" s="430">
        <f t="shared" si="96"/>
        <v>0</v>
      </c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 spans="1:26" ht="14.4">
      <c r="A558" s="450"/>
      <c r="B558" s="451" t="s">
        <v>643</v>
      </c>
      <c r="C558" s="431">
        <v>4</v>
      </c>
      <c r="D558" s="321"/>
      <c r="E558" s="321"/>
      <c r="F558" s="429">
        <f t="shared" si="93"/>
        <v>4</v>
      </c>
      <c r="G558" s="203">
        <v>27000</v>
      </c>
      <c r="H558" s="203">
        <v>30000</v>
      </c>
      <c r="I558" s="204"/>
      <c r="J558" s="205">
        <f t="shared" si="94"/>
        <v>0</v>
      </c>
      <c r="K558" s="205">
        <f t="shared" si="95"/>
        <v>0</v>
      </c>
      <c r="L558" s="430">
        <f t="shared" si="96"/>
        <v>108000</v>
      </c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 spans="1:26" ht="14.4">
      <c r="A559" s="450"/>
      <c r="B559" s="451" t="s">
        <v>644</v>
      </c>
      <c r="C559" s="431"/>
      <c r="D559" s="321"/>
      <c r="E559" s="321"/>
      <c r="F559" s="429">
        <f t="shared" si="93"/>
        <v>0</v>
      </c>
      <c r="G559" s="203">
        <v>28800</v>
      </c>
      <c r="H559" s="203">
        <v>31000</v>
      </c>
      <c r="I559" s="204"/>
      <c r="J559" s="205">
        <f t="shared" si="94"/>
        <v>0</v>
      </c>
      <c r="K559" s="205">
        <f t="shared" si="95"/>
        <v>0</v>
      </c>
      <c r="L559" s="430">
        <f t="shared" si="96"/>
        <v>0</v>
      </c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 spans="1:26" ht="14.4">
      <c r="A560" s="450"/>
      <c r="B560" s="451" t="s">
        <v>645</v>
      </c>
      <c r="C560" s="431">
        <v>1</v>
      </c>
      <c r="D560" s="321"/>
      <c r="E560" s="321"/>
      <c r="F560" s="429">
        <f t="shared" si="93"/>
        <v>1</v>
      </c>
      <c r="G560" s="203">
        <v>13000</v>
      </c>
      <c r="H560" s="203">
        <v>15000</v>
      </c>
      <c r="I560" s="204"/>
      <c r="J560" s="205">
        <f t="shared" si="94"/>
        <v>0</v>
      </c>
      <c r="K560" s="205">
        <f t="shared" si="95"/>
        <v>0</v>
      </c>
      <c r="L560" s="430">
        <f t="shared" si="96"/>
        <v>13000</v>
      </c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 spans="1:26" ht="14.4">
      <c r="A561" s="450"/>
      <c r="B561" s="451" t="s">
        <v>646</v>
      </c>
      <c r="C561" s="431"/>
      <c r="D561" s="321"/>
      <c r="E561" s="321"/>
      <c r="F561" s="429">
        <f t="shared" si="93"/>
        <v>0</v>
      </c>
      <c r="G561" s="203">
        <v>16000</v>
      </c>
      <c r="H561" s="203">
        <v>19000</v>
      </c>
      <c r="I561" s="204"/>
      <c r="J561" s="205">
        <f t="shared" si="94"/>
        <v>0</v>
      </c>
      <c r="K561" s="205">
        <f t="shared" si="95"/>
        <v>0</v>
      </c>
      <c r="L561" s="430">
        <f t="shared" si="96"/>
        <v>0</v>
      </c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 spans="1:26" ht="14.4">
      <c r="A562" s="450"/>
      <c r="B562" s="451" t="s">
        <v>647</v>
      </c>
      <c r="C562" s="431">
        <v>2</v>
      </c>
      <c r="D562" s="321"/>
      <c r="E562" s="321"/>
      <c r="F562" s="429">
        <f t="shared" si="93"/>
        <v>2</v>
      </c>
      <c r="G562" s="203">
        <v>56000</v>
      </c>
      <c r="H562" s="203">
        <v>60000</v>
      </c>
      <c r="I562" s="204"/>
      <c r="J562" s="205">
        <f t="shared" si="94"/>
        <v>0</v>
      </c>
      <c r="K562" s="205">
        <f t="shared" si="95"/>
        <v>0</v>
      </c>
      <c r="L562" s="430">
        <f t="shared" si="96"/>
        <v>112000</v>
      </c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 spans="1:26" ht="14.4">
      <c r="A563" s="450"/>
      <c r="B563" s="451" t="s">
        <v>648</v>
      </c>
      <c r="C563" s="431">
        <v>2</v>
      </c>
      <c r="D563" s="321"/>
      <c r="E563" s="321"/>
      <c r="F563" s="429">
        <f t="shared" si="93"/>
        <v>2</v>
      </c>
      <c r="G563" s="203">
        <v>25400</v>
      </c>
      <c r="H563" s="203">
        <v>28000</v>
      </c>
      <c r="I563" s="204"/>
      <c r="J563" s="205">
        <f t="shared" si="94"/>
        <v>0</v>
      </c>
      <c r="K563" s="205">
        <f t="shared" si="95"/>
        <v>0</v>
      </c>
      <c r="L563" s="430">
        <f t="shared" si="96"/>
        <v>50800</v>
      </c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 spans="1:26" ht="14.4">
      <c r="A564" s="450"/>
      <c r="B564" s="451" t="s">
        <v>680</v>
      </c>
      <c r="C564" s="431">
        <v>2</v>
      </c>
      <c r="D564" s="321"/>
      <c r="E564" s="321"/>
      <c r="F564" s="429">
        <f t="shared" si="93"/>
        <v>2</v>
      </c>
      <c r="G564" s="203">
        <v>24000</v>
      </c>
      <c r="H564" s="203">
        <v>26000</v>
      </c>
      <c r="I564" s="204"/>
      <c r="J564" s="205">
        <f t="shared" si="94"/>
        <v>0</v>
      </c>
      <c r="K564" s="205">
        <f t="shared" si="95"/>
        <v>0</v>
      </c>
      <c r="L564" s="430">
        <f t="shared" si="96"/>
        <v>48000</v>
      </c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 spans="1:26" ht="14.4">
      <c r="A565" s="450"/>
      <c r="B565" s="451" t="s">
        <v>650</v>
      </c>
      <c r="C565" s="431">
        <v>0</v>
      </c>
      <c r="D565" s="321"/>
      <c r="E565" s="321"/>
      <c r="F565" s="429">
        <f t="shared" si="93"/>
        <v>0</v>
      </c>
      <c r="G565" s="203">
        <v>25470</v>
      </c>
      <c r="H565" s="203">
        <v>27000</v>
      </c>
      <c r="I565" s="204"/>
      <c r="J565" s="205">
        <f t="shared" si="94"/>
        <v>0</v>
      </c>
      <c r="K565" s="205">
        <f t="shared" si="95"/>
        <v>0</v>
      </c>
      <c r="L565" s="430">
        <f t="shared" si="96"/>
        <v>0</v>
      </c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 spans="1:26" ht="14.4">
      <c r="A566" s="450"/>
      <c r="B566" s="451" t="s">
        <v>651</v>
      </c>
      <c r="C566" s="431">
        <v>3</v>
      </c>
      <c r="D566" s="321"/>
      <c r="E566" s="321"/>
      <c r="F566" s="429">
        <f t="shared" si="93"/>
        <v>3</v>
      </c>
      <c r="G566" s="203">
        <v>45400</v>
      </c>
      <c r="H566" s="203">
        <v>48000</v>
      </c>
      <c r="I566" s="204"/>
      <c r="J566" s="205">
        <f t="shared" si="94"/>
        <v>0</v>
      </c>
      <c r="K566" s="205">
        <f t="shared" si="95"/>
        <v>0</v>
      </c>
      <c r="L566" s="430">
        <f t="shared" si="96"/>
        <v>136200</v>
      </c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 spans="1:26" ht="14.4">
      <c r="A567" s="450"/>
      <c r="B567" s="451" t="s">
        <v>652</v>
      </c>
      <c r="C567" s="431">
        <v>3</v>
      </c>
      <c r="D567" s="321"/>
      <c r="E567" s="321"/>
      <c r="F567" s="429">
        <f t="shared" si="93"/>
        <v>3</v>
      </c>
      <c r="G567" s="203">
        <v>21000</v>
      </c>
      <c r="H567" s="203">
        <v>24500</v>
      </c>
      <c r="I567" s="204"/>
      <c r="J567" s="205">
        <f t="shared" si="94"/>
        <v>0</v>
      </c>
      <c r="K567" s="205">
        <f t="shared" si="95"/>
        <v>0</v>
      </c>
      <c r="L567" s="430">
        <f t="shared" si="96"/>
        <v>63000</v>
      </c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 spans="1:26" ht="14.4">
      <c r="A568" s="450"/>
      <c r="B568" s="451" t="s">
        <v>653</v>
      </c>
      <c r="C568" s="431">
        <v>3</v>
      </c>
      <c r="D568" s="321"/>
      <c r="E568" s="321"/>
      <c r="F568" s="429">
        <f t="shared" si="93"/>
        <v>3</v>
      </c>
      <c r="G568" s="203">
        <v>48000</v>
      </c>
      <c r="H568" s="203">
        <v>55000</v>
      </c>
      <c r="I568" s="204"/>
      <c r="J568" s="205">
        <f t="shared" si="94"/>
        <v>0</v>
      </c>
      <c r="K568" s="205">
        <f t="shared" si="95"/>
        <v>0</v>
      </c>
      <c r="L568" s="430">
        <f t="shared" si="96"/>
        <v>144000</v>
      </c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 spans="1:26" ht="14.4">
      <c r="A569" s="450"/>
      <c r="B569" s="451" t="s">
        <v>654</v>
      </c>
      <c r="C569" s="431">
        <v>3</v>
      </c>
      <c r="D569" s="321"/>
      <c r="E569" s="321"/>
      <c r="F569" s="429">
        <f t="shared" si="93"/>
        <v>3</v>
      </c>
      <c r="G569" s="203">
        <v>46750</v>
      </c>
      <c r="H569" s="203">
        <v>50000</v>
      </c>
      <c r="I569" s="204"/>
      <c r="J569" s="205">
        <f t="shared" si="94"/>
        <v>0</v>
      </c>
      <c r="K569" s="205">
        <f t="shared" si="95"/>
        <v>0</v>
      </c>
      <c r="L569" s="430">
        <f t="shared" si="96"/>
        <v>140250</v>
      </c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 spans="1:26" ht="14.4">
      <c r="A570" s="450"/>
      <c r="B570" s="451" t="s">
        <v>655</v>
      </c>
      <c r="C570" s="431"/>
      <c r="D570" s="321"/>
      <c r="E570" s="321"/>
      <c r="F570" s="429">
        <f t="shared" si="93"/>
        <v>0</v>
      </c>
      <c r="G570" s="203">
        <v>25250</v>
      </c>
      <c r="H570" s="203">
        <v>27000</v>
      </c>
      <c r="I570" s="204"/>
      <c r="J570" s="205">
        <f t="shared" si="94"/>
        <v>0</v>
      </c>
      <c r="K570" s="205">
        <f t="shared" si="95"/>
        <v>0</v>
      </c>
      <c r="L570" s="430">
        <f t="shared" si="96"/>
        <v>0</v>
      </c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 spans="1:26" ht="14.4">
      <c r="A571" s="450"/>
      <c r="B571" s="451" t="s">
        <v>656</v>
      </c>
      <c r="C571" s="431">
        <v>6</v>
      </c>
      <c r="D571" s="321"/>
      <c r="E571" s="321"/>
      <c r="F571" s="429">
        <f t="shared" si="93"/>
        <v>6</v>
      </c>
      <c r="G571" s="210">
        <v>38000</v>
      </c>
      <c r="H571" s="210">
        <v>40000</v>
      </c>
      <c r="I571" s="445"/>
      <c r="J571" s="205">
        <f t="shared" si="94"/>
        <v>0</v>
      </c>
      <c r="K571" s="205">
        <f t="shared" si="95"/>
        <v>0</v>
      </c>
      <c r="L571" s="430">
        <f t="shared" si="96"/>
        <v>228000</v>
      </c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 spans="1:26" ht="14.4">
      <c r="A572" s="450"/>
      <c r="B572" s="453" t="s">
        <v>681</v>
      </c>
      <c r="C572" s="431">
        <v>9</v>
      </c>
      <c r="D572" s="321"/>
      <c r="E572" s="321"/>
      <c r="F572" s="429">
        <f t="shared" si="93"/>
        <v>9</v>
      </c>
      <c r="G572" s="210">
        <v>13500</v>
      </c>
      <c r="H572" s="210">
        <v>15000</v>
      </c>
      <c r="I572" s="445"/>
      <c r="J572" s="205">
        <f t="shared" si="94"/>
        <v>0</v>
      </c>
      <c r="K572" s="205">
        <f t="shared" si="95"/>
        <v>0</v>
      </c>
      <c r="L572" s="430">
        <f t="shared" si="96"/>
        <v>121500</v>
      </c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 spans="1:26" ht="14.4">
      <c r="A573" s="450"/>
      <c r="B573" s="453" t="s">
        <v>682</v>
      </c>
      <c r="C573" s="431">
        <v>1</v>
      </c>
      <c r="D573" s="321"/>
      <c r="E573" s="321"/>
      <c r="F573" s="429">
        <f t="shared" si="93"/>
        <v>1</v>
      </c>
      <c r="G573" s="239"/>
      <c r="H573" s="239"/>
      <c r="I573" s="468"/>
      <c r="J573" s="205"/>
      <c r="K573" s="205"/>
      <c r="L573" s="430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 spans="1:26" ht="14.4">
      <c r="A574" s="450"/>
      <c r="B574" s="454" t="s">
        <v>658</v>
      </c>
      <c r="C574" s="431">
        <v>2</v>
      </c>
      <c r="D574" s="321"/>
      <c r="E574" s="321"/>
      <c r="F574" s="429">
        <f t="shared" si="93"/>
        <v>2</v>
      </c>
      <c r="G574" s="298">
        <v>38000</v>
      </c>
      <c r="H574" s="298">
        <v>40000</v>
      </c>
      <c r="I574" s="213"/>
      <c r="J574" s="205">
        <f>+I574*H574</f>
        <v>0</v>
      </c>
      <c r="K574" s="205">
        <f>+(H574-G574)*I574</f>
        <v>0</v>
      </c>
      <c r="L574" s="430">
        <f>+G574*F574</f>
        <v>76000</v>
      </c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 spans="1:26" ht="14.4">
      <c r="A575" s="455"/>
      <c r="B575" s="456"/>
      <c r="C575" s="457">
        <f t="shared" ref="C575:F575" si="97">+SUM(C466:C574)</f>
        <v>315</v>
      </c>
      <c r="D575" s="458">
        <f t="shared" si="97"/>
        <v>0</v>
      </c>
      <c r="E575" s="458">
        <f t="shared" si="97"/>
        <v>0</v>
      </c>
      <c r="F575" s="458">
        <f t="shared" si="97"/>
        <v>315</v>
      </c>
      <c r="G575" s="459">
        <f t="shared" ref="G575:L575" si="98">SUM(G466:G574)</f>
        <v>3762664.25</v>
      </c>
      <c r="H575" s="459">
        <f t="shared" si="98"/>
        <v>4106300</v>
      </c>
      <c r="I575" s="460">
        <f t="shared" si="98"/>
        <v>0</v>
      </c>
      <c r="J575" s="459">
        <f t="shared" si="98"/>
        <v>0</v>
      </c>
      <c r="K575" s="459">
        <f t="shared" si="98"/>
        <v>0</v>
      </c>
      <c r="L575" s="459">
        <f t="shared" si="98"/>
        <v>9280414.75</v>
      </c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 spans="1:26" ht="14.4">
      <c r="A576" s="191"/>
      <c r="B576" s="191"/>
      <c r="C576" s="439">
        <v>515</v>
      </c>
      <c r="D576" s="439">
        <f t="shared" ref="D576:L576" si="99">D575+D465+D436+D423</f>
        <v>0</v>
      </c>
      <c r="E576" s="439">
        <f t="shared" si="99"/>
        <v>0</v>
      </c>
      <c r="F576" s="439">
        <f t="shared" si="99"/>
        <v>646</v>
      </c>
      <c r="G576" s="461">
        <f t="shared" si="99"/>
        <v>12846446.25</v>
      </c>
      <c r="H576" s="461">
        <f t="shared" si="99"/>
        <v>13450400</v>
      </c>
      <c r="I576" s="462">
        <f t="shared" si="99"/>
        <v>0</v>
      </c>
      <c r="J576" s="439">
        <f t="shared" si="99"/>
        <v>0</v>
      </c>
      <c r="K576" s="439">
        <f t="shared" si="99"/>
        <v>0</v>
      </c>
      <c r="L576" s="439">
        <f t="shared" si="99"/>
        <v>31473546.75</v>
      </c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 spans="1:26" ht="14.4">
      <c r="A577" s="191"/>
      <c r="B577" s="191"/>
      <c r="C577" s="191"/>
      <c r="D577" s="191"/>
      <c r="E577" s="191"/>
      <c r="F577" s="191"/>
      <c r="G577" s="386"/>
      <c r="H577" s="386"/>
      <c r="I577" s="463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 spans="1:26" ht="14.4">
      <c r="A578" s="191"/>
      <c r="B578" s="191"/>
      <c r="C578" s="191"/>
      <c r="D578" s="191"/>
      <c r="E578" s="191"/>
      <c r="F578" s="191"/>
      <c r="G578" s="386"/>
      <c r="H578" s="386"/>
      <c r="I578" s="463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 spans="1:26" ht="14.4">
      <c r="A579" s="191"/>
      <c r="B579" s="191"/>
      <c r="C579" s="191"/>
      <c r="D579" s="191"/>
      <c r="E579" s="191"/>
      <c r="F579" s="191"/>
      <c r="G579" s="386"/>
      <c r="H579" s="386"/>
      <c r="I579" s="463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 spans="1:26" ht="14.4">
      <c r="A580" s="191"/>
      <c r="B580" s="191"/>
      <c r="C580" s="191"/>
      <c r="D580" s="191"/>
      <c r="E580" s="191"/>
      <c r="F580" s="191"/>
      <c r="G580" s="386"/>
      <c r="H580" s="386"/>
      <c r="I580" s="463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 spans="1:26" ht="14.4">
      <c r="A581" s="191"/>
      <c r="B581" s="191"/>
      <c r="C581" s="191"/>
      <c r="D581" s="191"/>
      <c r="E581" s="191"/>
      <c r="F581" s="191"/>
      <c r="G581" s="386"/>
      <c r="H581" s="386"/>
      <c r="I581" s="463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 spans="1:26" ht="14.4">
      <c r="A582" s="191"/>
      <c r="B582" s="191"/>
      <c r="C582" s="191"/>
      <c r="D582" s="191"/>
      <c r="E582" s="191"/>
      <c r="F582" s="191"/>
      <c r="G582" s="386"/>
      <c r="H582" s="386"/>
      <c r="I582" s="463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 spans="1:26" ht="14.4">
      <c r="A583" s="191"/>
      <c r="B583" s="191"/>
      <c r="C583" s="191"/>
      <c r="D583" s="191"/>
      <c r="E583" s="191"/>
      <c r="F583" s="191"/>
      <c r="G583" s="386"/>
      <c r="H583" s="386"/>
      <c r="I583" s="463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 spans="1:26" ht="14.4">
      <c r="A584" s="191"/>
      <c r="B584" s="191"/>
      <c r="C584" s="191"/>
      <c r="D584" s="191"/>
      <c r="E584" s="191"/>
      <c r="F584" s="191"/>
      <c r="G584" s="386"/>
      <c r="H584" s="386"/>
      <c r="I584" s="46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 spans="1:26" ht="14.4">
      <c r="A585" s="191"/>
      <c r="B585" s="191"/>
      <c r="C585" s="191"/>
      <c r="D585" s="191"/>
      <c r="E585" s="191"/>
      <c r="F585" s="191"/>
      <c r="G585" s="386"/>
      <c r="H585" s="386"/>
      <c r="I585" s="46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 spans="1:26" ht="14.4">
      <c r="A586" s="191"/>
      <c r="B586" s="191"/>
      <c r="C586" s="191"/>
      <c r="D586" s="191"/>
      <c r="E586" s="191"/>
      <c r="F586" s="191"/>
      <c r="G586" s="386"/>
      <c r="H586" s="386"/>
      <c r="I586" s="46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 spans="1:26" ht="14.4">
      <c r="A587" s="191"/>
      <c r="B587" s="191"/>
      <c r="C587" s="191"/>
      <c r="D587" s="191"/>
      <c r="E587" s="191"/>
      <c r="F587" s="191"/>
      <c r="G587" s="386"/>
      <c r="H587" s="386"/>
      <c r="I587" s="46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 spans="1:26" ht="14.4">
      <c r="A588" s="191"/>
      <c r="B588" s="191"/>
      <c r="C588" s="191"/>
      <c r="D588" s="191"/>
      <c r="E588" s="191"/>
      <c r="F588" s="191"/>
      <c r="G588" s="386"/>
      <c r="H588" s="386"/>
      <c r="I588" s="46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 spans="1:26" ht="14.4">
      <c r="A589" s="191"/>
      <c r="B589" s="191"/>
      <c r="C589" s="191"/>
      <c r="D589" s="191"/>
      <c r="E589" s="191"/>
      <c r="F589" s="191"/>
      <c r="G589" s="386"/>
      <c r="H589" s="386"/>
      <c r="I589" s="46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 spans="1:26" ht="14.4">
      <c r="A590" s="191"/>
      <c r="B590" s="191"/>
      <c r="C590" s="191"/>
      <c r="D590" s="191"/>
      <c r="E590" s="191"/>
      <c r="F590" s="191"/>
      <c r="G590" s="386"/>
      <c r="H590" s="386"/>
      <c r="I590" s="46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 spans="1:26" ht="14.4">
      <c r="A591" s="191"/>
      <c r="B591" s="191"/>
      <c r="C591" s="191"/>
      <c r="D591" s="191"/>
      <c r="E591" s="191"/>
      <c r="F591" s="191"/>
      <c r="G591" s="386"/>
      <c r="H591" s="386"/>
      <c r="I591" s="46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 spans="1:26" ht="14.4">
      <c r="A592" s="191"/>
      <c r="B592" s="191"/>
      <c r="C592" s="191"/>
      <c r="D592" s="191"/>
      <c r="E592" s="191"/>
      <c r="F592" s="191"/>
      <c r="G592" s="386"/>
      <c r="H592" s="386"/>
      <c r="I592" s="46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 spans="1:26" ht="14.4">
      <c r="A593" s="191"/>
      <c r="B593" s="191"/>
      <c r="C593" s="191"/>
      <c r="D593" s="191"/>
      <c r="E593" s="191"/>
      <c r="F593" s="191"/>
      <c r="G593" s="386"/>
      <c r="H593" s="386"/>
      <c r="I593" s="46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 spans="1:26" ht="14.4">
      <c r="A594" s="191"/>
      <c r="B594" s="191"/>
      <c r="C594" s="191"/>
      <c r="D594" s="191"/>
      <c r="E594" s="191"/>
      <c r="F594" s="191"/>
      <c r="G594" s="386"/>
      <c r="H594" s="386"/>
      <c r="I594" s="46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 spans="1:26" ht="14.4">
      <c r="A595" s="191"/>
      <c r="B595" s="191"/>
      <c r="C595" s="191"/>
      <c r="D595" s="191"/>
      <c r="E595" s="191"/>
      <c r="F595" s="191"/>
      <c r="G595" s="386"/>
      <c r="H595" s="386"/>
      <c r="I595" s="46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 spans="1:26" ht="14.4">
      <c r="A596" s="191"/>
      <c r="B596" s="191"/>
      <c r="C596" s="191"/>
      <c r="D596" s="191"/>
      <c r="E596" s="191"/>
      <c r="F596" s="191"/>
      <c r="G596" s="386"/>
      <c r="H596" s="386"/>
      <c r="I596" s="46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 spans="1:26" ht="14.4">
      <c r="A597" s="191"/>
      <c r="B597" s="191"/>
      <c r="C597" s="191"/>
      <c r="D597" s="191"/>
      <c r="E597" s="191"/>
      <c r="F597" s="191"/>
      <c r="G597" s="386"/>
      <c r="H597" s="386"/>
      <c r="I597" s="46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 spans="1:26" ht="14.4">
      <c r="A598" s="191"/>
      <c r="B598" s="191"/>
      <c r="C598" s="191"/>
      <c r="D598" s="191"/>
      <c r="E598" s="191"/>
      <c r="F598" s="191"/>
      <c r="G598" s="386"/>
      <c r="H598" s="386"/>
      <c r="I598" s="46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 spans="1:26" ht="14.4">
      <c r="A599" s="191"/>
      <c r="B599" s="191"/>
      <c r="C599" s="191"/>
      <c r="D599" s="191"/>
      <c r="E599" s="191"/>
      <c r="F599" s="191"/>
      <c r="G599" s="386"/>
      <c r="H599" s="386"/>
      <c r="I599" s="46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 spans="1:26" ht="14.4">
      <c r="A600" s="191"/>
      <c r="B600" s="191"/>
      <c r="C600" s="191"/>
      <c r="D600" s="191"/>
      <c r="E600" s="191"/>
      <c r="F600" s="191"/>
      <c r="G600" s="386"/>
      <c r="H600" s="386"/>
      <c r="I600" s="46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 spans="1:26" ht="14.4">
      <c r="A601" s="191"/>
      <c r="B601" s="191"/>
      <c r="C601" s="191"/>
      <c r="D601" s="191"/>
      <c r="E601" s="191"/>
      <c r="F601" s="191"/>
      <c r="G601" s="386"/>
      <c r="H601" s="386"/>
      <c r="I601" s="46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 spans="1:26" ht="14.4">
      <c r="A602" s="191"/>
      <c r="B602" s="191"/>
      <c r="C602" s="191"/>
      <c r="D602" s="191"/>
      <c r="E602" s="191"/>
      <c r="F602" s="191"/>
      <c r="G602" s="386"/>
      <c r="H602" s="386"/>
      <c r="I602" s="46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 spans="1:26" ht="14.4">
      <c r="A603" s="191"/>
      <c r="B603" s="191"/>
      <c r="C603" s="191"/>
      <c r="D603" s="191"/>
      <c r="E603" s="191"/>
      <c r="F603" s="191"/>
      <c r="G603" s="386"/>
      <c r="H603" s="386"/>
      <c r="I603" s="46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 spans="1:26" ht="14.4">
      <c r="A604" s="191"/>
      <c r="B604" s="191"/>
      <c r="C604" s="191"/>
      <c r="D604" s="191"/>
      <c r="E604" s="191"/>
      <c r="F604" s="191"/>
      <c r="G604" s="386"/>
      <c r="H604" s="386"/>
      <c r="I604" s="46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 spans="1:26" ht="14.4">
      <c r="A605" s="191"/>
      <c r="B605" s="191"/>
      <c r="C605" s="191"/>
      <c r="D605" s="191"/>
      <c r="E605" s="191"/>
      <c r="F605" s="191"/>
      <c r="G605" s="386"/>
      <c r="H605" s="386"/>
      <c r="I605" s="46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 spans="1:26" ht="14.4">
      <c r="A606" s="191"/>
      <c r="B606" s="191"/>
      <c r="C606" s="191"/>
      <c r="D606" s="191"/>
      <c r="E606" s="191"/>
      <c r="F606" s="191"/>
      <c r="G606" s="386"/>
      <c r="H606" s="386"/>
      <c r="I606" s="46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 spans="1:26" ht="14.4">
      <c r="A607" s="191"/>
      <c r="B607" s="191"/>
      <c r="C607" s="191"/>
      <c r="D607" s="191"/>
      <c r="E607" s="191"/>
      <c r="F607" s="191"/>
      <c r="G607" s="386"/>
      <c r="H607" s="386"/>
      <c r="I607" s="46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 spans="1:26" ht="14.4">
      <c r="A608" s="191"/>
      <c r="B608" s="191"/>
      <c r="C608" s="191"/>
      <c r="D608" s="191"/>
      <c r="E608" s="191"/>
      <c r="F608" s="191"/>
      <c r="G608" s="386"/>
      <c r="H608" s="386"/>
      <c r="I608" s="46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 spans="1:26" ht="14.4">
      <c r="A609" s="191"/>
      <c r="B609" s="191"/>
      <c r="C609" s="191"/>
      <c r="D609" s="191"/>
      <c r="E609" s="191"/>
      <c r="F609" s="191"/>
      <c r="G609" s="386"/>
      <c r="H609" s="386"/>
      <c r="I609" s="46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 spans="1:26" ht="14.4">
      <c r="A610" s="191"/>
      <c r="B610" s="191"/>
      <c r="C610" s="191"/>
      <c r="D610" s="191"/>
      <c r="E610" s="191"/>
      <c r="F610" s="191"/>
      <c r="G610" s="386"/>
      <c r="H610" s="386"/>
      <c r="I610" s="46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 spans="1:26" ht="14.4">
      <c r="A611" s="191"/>
      <c r="B611" s="191"/>
      <c r="C611" s="191"/>
      <c r="D611" s="191"/>
      <c r="E611" s="191"/>
      <c r="F611" s="191"/>
      <c r="G611" s="386"/>
      <c r="H611" s="386"/>
      <c r="I611" s="46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 spans="1:26" ht="14.4">
      <c r="A612" s="191"/>
      <c r="B612" s="191"/>
      <c r="C612" s="191"/>
      <c r="D612" s="191"/>
      <c r="E612" s="191"/>
      <c r="F612" s="191"/>
      <c r="G612" s="386"/>
      <c r="H612" s="386"/>
      <c r="I612" s="46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 spans="1:26" ht="14.4">
      <c r="A613" s="191"/>
      <c r="B613" s="191"/>
      <c r="C613" s="191"/>
      <c r="D613" s="191"/>
      <c r="E613" s="191"/>
      <c r="F613" s="191"/>
      <c r="G613" s="386"/>
      <c r="H613" s="386"/>
      <c r="I613" s="46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 spans="1:26" ht="14.4">
      <c r="A614" s="191"/>
      <c r="B614" s="191"/>
      <c r="C614" s="191"/>
      <c r="D614" s="191"/>
      <c r="E614" s="191"/>
      <c r="F614" s="191"/>
      <c r="G614" s="386"/>
      <c r="H614" s="386"/>
      <c r="I614" s="46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 spans="1:26" ht="14.4">
      <c r="A615" s="191"/>
      <c r="B615" s="191"/>
      <c r="C615" s="191"/>
      <c r="D615" s="191"/>
      <c r="E615" s="191"/>
      <c r="F615" s="191"/>
      <c r="G615" s="386"/>
      <c r="H615" s="386"/>
      <c r="I615" s="46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spans="1:26" ht="14.4">
      <c r="A616" s="191"/>
      <c r="B616" s="191"/>
      <c r="C616" s="191"/>
      <c r="D616" s="191"/>
      <c r="E616" s="191"/>
      <c r="F616" s="191"/>
      <c r="G616" s="386"/>
      <c r="H616" s="386"/>
      <c r="I616" s="46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spans="1:26" ht="14.4">
      <c r="A617" s="191"/>
      <c r="B617" s="191"/>
      <c r="C617" s="191"/>
      <c r="D617" s="191"/>
      <c r="E617" s="191"/>
      <c r="F617" s="191"/>
      <c r="G617" s="386"/>
      <c r="H617" s="386"/>
      <c r="I617" s="46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spans="1:26" ht="14.4">
      <c r="A618" s="191"/>
      <c r="B618" s="191"/>
      <c r="C618" s="191"/>
      <c r="D618" s="191"/>
      <c r="E618" s="191"/>
      <c r="F618" s="191"/>
      <c r="G618" s="386"/>
      <c r="H618" s="386"/>
      <c r="I618" s="46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spans="1:26" ht="14.4">
      <c r="A619" s="191"/>
      <c r="B619" s="191"/>
      <c r="C619" s="191"/>
      <c r="D619" s="191"/>
      <c r="E619" s="191"/>
      <c r="F619" s="191"/>
      <c r="G619" s="386"/>
      <c r="H619" s="386"/>
      <c r="I619" s="46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spans="1:26" ht="14.4">
      <c r="A620" s="191"/>
      <c r="B620" s="191"/>
      <c r="C620" s="191"/>
      <c r="D620" s="191"/>
      <c r="E620" s="191"/>
      <c r="F620" s="191"/>
      <c r="G620" s="386"/>
      <c r="H620" s="386"/>
      <c r="I620" s="46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spans="1:26" ht="14.4">
      <c r="A621" s="191"/>
      <c r="B621" s="191"/>
      <c r="C621" s="191"/>
      <c r="D621" s="191"/>
      <c r="E621" s="191"/>
      <c r="F621" s="191"/>
      <c r="G621" s="386"/>
      <c r="H621" s="386"/>
      <c r="I621" s="46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spans="1:26" ht="14.4">
      <c r="A622" s="191"/>
      <c r="B622" s="191"/>
      <c r="C622" s="191"/>
      <c r="D622" s="191"/>
      <c r="E622" s="191"/>
      <c r="F622" s="191"/>
      <c r="G622" s="386"/>
      <c r="H622" s="386"/>
      <c r="I622" s="46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spans="1:26" ht="14.4">
      <c r="A623" s="191"/>
      <c r="B623" s="191"/>
      <c r="C623" s="191"/>
      <c r="D623" s="191"/>
      <c r="E623" s="191"/>
      <c r="F623" s="191"/>
      <c r="G623" s="386"/>
      <c r="H623" s="386"/>
      <c r="I623" s="46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spans="1:26" ht="14.4">
      <c r="A624" s="191"/>
      <c r="B624" s="191"/>
      <c r="C624" s="191"/>
      <c r="D624" s="191"/>
      <c r="E624" s="191"/>
      <c r="F624" s="191"/>
      <c r="G624" s="386"/>
      <c r="H624" s="386"/>
      <c r="I624" s="46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spans="1:26" ht="14.4">
      <c r="A625" s="191"/>
      <c r="B625" s="191"/>
      <c r="C625" s="191"/>
      <c r="D625" s="191"/>
      <c r="E625" s="191"/>
      <c r="F625" s="191"/>
      <c r="G625" s="386"/>
      <c r="H625" s="386"/>
      <c r="I625" s="46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spans="1:26" ht="14.4">
      <c r="A626" s="191"/>
      <c r="B626" s="191"/>
      <c r="C626" s="191"/>
      <c r="D626" s="191"/>
      <c r="E626" s="191"/>
      <c r="F626" s="191"/>
      <c r="G626" s="386"/>
      <c r="H626" s="386"/>
      <c r="I626" s="46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spans="1:26" ht="14.4">
      <c r="A627" s="191"/>
      <c r="B627" s="191"/>
      <c r="C627" s="191"/>
      <c r="D627" s="191"/>
      <c r="E627" s="191"/>
      <c r="F627" s="191"/>
      <c r="G627" s="386"/>
      <c r="H627" s="386"/>
      <c r="I627" s="46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spans="1:26" ht="14.4">
      <c r="A628" s="191"/>
      <c r="B628" s="191"/>
      <c r="C628" s="191"/>
      <c r="D628" s="191"/>
      <c r="E628" s="191"/>
      <c r="F628" s="191"/>
      <c r="G628" s="386"/>
      <c r="H628" s="386"/>
      <c r="I628" s="46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spans="1:26" ht="14.4">
      <c r="A629" s="191"/>
      <c r="B629" s="191"/>
      <c r="C629" s="191"/>
      <c r="D629" s="191"/>
      <c r="E629" s="191"/>
      <c r="F629" s="191"/>
      <c r="G629" s="386"/>
      <c r="H629" s="386"/>
      <c r="I629" s="46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spans="1:26" ht="14.4">
      <c r="A630" s="191"/>
      <c r="B630" s="191"/>
      <c r="C630" s="191"/>
      <c r="D630" s="191"/>
      <c r="E630" s="191"/>
      <c r="F630" s="191"/>
      <c r="G630" s="386"/>
      <c r="H630" s="386"/>
      <c r="I630" s="46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 spans="1:26" ht="14.4">
      <c r="A631" s="191"/>
      <c r="B631" s="191"/>
      <c r="C631" s="191"/>
      <c r="D631" s="191"/>
      <c r="E631" s="191"/>
      <c r="F631" s="191"/>
      <c r="G631" s="386"/>
      <c r="H631" s="386"/>
      <c r="I631" s="46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 spans="1:26" ht="14.4">
      <c r="A632" s="191"/>
      <c r="B632" s="191"/>
      <c r="C632" s="191"/>
      <c r="D632" s="191"/>
      <c r="E632" s="191"/>
      <c r="F632" s="191"/>
      <c r="G632" s="386"/>
      <c r="H632" s="386"/>
      <c r="I632" s="46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 spans="1:26" ht="14.4">
      <c r="A633" s="191"/>
      <c r="B633" s="191"/>
      <c r="C633" s="191"/>
      <c r="D633" s="191"/>
      <c r="E633" s="191"/>
      <c r="F633" s="191"/>
      <c r="G633" s="386"/>
      <c r="H633" s="386"/>
      <c r="I633" s="46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 spans="1:26" ht="14.4">
      <c r="A634" s="191"/>
      <c r="B634" s="191"/>
      <c r="C634" s="191"/>
      <c r="D634" s="191"/>
      <c r="E634" s="191"/>
      <c r="F634" s="191"/>
      <c r="G634" s="386"/>
      <c r="H634" s="386"/>
      <c r="I634" s="46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 spans="1:26" ht="14.4">
      <c r="A635" s="191"/>
      <c r="B635" s="191"/>
      <c r="C635" s="191"/>
      <c r="D635" s="191"/>
      <c r="E635" s="191"/>
      <c r="F635" s="191"/>
      <c r="G635" s="386"/>
      <c r="H635" s="386"/>
      <c r="I635" s="46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 spans="1:26" ht="14.4">
      <c r="A636" s="191"/>
      <c r="B636" s="191"/>
      <c r="C636" s="191"/>
      <c r="D636" s="191"/>
      <c r="E636" s="191"/>
      <c r="F636" s="191"/>
      <c r="G636" s="386"/>
      <c r="H636" s="386"/>
      <c r="I636" s="46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 spans="1:26" ht="14.4">
      <c r="A637" s="191"/>
      <c r="B637" s="191"/>
      <c r="C637" s="191"/>
      <c r="D637" s="191"/>
      <c r="E637" s="191"/>
      <c r="F637" s="191"/>
      <c r="G637" s="386"/>
      <c r="H637" s="386"/>
      <c r="I637" s="46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 spans="1:26" ht="14.4">
      <c r="A638" s="191"/>
      <c r="B638" s="191"/>
      <c r="C638" s="191"/>
      <c r="D638" s="191"/>
      <c r="E638" s="191"/>
      <c r="F638" s="191"/>
      <c r="G638" s="386"/>
      <c r="H638" s="386"/>
      <c r="I638" s="46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 spans="1:26" ht="14.4">
      <c r="A639" s="191"/>
      <c r="B639" s="191"/>
      <c r="C639" s="191"/>
      <c r="D639" s="191"/>
      <c r="E639" s="191"/>
      <c r="F639" s="191"/>
      <c r="G639" s="386"/>
      <c r="H639" s="386"/>
      <c r="I639" s="46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 spans="1:26" ht="14.4">
      <c r="A640" s="191"/>
      <c r="B640" s="191"/>
      <c r="C640" s="191"/>
      <c r="D640" s="191"/>
      <c r="E640" s="191"/>
      <c r="F640" s="191"/>
      <c r="G640" s="386"/>
      <c r="H640" s="386"/>
      <c r="I640" s="46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 spans="1:26" ht="14.4">
      <c r="A641" s="191"/>
      <c r="B641" s="191"/>
      <c r="C641" s="191"/>
      <c r="D641" s="191"/>
      <c r="E641" s="191"/>
      <c r="F641" s="191"/>
      <c r="G641" s="386"/>
      <c r="H641" s="386"/>
      <c r="I641" s="46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 spans="1:26" ht="14.4">
      <c r="A642" s="191"/>
      <c r="B642" s="191"/>
      <c r="C642" s="191"/>
      <c r="D642" s="191"/>
      <c r="E642" s="191"/>
      <c r="F642" s="191"/>
      <c r="G642" s="386"/>
      <c r="H642" s="386"/>
      <c r="I642" s="46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 spans="1:26" ht="14.4">
      <c r="A643" s="191"/>
      <c r="B643" s="191"/>
      <c r="C643" s="191"/>
      <c r="D643" s="191"/>
      <c r="E643" s="191"/>
      <c r="F643" s="191"/>
      <c r="G643" s="386"/>
      <c r="H643" s="386"/>
      <c r="I643" s="46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 spans="1:26" ht="14.4">
      <c r="A644" s="191"/>
      <c r="B644" s="191"/>
      <c r="C644" s="191"/>
      <c r="D644" s="191"/>
      <c r="E644" s="191"/>
      <c r="F644" s="191"/>
      <c r="G644" s="386"/>
      <c r="H644" s="386"/>
      <c r="I644" s="46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 spans="1:26" ht="14.4">
      <c r="A645" s="191"/>
      <c r="B645" s="191"/>
      <c r="C645" s="191"/>
      <c r="D645" s="191"/>
      <c r="E645" s="191"/>
      <c r="F645" s="191"/>
      <c r="G645" s="386"/>
      <c r="H645" s="386"/>
      <c r="I645" s="46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 spans="1:26" ht="14.4">
      <c r="A646" s="191"/>
      <c r="B646" s="191"/>
      <c r="C646" s="191"/>
      <c r="D646" s="191"/>
      <c r="E646" s="191"/>
      <c r="F646" s="191"/>
      <c r="G646" s="386"/>
      <c r="H646" s="386"/>
      <c r="I646" s="46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 spans="1:26" ht="14.4">
      <c r="A647" s="191"/>
      <c r="B647" s="191"/>
      <c r="C647" s="191"/>
      <c r="D647" s="191"/>
      <c r="E647" s="191"/>
      <c r="F647" s="191"/>
      <c r="G647" s="386"/>
      <c r="H647" s="386"/>
      <c r="I647" s="46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 spans="1:26" ht="14.4">
      <c r="A648" s="191"/>
      <c r="B648" s="191"/>
      <c r="C648" s="191"/>
      <c r="D648" s="191"/>
      <c r="E648" s="191"/>
      <c r="F648" s="191"/>
      <c r="G648" s="386"/>
      <c r="H648" s="386"/>
      <c r="I648" s="46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 spans="1:26" ht="14.4">
      <c r="A649" s="191"/>
      <c r="B649" s="191"/>
      <c r="C649" s="191"/>
      <c r="D649" s="191"/>
      <c r="E649" s="191"/>
      <c r="F649" s="191"/>
      <c r="G649" s="386"/>
      <c r="H649" s="386"/>
      <c r="I649" s="46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 spans="1:26" ht="14.4">
      <c r="A650" s="191"/>
      <c r="B650" s="191"/>
      <c r="C650" s="191"/>
      <c r="D650" s="191"/>
      <c r="E650" s="191"/>
      <c r="F650" s="191"/>
      <c r="G650" s="386"/>
      <c r="H650" s="386"/>
      <c r="I650" s="46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 spans="1:26" ht="14.4">
      <c r="A651" s="191"/>
      <c r="B651" s="191"/>
      <c r="C651" s="191"/>
      <c r="D651" s="191"/>
      <c r="E651" s="191"/>
      <c r="F651" s="191"/>
      <c r="G651" s="386"/>
      <c r="H651" s="386"/>
      <c r="I651" s="46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 spans="1:26" ht="14.4">
      <c r="A652" s="191"/>
      <c r="B652" s="191"/>
      <c r="C652" s="191"/>
      <c r="D652" s="191"/>
      <c r="E652" s="191"/>
      <c r="F652" s="191"/>
      <c r="G652" s="386"/>
      <c r="H652" s="386"/>
      <c r="I652" s="46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 spans="1:26" ht="14.4">
      <c r="A653" s="191"/>
      <c r="B653" s="191"/>
      <c r="C653" s="191"/>
      <c r="D653" s="191"/>
      <c r="E653" s="191"/>
      <c r="F653" s="191"/>
      <c r="G653" s="386"/>
      <c r="H653" s="386"/>
      <c r="I653" s="46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 spans="1:26" ht="14.4">
      <c r="A654" s="191"/>
      <c r="B654" s="191"/>
      <c r="C654" s="191"/>
      <c r="D654" s="191"/>
      <c r="E654" s="191"/>
      <c r="F654" s="191"/>
      <c r="G654" s="386"/>
      <c r="H654" s="386"/>
      <c r="I654" s="46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 spans="1:26" ht="14.4">
      <c r="A655" s="191"/>
      <c r="B655" s="191"/>
      <c r="C655" s="191"/>
      <c r="D655" s="191"/>
      <c r="E655" s="191"/>
      <c r="F655" s="191"/>
      <c r="G655" s="386"/>
      <c r="H655" s="386"/>
      <c r="I655" s="46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 spans="1:26" ht="14.4">
      <c r="A656" s="191"/>
      <c r="B656" s="191"/>
      <c r="C656" s="191"/>
      <c r="D656" s="191"/>
      <c r="E656" s="191"/>
      <c r="F656" s="191"/>
      <c r="G656" s="386"/>
      <c r="H656" s="386"/>
      <c r="I656" s="46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 spans="1:26" ht="14.4">
      <c r="A657" s="191"/>
      <c r="B657" s="191"/>
      <c r="C657" s="191"/>
      <c r="D657" s="191"/>
      <c r="E657" s="191"/>
      <c r="F657" s="191"/>
      <c r="G657" s="386"/>
      <c r="H657" s="386"/>
      <c r="I657" s="46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 spans="1:26" ht="14.4">
      <c r="A658" s="191"/>
      <c r="B658" s="191"/>
      <c r="C658" s="191"/>
      <c r="D658" s="191"/>
      <c r="E658" s="191"/>
      <c r="F658" s="191"/>
      <c r="G658" s="386"/>
      <c r="H658" s="386"/>
      <c r="I658" s="46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 spans="1:26" ht="14.4">
      <c r="A659" s="191"/>
      <c r="B659" s="191"/>
      <c r="C659" s="191"/>
      <c r="D659" s="191"/>
      <c r="E659" s="191"/>
      <c r="F659" s="191"/>
      <c r="G659" s="386"/>
      <c r="H659" s="386"/>
      <c r="I659" s="46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 spans="1:26" ht="14.4">
      <c r="A660" s="191"/>
      <c r="B660" s="191"/>
      <c r="C660" s="191"/>
      <c r="D660" s="191"/>
      <c r="E660" s="191"/>
      <c r="F660" s="191"/>
      <c r="G660" s="386"/>
      <c r="H660" s="386"/>
      <c r="I660" s="46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 spans="1:26" ht="14.4">
      <c r="A661" s="191"/>
      <c r="B661" s="191"/>
      <c r="C661" s="191"/>
      <c r="D661" s="191"/>
      <c r="E661" s="191"/>
      <c r="F661" s="191"/>
      <c r="G661" s="386"/>
      <c r="H661" s="386"/>
      <c r="I661" s="46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 spans="1:26" ht="14.4">
      <c r="A662" s="191"/>
      <c r="B662" s="191"/>
      <c r="C662" s="191"/>
      <c r="D662" s="191"/>
      <c r="E662" s="191"/>
      <c r="F662" s="191"/>
      <c r="G662" s="386"/>
      <c r="H662" s="386"/>
      <c r="I662" s="46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 spans="1:26" ht="14.4">
      <c r="A663" s="191"/>
      <c r="B663" s="191"/>
      <c r="C663" s="191"/>
      <c r="D663" s="191"/>
      <c r="E663" s="191"/>
      <c r="F663" s="191"/>
      <c r="G663" s="386"/>
      <c r="H663" s="386"/>
      <c r="I663" s="46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 spans="1:26" ht="14.4">
      <c r="A664" s="191"/>
      <c r="B664" s="191"/>
      <c r="C664" s="191"/>
      <c r="D664" s="191"/>
      <c r="E664" s="191"/>
      <c r="F664" s="191"/>
      <c r="G664" s="386"/>
      <c r="H664" s="386"/>
      <c r="I664" s="46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 spans="1:26" ht="14.4">
      <c r="A665" s="191"/>
      <c r="B665" s="191"/>
      <c r="C665" s="191"/>
      <c r="D665" s="191"/>
      <c r="E665" s="191"/>
      <c r="F665" s="191"/>
      <c r="G665" s="386"/>
      <c r="H665" s="386"/>
      <c r="I665" s="46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 spans="1:26" ht="14.4">
      <c r="A666" s="191"/>
      <c r="B666" s="191"/>
      <c r="C666" s="191"/>
      <c r="D666" s="191"/>
      <c r="E666" s="191"/>
      <c r="F666" s="191"/>
      <c r="G666" s="386"/>
      <c r="H666" s="386"/>
      <c r="I666" s="46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 spans="1:26" ht="14.4">
      <c r="A667" s="191"/>
      <c r="B667" s="191"/>
      <c r="C667" s="191"/>
      <c r="D667" s="191"/>
      <c r="E667" s="191"/>
      <c r="F667" s="191"/>
      <c r="G667" s="386"/>
      <c r="H667" s="386"/>
      <c r="I667" s="46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 spans="1:26" ht="14.4">
      <c r="A668" s="191"/>
      <c r="B668" s="191"/>
      <c r="C668" s="191"/>
      <c r="D668" s="191"/>
      <c r="E668" s="191"/>
      <c r="F668" s="191"/>
      <c r="G668" s="386"/>
      <c r="H668" s="386"/>
      <c r="I668" s="46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 spans="1:26" ht="14.4">
      <c r="A669" s="191"/>
      <c r="B669" s="191"/>
      <c r="C669" s="191"/>
      <c r="D669" s="191"/>
      <c r="E669" s="191"/>
      <c r="F669" s="191"/>
      <c r="G669" s="386"/>
      <c r="H669" s="386"/>
      <c r="I669" s="46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 spans="1:26" ht="14.4">
      <c r="A670" s="191"/>
      <c r="B670" s="191"/>
      <c r="C670" s="191"/>
      <c r="D670" s="191"/>
      <c r="E670" s="191"/>
      <c r="F670" s="191"/>
      <c r="G670" s="386"/>
      <c r="H670" s="386"/>
      <c r="I670" s="46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 spans="1:26" ht="14.4">
      <c r="A671" s="191"/>
      <c r="B671" s="191"/>
      <c r="C671" s="191"/>
      <c r="D671" s="191"/>
      <c r="E671" s="191"/>
      <c r="F671" s="191"/>
      <c r="G671" s="386"/>
      <c r="H671" s="386"/>
      <c r="I671" s="46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 spans="1:26" ht="14.4">
      <c r="A672" s="191"/>
      <c r="B672" s="191"/>
      <c r="C672" s="191"/>
      <c r="D672" s="191"/>
      <c r="E672" s="191"/>
      <c r="F672" s="191"/>
      <c r="G672" s="386"/>
      <c r="H672" s="386"/>
      <c r="I672" s="46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 spans="1:26" ht="14.4">
      <c r="A673" s="191"/>
      <c r="B673" s="191"/>
      <c r="C673" s="191"/>
      <c r="D673" s="191"/>
      <c r="E673" s="191"/>
      <c r="F673" s="191"/>
      <c r="G673" s="386"/>
      <c r="H673" s="386"/>
      <c r="I673" s="46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 spans="1:26" ht="14.4">
      <c r="A674" s="191"/>
      <c r="B674" s="191"/>
      <c r="C674" s="191"/>
      <c r="D674" s="191"/>
      <c r="E674" s="191"/>
      <c r="F674" s="191"/>
      <c r="G674" s="386"/>
      <c r="H674" s="386"/>
      <c r="I674" s="46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 spans="1:26" ht="14.4">
      <c r="A675" s="191"/>
      <c r="B675" s="191"/>
      <c r="C675" s="191"/>
      <c r="D675" s="191"/>
      <c r="E675" s="191"/>
      <c r="F675" s="191"/>
      <c r="G675" s="386"/>
      <c r="H675" s="386"/>
      <c r="I675" s="46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 spans="1:26" ht="14.4">
      <c r="A676" s="191"/>
      <c r="B676" s="191"/>
      <c r="C676" s="191"/>
      <c r="D676" s="191"/>
      <c r="E676" s="191"/>
      <c r="F676" s="191"/>
      <c r="G676" s="386"/>
      <c r="H676" s="386"/>
      <c r="I676" s="46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 spans="1:26" ht="14.4">
      <c r="A677" s="191"/>
      <c r="B677" s="191"/>
      <c r="C677" s="191"/>
      <c r="D677" s="191"/>
      <c r="E677" s="191"/>
      <c r="F677" s="191"/>
      <c r="G677" s="386"/>
      <c r="H677" s="386"/>
      <c r="I677" s="46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 spans="1:26" ht="14.4">
      <c r="A678" s="191"/>
      <c r="B678" s="191"/>
      <c r="C678" s="191"/>
      <c r="D678" s="191"/>
      <c r="E678" s="191"/>
      <c r="F678" s="191"/>
      <c r="G678" s="386"/>
      <c r="H678" s="386"/>
      <c r="I678" s="46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 spans="1:26" ht="14.4">
      <c r="A679" s="191"/>
      <c r="B679" s="191"/>
      <c r="C679" s="191"/>
      <c r="D679" s="191"/>
      <c r="E679" s="191"/>
      <c r="F679" s="191"/>
      <c r="G679" s="386"/>
      <c r="H679" s="386"/>
      <c r="I679" s="46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 spans="1:26" ht="14.4">
      <c r="A680" s="191"/>
      <c r="B680" s="191"/>
      <c r="C680" s="191"/>
      <c r="D680" s="191"/>
      <c r="E680" s="191"/>
      <c r="F680" s="191"/>
      <c r="G680" s="386"/>
      <c r="H680" s="386"/>
      <c r="I680" s="46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 spans="1:26" ht="14.4">
      <c r="A681" s="191"/>
      <c r="B681" s="191"/>
      <c r="C681" s="191"/>
      <c r="D681" s="191"/>
      <c r="E681" s="191"/>
      <c r="F681" s="191"/>
      <c r="G681" s="386"/>
      <c r="H681" s="386"/>
      <c r="I681" s="46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 spans="1:26" ht="14.4">
      <c r="A682" s="191"/>
      <c r="B682" s="191"/>
      <c r="C682" s="191"/>
      <c r="D682" s="191"/>
      <c r="E682" s="191"/>
      <c r="F682" s="191"/>
      <c r="G682" s="386"/>
      <c r="H682" s="386"/>
      <c r="I682" s="46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 spans="1:26" ht="14.4">
      <c r="A683" s="191"/>
      <c r="B683" s="191"/>
      <c r="C683" s="191"/>
      <c r="D683" s="191"/>
      <c r="E683" s="191"/>
      <c r="F683" s="191"/>
      <c r="G683" s="386"/>
      <c r="H683" s="386"/>
      <c r="I683" s="46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 spans="1:26" ht="14.4">
      <c r="A684" s="191"/>
      <c r="B684" s="191"/>
      <c r="C684" s="191"/>
      <c r="D684" s="191"/>
      <c r="E684" s="191"/>
      <c r="F684" s="191"/>
      <c r="G684" s="386"/>
      <c r="H684" s="386"/>
      <c r="I684" s="46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spans="1:26" ht="14.4">
      <c r="A685" s="191"/>
      <c r="B685" s="191"/>
      <c r="C685" s="191"/>
      <c r="D685" s="191"/>
      <c r="E685" s="191"/>
      <c r="F685" s="191"/>
      <c r="G685" s="386"/>
      <c r="H685" s="386"/>
      <c r="I685" s="46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spans="1:26" ht="14.4">
      <c r="A686" s="191"/>
      <c r="B686" s="191"/>
      <c r="C686" s="191"/>
      <c r="D686" s="191"/>
      <c r="E686" s="191"/>
      <c r="F686" s="191"/>
      <c r="G686" s="386"/>
      <c r="H686" s="386"/>
      <c r="I686" s="46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spans="1:26" ht="14.4">
      <c r="A687" s="191"/>
      <c r="B687" s="191"/>
      <c r="C687" s="191"/>
      <c r="D687" s="191"/>
      <c r="E687" s="191"/>
      <c r="F687" s="191"/>
      <c r="G687" s="386"/>
      <c r="H687" s="386"/>
      <c r="I687" s="46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spans="1:26" ht="14.4">
      <c r="A688" s="191"/>
      <c r="B688" s="191"/>
      <c r="C688" s="191"/>
      <c r="D688" s="191"/>
      <c r="E688" s="191"/>
      <c r="F688" s="191"/>
      <c r="G688" s="386"/>
      <c r="H688" s="386"/>
      <c r="I688" s="46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spans="1:26" ht="14.4">
      <c r="A689" s="191"/>
      <c r="B689" s="191"/>
      <c r="C689" s="191"/>
      <c r="D689" s="191"/>
      <c r="E689" s="191"/>
      <c r="F689" s="191"/>
      <c r="G689" s="386"/>
      <c r="H689" s="386"/>
      <c r="I689" s="46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 spans="1:26" ht="14.4">
      <c r="A690" s="191"/>
      <c r="B690" s="191"/>
      <c r="C690" s="191"/>
      <c r="D690" s="191"/>
      <c r="E690" s="191"/>
      <c r="F690" s="191"/>
      <c r="G690" s="386"/>
      <c r="H690" s="386"/>
      <c r="I690" s="46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 spans="1:26" ht="14.4">
      <c r="A691" s="191"/>
      <c r="B691" s="191"/>
      <c r="C691" s="191"/>
      <c r="D691" s="191"/>
      <c r="E691" s="191"/>
      <c r="F691" s="191"/>
      <c r="G691" s="386"/>
      <c r="H691" s="386"/>
      <c r="I691" s="46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 spans="1:26" ht="14.4">
      <c r="A692" s="191"/>
      <c r="B692" s="191"/>
      <c r="C692" s="191"/>
      <c r="D692" s="191"/>
      <c r="E692" s="191"/>
      <c r="F692" s="191"/>
      <c r="G692" s="386"/>
      <c r="H692" s="386"/>
      <c r="I692" s="46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 spans="1:26" ht="14.4">
      <c r="A693" s="191"/>
      <c r="B693" s="191"/>
      <c r="C693" s="191"/>
      <c r="D693" s="191"/>
      <c r="E693" s="191"/>
      <c r="F693" s="191"/>
      <c r="G693" s="386"/>
      <c r="H693" s="386"/>
      <c r="I693" s="46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 spans="1:26" ht="14.4">
      <c r="A694" s="191"/>
      <c r="B694" s="191"/>
      <c r="C694" s="191"/>
      <c r="D694" s="191"/>
      <c r="E694" s="191"/>
      <c r="F694" s="191"/>
      <c r="G694" s="386"/>
      <c r="H694" s="386"/>
      <c r="I694" s="46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 spans="1:26" ht="14.4">
      <c r="A695" s="191"/>
      <c r="B695" s="191"/>
      <c r="C695" s="191"/>
      <c r="D695" s="191"/>
      <c r="E695" s="191"/>
      <c r="F695" s="191"/>
      <c r="G695" s="386"/>
      <c r="H695" s="386"/>
      <c r="I695" s="46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 spans="1:26" ht="14.4">
      <c r="A696" s="191"/>
      <c r="B696" s="191"/>
      <c r="C696" s="191"/>
      <c r="D696" s="191"/>
      <c r="E696" s="191"/>
      <c r="F696" s="191"/>
      <c r="G696" s="386"/>
      <c r="H696" s="386"/>
      <c r="I696" s="46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 spans="1:26" ht="14.4">
      <c r="A697" s="191"/>
      <c r="B697" s="191"/>
      <c r="C697" s="191"/>
      <c r="D697" s="191"/>
      <c r="E697" s="191"/>
      <c r="F697" s="191"/>
      <c r="G697" s="386"/>
      <c r="H697" s="386"/>
      <c r="I697" s="46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 spans="1:26" ht="14.4">
      <c r="A698" s="191"/>
      <c r="B698" s="191"/>
      <c r="C698" s="191"/>
      <c r="D698" s="191"/>
      <c r="E698" s="191"/>
      <c r="F698" s="191"/>
      <c r="G698" s="386"/>
      <c r="H698" s="386"/>
      <c r="I698" s="46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 spans="1:26" ht="14.4">
      <c r="A699" s="191"/>
      <c r="B699" s="191"/>
      <c r="C699" s="191"/>
      <c r="D699" s="191"/>
      <c r="E699" s="191"/>
      <c r="F699" s="191"/>
      <c r="G699" s="386"/>
      <c r="H699" s="386"/>
      <c r="I699" s="46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 spans="1:26" ht="14.4">
      <c r="A700" s="191"/>
      <c r="B700" s="191"/>
      <c r="C700" s="191"/>
      <c r="D700" s="191"/>
      <c r="E700" s="191"/>
      <c r="F700" s="191"/>
      <c r="G700" s="386"/>
      <c r="H700" s="386"/>
      <c r="I700" s="46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 spans="1:26" ht="14.4">
      <c r="A701" s="191"/>
      <c r="B701" s="191"/>
      <c r="C701" s="191"/>
      <c r="D701" s="191"/>
      <c r="E701" s="191"/>
      <c r="F701" s="191"/>
      <c r="G701" s="386"/>
      <c r="H701" s="386"/>
      <c r="I701" s="46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 spans="1:26" ht="14.4">
      <c r="A702" s="191"/>
      <c r="B702" s="191"/>
      <c r="C702" s="191"/>
      <c r="D702" s="191"/>
      <c r="E702" s="191"/>
      <c r="F702" s="191"/>
      <c r="G702" s="386"/>
      <c r="H702" s="386"/>
      <c r="I702" s="46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 spans="1:26" ht="14.4">
      <c r="A703" s="191"/>
      <c r="B703" s="191"/>
      <c r="C703" s="191"/>
      <c r="D703" s="191"/>
      <c r="E703" s="191"/>
      <c r="F703" s="191"/>
      <c r="G703" s="386"/>
      <c r="H703" s="386"/>
      <c r="I703" s="46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 spans="1:26" ht="14.4">
      <c r="A704" s="191"/>
      <c r="B704" s="191"/>
      <c r="C704" s="191"/>
      <c r="D704" s="191"/>
      <c r="E704" s="191"/>
      <c r="F704" s="191"/>
      <c r="G704" s="386"/>
      <c r="H704" s="386"/>
      <c r="I704" s="46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 spans="1:26" ht="14.4">
      <c r="A705" s="191"/>
      <c r="B705" s="191"/>
      <c r="C705" s="191"/>
      <c r="D705" s="191"/>
      <c r="E705" s="191"/>
      <c r="F705" s="191"/>
      <c r="G705" s="386"/>
      <c r="H705" s="386"/>
      <c r="I705" s="46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 spans="1:26" ht="14.4">
      <c r="A706" s="191"/>
      <c r="B706" s="191"/>
      <c r="C706" s="191"/>
      <c r="D706" s="191"/>
      <c r="E706" s="191"/>
      <c r="F706" s="191"/>
      <c r="G706" s="386"/>
      <c r="H706" s="386"/>
      <c r="I706" s="46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 spans="1:26" ht="14.4">
      <c r="A707" s="191"/>
      <c r="B707" s="191"/>
      <c r="C707" s="191"/>
      <c r="D707" s="191"/>
      <c r="E707" s="191"/>
      <c r="F707" s="191"/>
      <c r="G707" s="386"/>
      <c r="H707" s="386"/>
      <c r="I707" s="46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 spans="1:26" ht="14.4">
      <c r="A708" s="191"/>
      <c r="B708" s="191"/>
      <c r="C708" s="191"/>
      <c r="D708" s="191"/>
      <c r="E708" s="191"/>
      <c r="F708" s="191"/>
      <c r="G708" s="386"/>
      <c r="H708" s="386"/>
      <c r="I708" s="46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 spans="1:26" ht="14.4">
      <c r="A709" s="191"/>
      <c r="B709" s="191"/>
      <c r="C709" s="191"/>
      <c r="D709" s="191"/>
      <c r="E709" s="191"/>
      <c r="F709" s="191"/>
      <c r="G709" s="386"/>
      <c r="H709" s="386"/>
      <c r="I709" s="46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 spans="1:26" ht="14.4">
      <c r="A710" s="191"/>
      <c r="B710" s="191"/>
      <c r="C710" s="191"/>
      <c r="D710" s="191"/>
      <c r="E710" s="191"/>
      <c r="F710" s="191"/>
      <c r="G710" s="386"/>
      <c r="H710" s="386"/>
      <c r="I710" s="46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 spans="1:26" ht="14.4">
      <c r="A711" s="191"/>
      <c r="B711" s="191"/>
      <c r="C711" s="191"/>
      <c r="D711" s="191"/>
      <c r="E711" s="191"/>
      <c r="F711" s="191"/>
      <c r="G711" s="386"/>
      <c r="H711" s="386"/>
      <c r="I711" s="46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 spans="1:26" ht="14.4">
      <c r="A712" s="191"/>
      <c r="B712" s="191"/>
      <c r="C712" s="191"/>
      <c r="D712" s="191"/>
      <c r="E712" s="191"/>
      <c r="F712" s="191"/>
      <c r="G712" s="386"/>
      <c r="H712" s="386"/>
      <c r="I712" s="46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 spans="1:26" ht="14.4">
      <c r="A713" s="191"/>
      <c r="B713" s="191"/>
      <c r="C713" s="191"/>
      <c r="D713" s="191"/>
      <c r="E713" s="191"/>
      <c r="F713" s="191"/>
      <c r="G713" s="386"/>
      <c r="H713" s="386"/>
      <c r="I713" s="46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 spans="1:26" ht="14.4">
      <c r="A714" s="191"/>
      <c r="B714" s="191"/>
      <c r="C714" s="191"/>
      <c r="D714" s="191"/>
      <c r="E714" s="191"/>
      <c r="F714" s="191"/>
      <c r="G714" s="386"/>
      <c r="H714" s="386"/>
      <c r="I714" s="46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 spans="1:26" ht="14.4">
      <c r="A715" s="191"/>
      <c r="B715" s="191"/>
      <c r="C715" s="191"/>
      <c r="D715" s="191"/>
      <c r="E715" s="191"/>
      <c r="F715" s="191"/>
      <c r="G715" s="386"/>
      <c r="H715" s="386"/>
      <c r="I715" s="46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 spans="1:26" ht="14.4">
      <c r="A716" s="191"/>
      <c r="B716" s="191"/>
      <c r="C716" s="191"/>
      <c r="D716" s="191"/>
      <c r="E716" s="191"/>
      <c r="F716" s="191"/>
      <c r="G716" s="386"/>
      <c r="H716" s="386"/>
      <c r="I716" s="46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 spans="1:26" ht="14.4">
      <c r="A717" s="191"/>
      <c r="B717" s="191"/>
      <c r="C717" s="191"/>
      <c r="D717" s="191"/>
      <c r="E717" s="191"/>
      <c r="F717" s="191"/>
      <c r="G717" s="386"/>
      <c r="H717" s="386"/>
      <c r="I717" s="46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 spans="1:26" ht="14.4">
      <c r="A718" s="191"/>
      <c r="B718" s="191"/>
      <c r="C718" s="191"/>
      <c r="D718" s="191"/>
      <c r="E718" s="191"/>
      <c r="F718" s="191"/>
      <c r="G718" s="386"/>
      <c r="H718" s="386"/>
      <c r="I718" s="46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 spans="1:26" ht="14.4">
      <c r="A719" s="191"/>
      <c r="B719" s="191"/>
      <c r="C719" s="191"/>
      <c r="D719" s="191"/>
      <c r="E719" s="191"/>
      <c r="F719" s="191"/>
      <c r="G719" s="386"/>
      <c r="H719" s="386"/>
      <c r="I719" s="46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 spans="1:26" ht="14.4">
      <c r="A720" s="191"/>
      <c r="B720" s="191"/>
      <c r="C720" s="191"/>
      <c r="D720" s="191"/>
      <c r="E720" s="191"/>
      <c r="F720" s="191"/>
      <c r="G720" s="386"/>
      <c r="H720" s="386"/>
      <c r="I720" s="46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 spans="1:26" ht="14.4">
      <c r="A721" s="191"/>
      <c r="B721" s="191"/>
      <c r="C721" s="191"/>
      <c r="D721" s="191"/>
      <c r="E721" s="191"/>
      <c r="F721" s="191"/>
      <c r="G721" s="386"/>
      <c r="H721" s="386"/>
      <c r="I721" s="46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 spans="1:26" ht="14.4">
      <c r="A722" s="191"/>
      <c r="B722" s="191"/>
      <c r="C722" s="191"/>
      <c r="D722" s="191"/>
      <c r="E722" s="191"/>
      <c r="F722" s="191"/>
      <c r="G722" s="386"/>
      <c r="H722" s="386"/>
      <c r="I722" s="46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 spans="1:26" ht="14.4">
      <c r="A723" s="191"/>
      <c r="B723" s="191"/>
      <c r="C723" s="191"/>
      <c r="D723" s="191"/>
      <c r="E723" s="191"/>
      <c r="F723" s="191"/>
      <c r="G723" s="386"/>
      <c r="H723" s="386"/>
      <c r="I723" s="46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 spans="1:26" ht="14.4">
      <c r="A724" s="191"/>
      <c r="B724" s="191"/>
      <c r="C724" s="191"/>
      <c r="D724" s="191"/>
      <c r="E724" s="191"/>
      <c r="F724" s="191"/>
      <c r="G724" s="386"/>
      <c r="H724" s="386"/>
      <c r="I724" s="46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 spans="1:26" ht="14.4">
      <c r="A725" s="191"/>
      <c r="B725" s="191"/>
      <c r="C725" s="191"/>
      <c r="D725" s="191"/>
      <c r="E725" s="191"/>
      <c r="F725" s="191"/>
      <c r="G725" s="386"/>
      <c r="H725" s="386"/>
      <c r="I725" s="46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 spans="1:26" ht="14.4">
      <c r="A726" s="191"/>
      <c r="B726" s="191"/>
      <c r="C726" s="191"/>
      <c r="D726" s="191"/>
      <c r="E726" s="191"/>
      <c r="F726" s="191"/>
      <c r="G726" s="386"/>
      <c r="H726" s="386"/>
      <c r="I726" s="46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 spans="1:26" ht="14.4">
      <c r="A727" s="191"/>
      <c r="B727" s="191"/>
      <c r="C727" s="191"/>
      <c r="D727" s="191"/>
      <c r="E727" s="191"/>
      <c r="F727" s="191"/>
      <c r="G727" s="386"/>
      <c r="H727" s="386"/>
      <c r="I727" s="46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 spans="1:26" ht="14.4">
      <c r="A728" s="191"/>
      <c r="B728" s="191"/>
      <c r="C728" s="191"/>
      <c r="D728" s="191"/>
      <c r="E728" s="191"/>
      <c r="F728" s="191"/>
      <c r="G728" s="386"/>
      <c r="H728" s="386"/>
      <c r="I728" s="46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 spans="1:26" ht="14.4">
      <c r="A729" s="191"/>
      <c r="B729" s="191"/>
      <c r="C729" s="191"/>
      <c r="D729" s="191"/>
      <c r="E729" s="191"/>
      <c r="F729" s="191"/>
      <c r="G729" s="386"/>
      <c r="H729" s="386"/>
      <c r="I729" s="46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 spans="1:26" ht="14.4">
      <c r="A730" s="191"/>
      <c r="B730" s="191"/>
      <c r="C730" s="191"/>
      <c r="D730" s="191"/>
      <c r="E730" s="191"/>
      <c r="F730" s="191"/>
      <c r="G730" s="386"/>
      <c r="H730" s="386"/>
      <c r="I730" s="46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 spans="1:26" ht="14.4">
      <c r="A731" s="191"/>
      <c r="B731" s="191"/>
      <c r="C731" s="191"/>
      <c r="D731" s="191"/>
      <c r="E731" s="191"/>
      <c r="F731" s="191"/>
      <c r="G731" s="386"/>
      <c r="H731" s="386"/>
      <c r="I731" s="46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 spans="1:26" ht="14.4">
      <c r="A732" s="191"/>
      <c r="B732" s="191"/>
      <c r="C732" s="191"/>
      <c r="D732" s="191"/>
      <c r="E732" s="191"/>
      <c r="F732" s="191"/>
      <c r="G732" s="386"/>
      <c r="H732" s="386"/>
      <c r="I732" s="46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 spans="1:26" ht="14.4">
      <c r="A733" s="191"/>
      <c r="B733" s="191"/>
      <c r="C733" s="191"/>
      <c r="D733" s="191"/>
      <c r="E733" s="191"/>
      <c r="F733" s="191"/>
      <c r="G733" s="386"/>
      <c r="H733" s="386"/>
      <c r="I733" s="46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 spans="1:26" ht="14.4">
      <c r="A734" s="191"/>
      <c r="B734" s="191"/>
      <c r="C734" s="191"/>
      <c r="D734" s="191"/>
      <c r="E734" s="191"/>
      <c r="F734" s="191"/>
      <c r="G734" s="386"/>
      <c r="H734" s="386"/>
      <c r="I734" s="46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 spans="1:26" ht="14.4">
      <c r="A735" s="191"/>
      <c r="B735" s="191"/>
      <c r="C735" s="191"/>
      <c r="D735" s="191"/>
      <c r="E735" s="191"/>
      <c r="F735" s="191"/>
      <c r="G735" s="386"/>
      <c r="H735" s="386"/>
      <c r="I735" s="46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 spans="1:26" ht="14.4">
      <c r="A736" s="191"/>
      <c r="B736" s="191"/>
      <c r="C736" s="191"/>
      <c r="D736" s="191"/>
      <c r="E736" s="191"/>
      <c r="F736" s="191"/>
      <c r="G736" s="386"/>
      <c r="H736" s="386"/>
      <c r="I736" s="46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 spans="1:26" ht="14.4">
      <c r="A737" s="191"/>
      <c r="B737" s="191"/>
      <c r="C737" s="191"/>
      <c r="D737" s="191"/>
      <c r="E737" s="191"/>
      <c r="F737" s="191"/>
      <c r="G737" s="386"/>
      <c r="H737" s="386"/>
      <c r="I737" s="46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 spans="1:26" ht="14.4">
      <c r="A738" s="191"/>
      <c r="B738" s="191"/>
      <c r="C738" s="191"/>
      <c r="D738" s="191"/>
      <c r="E738" s="191"/>
      <c r="F738" s="191"/>
      <c r="G738" s="386"/>
      <c r="H738" s="386"/>
      <c r="I738" s="46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 spans="1:26" ht="14.4">
      <c r="A739" s="191"/>
      <c r="B739" s="191"/>
      <c r="C739" s="191"/>
      <c r="D739" s="191"/>
      <c r="E739" s="191"/>
      <c r="F739" s="191"/>
      <c r="G739" s="386"/>
      <c r="H739" s="386"/>
      <c r="I739" s="46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 spans="1:26" ht="14.4">
      <c r="A740" s="191"/>
      <c r="B740" s="191"/>
      <c r="C740" s="191"/>
      <c r="D740" s="191"/>
      <c r="E740" s="191"/>
      <c r="F740" s="191"/>
      <c r="G740" s="386"/>
      <c r="H740" s="386"/>
      <c r="I740" s="46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 spans="1:26" ht="14.4">
      <c r="A741" s="191"/>
      <c r="B741" s="191"/>
      <c r="C741" s="191"/>
      <c r="D741" s="191"/>
      <c r="E741" s="191"/>
      <c r="F741" s="191"/>
      <c r="G741" s="386"/>
      <c r="H741" s="386"/>
      <c r="I741" s="46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 spans="1:26" ht="14.4">
      <c r="A742" s="191"/>
      <c r="B742" s="191"/>
      <c r="C742" s="191"/>
      <c r="D742" s="191"/>
      <c r="E742" s="191"/>
      <c r="F742" s="191"/>
      <c r="G742" s="386"/>
      <c r="H742" s="386"/>
      <c r="I742" s="46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 spans="1:26" ht="14.4">
      <c r="A743" s="191"/>
      <c r="B743" s="191"/>
      <c r="C743" s="191"/>
      <c r="D743" s="191"/>
      <c r="E743" s="191"/>
      <c r="F743" s="191"/>
      <c r="G743" s="386"/>
      <c r="H743" s="386"/>
      <c r="I743" s="46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 spans="1:26" ht="14.4">
      <c r="A744" s="191"/>
      <c r="B744" s="191"/>
      <c r="C744" s="191"/>
      <c r="D744" s="191"/>
      <c r="E744" s="191"/>
      <c r="F744" s="191"/>
      <c r="G744" s="386"/>
      <c r="H744" s="386"/>
      <c r="I744" s="46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 spans="1:26" ht="14.4">
      <c r="A745" s="191"/>
      <c r="B745" s="191"/>
      <c r="C745" s="191"/>
      <c r="D745" s="191"/>
      <c r="E745" s="191"/>
      <c r="F745" s="191"/>
      <c r="G745" s="386"/>
      <c r="H745" s="386"/>
      <c r="I745" s="46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 spans="1:26" ht="14.4">
      <c r="A746" s="191"/>
      <c r="B746" s="191"/>
      <c r="C746" s="191"/>
      <c r="D746" s="191"/>
      <c r="E746" s="191"/>
      <c r="F746" s="191"/>
      <c r="G746" s="386"/>
      <c r="H746" s="386"/>
      <c r="I746" s="46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 spans="1:26" ht="14.4">
      <c r="A747" s="191"/>
      <c r="B747" s="191"/>
      <c r="C747" s="191"/>
      <c r="D747" s="191"/>
      <c r="E747" s="191"/>
      <c r="F747" s="191"/>
      <c r="G747" s="386"/>
      <c r="H747" s="386"/>
      <c r="I747" s="46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 spans="1:26" ht="14.4">
      <c r="A748" s="191"/>
      <c r="B748" s="191"/>
      <c r="C748" s="191"/>
      <c r="D748" s="191"/>
      <c r="E748" s="191"/>
      <c r="F748" s="191"/>
      <c r="G748" s="386"/>
      <c r="H748" s="386"/>
      <c r="I748" s="46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 spans="1:26" ht="14.4">
      <c r="A749" s="191"/>
      <c r="B749" s="191"/>
      <c r="C749" s="191"/>
      <c r="D749" s="191"/>
      <c r="E749" s="191"/>
      <c r="F749" s="191"/>
      <c r="G749" s="386"/>
      <c r="H749" s="386"/>
      <c r="I749" s="46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 spans="1:26" ht="14.4">
      <c r="A750" s="191"/>
      <c r="B750" s="191"/>
      <c r="C750" s="191"/>
      <c r="D750" s="191"/>
      <c r="E750" s="191"/>
      <c r="F750" s="191"/>
      <c r="G750" s="386"/>
      <c r="H750" s="386"/>
      <c r="I750" s="46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 spans="1:26" ht="14.4">
      <c r="A751" s="191"/>
      <c r="B751" s="191"/>
      <c r="C751" s="191"/>
      <c r="D751" s="191"/>
      <c r="E751" s="191"/>
      <c r="F751" s="191"/>
      <c r="G751" s="386"/>
      <c r="H751" s="386"/>
      <c r="I751" s="46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 spans="1:26" ht="14.4">
      <c r="A752" s="191"/>
      <c r="B752" s="191"/>
      <c r="C752" s="191"/>
      <c r="D752" s="191"/>
      <c r="E752" s="191"/>
      <c r="F752" s="191"/>
      <c r="G752" s="386"/>
      <c r="H752" s="386"/>
      <c r="I752" s="46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 spans="1:26" ht="14.4">
      <c r="A753" s="191"/>
      <c r="B753" s="191"/>
      <c r="C753" s="191"/>
      <c r="D753" s="191"/>
      <c r="E753" s="191"/>
      <c r="F753" s="191"/>
      <c r="G753" s="386"/>
      <c r="H753" s="386"/>
      <c r="I753" s="46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 spans="1:26" ht="14.4">
      <c r="A754" s="191"/>
      <c r="B754" s="191"/>
      <c r="C754" s="191"/>
      <c r="D754" s="191"/>
      <c r="E754" s="191"/>
      <c r="F754" s="191"/>
      <c r="G754" s="386"/>
      <c r="H754" s="386"/>
      <c r="I754" s="46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 spans="1:26" ht="14.4">
      <c r="A755" s="191"/>
      <c r="B755" s="191"/>
      <c r="C755" s="191"/>
      <c r="D755" s="191"/>
      <c r="E755" s="191"/>
      <c r="F755" s="191"/>
      <c r="G755" s="386"/>
      <c r="H755" s="386"/>
      <c r="I755" s="46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 spans="1:26" ht="14.4">
      <c r="A756" s="191"/>
      <c r="B756" s="191"/>
      <c r="C756" s="191"/>
      <c r="D756" s="191"/>
      <c r="E756" s="191"/>
      <c r="F756" s="191"/>
      <c r="G756" s="386"/>
      <c r="H756" s="386"/>
      <c r="I756" s="46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 spans="1:26" ht="14.4">
      <c r="A757" s="191"/>
      <c r="B757" s="191"/>
      <c r="C757" s="191"/>
      <c r="D757" s="191"/>
      <c r="E757" s="191"/>
      <c r="F757" s="191"/>
      <c r="G757" s="386"/>
      <c r="H757" s="386"/>
      <c r="I757" s="46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 spans="1:26" ht="14.4">
      <c r="A758" s="191"/>
      <c r="B758" s="191"/>
      <c r="C758" s="191"/>
      <c r="D758" s="191"/>
      <c r="E758" s="191"/>
      <c r="F758" s="191"/>
      <c r="G758" s="386"/>
      <c r="H758" s="386"/>
      <c r="I758" s="46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 spans="1:26" ht="14.4">
      <c r="A759" s="191"/>
      <c r="B759" s="191"/>
      <c r="C759" s="191"/>
      <c r="D759" s="191"/>
      <c r="E759" s="191"/>
      <c r="F759" s="191"/>
      <c r="G759" s="386"/>
      <c r="H759" s="386"/>
      <c r="I759" s="46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 spans="1:26" ht="14.4">
      <c r="A760" s="191"/>
      <c r="B760" s="191"/>
      <c r="C760" s="191"/>
      <c r="D760" s="191"/>
      <c r="E760" s="191"/>
      <c r="F760" s="191"/>
      <c r="G760" s="386"/>
      <c r="H760" s="386"/>
      <c r="I760" s="46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 spans="1:26" ht="14.4">
      <c r="A761" s="191"/>
      <c r="B761" s="191"/>
      <c r="C761" s="191"/>
      <c r="D761" s="191"/>
      <c r="E761" s="191"/>
      <c r="F761" s="191"/>
      <c r="G761" s="386"/>
      <c r="H761" s="386"/>
      <c r="I761" s="46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 spans="1:26" ht="14.4">
      <c r="A762" s="191"/>
      <c r="B762" s="191"/>
      <c r="C762" s="191"/>
      <c r="D762" s="191"/>
      <c r="E762" s="191"/>
      <c r="F762" s="191"/>
      <c r="G762" s="386"/>
      <c r="H762" s="386"/>
      <c r="I762" s="46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 spans="1:26" ht="14.4">
      <c r="A763" s="191"/>
      <c r="B763" s="191"/>
      <c r="C763" s="191"/>
      <c r="D763" s="191"/>
      <c r="E763" s="191"/>
      <c r="F763" s="191"/>
      <c r="G763" s="386"/>
      <c r="H763" s="386"/>
      <c r="I763" s="46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 spans="1:26" ht="14.4">
      <c r="A764" s="191"/>
      <c r="B764" s="191"/>
      <c r="C764" s="191"/>
      <c r="D764" s="191"/>
      <c r="E764" s="191"/>
      <c r="F764" s="191"/>
      <c r="G764" s="386"/>
      <c r="H764" s="386"/>
      <c r="I764" s="46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 spans="1:26" ht="14.4">
      <c r="A765" s="191"/>
      <c r="B765" s="191"/>
      <c r="C765" s="191"/>
      <c r="D765" s="191"/>
      <c r="E765" s="191"/>
      <c r="F765" s="191"/>
      <c r="G765" s="386"/>
      <c r="H765" s="386"/>
      <c r="I765" s="46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 spans="1:26" ht="14.4">
      <c r="A766" s="191"/>
      <c r="B766" s="191"/>
      <c r="C766" s="191"/>
      <c r="D766" s="191"/>
      <c r="E766" s="191"/>
      <c r="F766" s="191"/>
      <c r="G766" s="386"/>
      <c r="H766" s="386"/>
      <c r="I766" s="46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 spans="1:26" ht="14.4">
      <c r="A767" s="191"/>
      <c r="B767" s="191"/>
      <c r="C767" s="191"/>
      <c r="D767" s="191"/>
      <c r="E767" s="191"/>
      <c r="F767" s="191"/>
      <c r="G767" s="386"/>
      <c r="H767" s="386"/>
      <c r="I767" s="46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 spans="1:26" ht="14.4">
      <c r="A768" s="191"/>
      <c r="B768" s="191"/>
      <c r="C768" s="191"/>
      <c r="D768" s="191"/>
      <c r="E768" s="191"/>
      <c r="F768" s="191"/>
      <c r="G768" s="386"/>
      <c r="H768" s="386"/>
      <c r="I768" s="46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 spans="1:26" ht="14.4">
      <c r="A769" s="191"/>
      <c r="B769" s="191"/>
      <c r="C769" s="191"/>
      <c r="D769" s="191"/>
      <c r="E769" s="191"/>
      <c r="F769" s="191"/>
      <c r="G769" s="386"/>
      <c r="H769" s="386"/>
      <c r="I769" s="46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 spans="1:26" ht="14.4">
      <c r="A770" s="191"/>
      <c r="B770" s="191"/>
      <c r="C770" s="191"/>
      <c r="D770" s="191"/>
      <c r="E770" s="191"/>
      <c r="F770" s="191"/>
      <c r="G770" s="386"/>
      <c r="H770" s="386"/>
      <c r="I770" s="46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 spans="1:26" ht="14.4">
      <c r="A771" s="191"/>
      <c r="B771" s="191"/>
      <c r="C771" s="191"/>
      <c r="D771" s="191"/>
      <c r="E771" s="191"/>
      <c r="F771" s="191"/>
      <c r="G771" s="386"/>
      <c r="H771" s="386"/>
      <c r="I771" s="46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 spans="1:26" ht="14.4">
      <c r="A772" s="191"/>
      <c r="B772" s="191"/>
      <c r="C772" s="191"/>
      <c r="D772" s="191"/>
      <c r="E772" s="191"/>
      <c r="F772" s="191"/>
      <c r="G772" s="386"/>
      <c r="H772" s="386"/>
      <c r="I772" s="46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 spans="1:26" ht="14.4">
      <c r="A773" s="191"/>
      <c r="B773" s="191"/>
      <c r="C773" s="191"/>
      <c r="D773" s="191"/>
      <c r="E773" s="191"/>
      <c r="F773" s="191"/>
      <c r="G773" s="386"/>
      <c r="H773" s="386"/>
      <c r="I773" s="46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 spans="1:26" ht="14.4">
      <c r="A774" s="191"/>
      <c r="B774" s="191"/>
      <c r="C774" s="191"/>
      <c r="D774" s="191"/>
      <c r="E774" s="191"/>
      <c r="F774" s="191"/>
      <c r="G774" s="386"/>
      <c r="H774" s="386"/>
      <c r="I774" s="46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 spans="1:26" ht="14.4">
      <c r="A775" s="191"/>
      <c r="B775" s="191"/>
      <c r="C775" s="191"/>
      <c r="D775" s="191"/>
      <c r="E775" s="191"/>
      <c r="F775" s="191"/>
      <c r="G775" s="386"/>
      <c r="H775" s="386"/>
      <c r="I775" s="46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 spans="1:26" ht="14.4">
      <c r="A776" s="191"/>
      <c r="B776" s="191"/>
      <c r="C776" s="191"/>
      <c r="D776" s="191"/>
      <c r="E776" s="191"/>
      <c r="F776" s="191"/>
      <c r="G776" s="386"/>
      <c r="H776" s="386"/>
      <c r="I776" s="46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 spans="1:26" ht="14.4">
      <c r="A777" s="191"/>
      <c r="B777" s="191"/>
      <c r="C777" s="191"/>
      <c r="D777" s="191"/>
      <c r="E777" s="191"/>
      <c r="F777" s="191"/>
      <c r="G777" s="386"/>
      <c r="H777" s="386"/>
      <c r="I777" s="46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 spans="1:26" ht="14.4">
      <c r="A778" s="191"/>
      <c r="B778" s="191"/>
      <c r="C778" s="191"/>
      <c r="D778" s="191"/>
      <c r="E778" s="191"/>
      <c r="F778" s="191"/>
      <c r="G778" s="386"/>
      <c r="H778" s="386"/>
      <c r="I778" s="46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 spans="1:26" ht="14.4">
      <c r="A779" s="191"/>
      <c r="B779" s="191"/>
      <c r="C779" s="191"/>
      <c r="D779" s="191"/>
      <c r="E779" s="191"/>
      <c r="F779" s="191"/>
      <c r="G779" s="386"/>
      <c r="H779" s="386"/>
      <c r="I779" s="46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 spans="1:26" ht="14.4">
      <c r="A780" s="191"/>
      <c r="B780" s="191"/>
      <c r="C780" s="191"/>
      <c r="D780" s="191"/>
      <c r="E780" s="191"/>
      <c r="F780" s="191"/>
      <c r="G780" s="386"/>
      <c r="H780" s="386"/>
      <c r="I780" s="46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 spans="1:26" ht="14.4">
      <c r="A781" s="191"/>
      <c r="B781" s="191"/>
      <c r="C781" s="191"/>
      <c r="D781" s="191"/>
      <c r="E781" s="191"/>
      <c r="F781" s="191"/>
      <c r="G781" s="386"/>
      <c r="H781" s="386"/>
      <c r="I781" s="46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 spans="1:26" ht="14.4">
      <c r="A782" s="191"/>
      <c r="B782" s="191"/>
      <c r="C782" s="191"/>
      <c r="D782" s="191"/>
      <c r="E782" s="191"/>
      <c r="F782" s="191"/>
      <c r="G782" s="386"/>
      <c r="H782" s="386"/>
      <c r="I782" s="46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 spans="1:26" ht="14.4">
      <c r="A783" s="191"/>
      <c r="B783" s="191"/>
      <c r="C783" s="191"/>
      <c r="D783" s="191"/>
      <c r="E783" s="191"/>
      <c r="F783" s="191"/>
      <c r="G783" s="386"/>
      <c r="H783" s="386"/>
      <c r="I783" s="46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 spans="1:26" ht="14.4">
      <c r="A784" s="191"/>
      <c r="B784" s="191"/>
      <c r="C784" s="191"/>
      <c r="D784" s="191"/>
      <c r="E784" s="191"/>
      <c r="F784" s="191"/>
      <c r="G784" s="386"/>
      <c r="H784" s="386"/>
      <c r="I784" s="46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 spans="1:26" ht="14.4">
      <c r="A785" s="191"/>
      <c r="B785" s="191"/>
      <c r="C785" s="191"/>
      <c r="D785" s="191"/>
      <c r="E785" s="191"/>
      <c r="F785" s="191"/>
      <c r="G785" s="386"/>
      <c r="H785" s="386"/>
      <c r="I785" s="46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 spans="1:26" ht="14.4">
      <c r="A786" s="191"/>
      <c r="B786" s="191"/>
      <c r="C786" s="191"/>
      <c r="D786" s="191"/>
      <c r="E786" s="191"/>
      <c r="F786" s="191"/>
      <c r="G786" s="386"/>
      <c r="H786" s="386"/>
      <c r="I786" s="46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 spans="1:26" ht="14.4">
      <c r="A787" s="191"/>
      <c r="B787" s="191"/>
      <c r="C787" s="191"/>
      <c r="D787" s="191"/>
      <c r="E787" s="191"/>
      <c r="F787" s="191"/>
      <c r="G787" s="386"/>
      <c r="H787" s="386"/>
      <c r="I787" s="46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 spans="1:26" ht="14.4">
      <c r="A788" s="191"/>
      <c r="B788" s="191"/>
      <c r="C788" s="191"/>
      <c r="D788" s="191"/>
      <c r="E788" s="191"/>
      <c r="F788" s="191"/>
      <c r="G788" s="386"/>
      <c r="H788" s="386"/>
      <c r="I788" s="46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 spans="1:26" ht="14.4">
      <c r="A789" s="191"/>
      <c r="B789" s="191"/>
      <c r="C789" s="191"/>
      <c r="D789" s="191"/>
      <c r="E789" s="191"/>
      <c r="F789" s="191"/>
      <c r="G789" s="386"/>
      <c r="H789" s="386"/>
      <c r="I789" s="46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 spans="1:26" ht="14.4">
      <c r="A790" s="191"/>
      <c r="B790" s="191"/>
      <c r="C790" s="191"/>
      <c r="D790" s="191"/>
      <c r="E790" s="191"/>
      <c r="F790" s="191"/>
      <c r="G790" s="386"/>
      <c r="H790" s="386"/>
      <c r="I790" s="46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 spans="1:26" ht="14.4">
      <c r="A791" s="191"/>
      <c r="B791" s="191"/>
      <c r="C791" s="191"/>
      <c r="D791" s="191"/>
      <c r="E791" s="191"/>
      <c r="F791" s="191"/>
      <c r="G791" s="386"/>
      <c r="H791" s="386"/>
      <c r="I791" s="46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 spans="1:26" ht="14.4">
      <c r="A792" s="191"/>
      <c r="B792" s="191"/>
      <c r="C792" s="191"/>
      <c r="D792" s="191"/>
      <c r="E792" s="191"/>
      <c r="F792" s="191"/>
      <c r="G792" s="386"/>
      <c r="H792" s="386"/>
      <c r="I792" s="46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 spans="1:26" ht="14.4">
      <c r="A793" s="191"/>
      <c r="B793" s="191"/>
      <c r="C793" s="191"/>
      <c r="D793" s="191"/>
      <c r="E793" s="191"/>
      <c r="F793" s="191"/>
      <c r="G793" s="386"/>
      <c r="H793" s="386"/>
      <c r="I793" s="46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 spans="1:26" ht="14.4">
      <c r="A794" s="191"/>
      <c r="B794" s="191"/>
      <c r="C794" s="191"/>
      <c r="D794" s="191"/>
      <c r="E794" s="191"/>
      <c r="F794" s="191"/>
      <c r="G794" s="386"/>
      <c r="H794" s="386"/>
      <c r="I794" s="46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 spans="1:26" ht="14.4">
      <c r="A795" s="191"/>
      <c r="B795" s="191"/>
      <c r="C795" s="191"/>
      <c r="D795" s="191"/>
      <c r="E795" s="191"/>
      <c r="F795" s="191"/>
      <c r="G795" s="386"/>
      <c r="H795" s="386"/>
      <c r="I795" s="46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 spans="1:26" ht="14.4">
      <c r="A796" s="191"/>
      <c r="B796" s="191"/>
      <c r="C796" s="191"/>
      <c r="D796" s="191"/>
      <c r="E796" s="191"/>
      <c r="F796" s="191"/>
      <c r="G796" s="386"/>
      <c r="H796" s="386"/>
      <c r="I796" s="46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 spans="1:26" ht="14.4">
      <c r="A797" s="191"/>
      <c r="B797" s="191"/>
      <c r="C797" s="191"/>
      <c r="D797" s="191"/>
      <c r="E797" s="191"/>
      <c r="F797" s="191"/>
      <c r="G797" s="386"/>
      <c r="H797" s="386"/>
      <c r="I797" s="46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 spans="1:26" ht="14.4">
      <c r="A798" s="191"/>
      <c r="B798" s="191"/>
      <c r="C798" s="191"/>
      <c r="D798" s="191"/>
      <c r="E798" s="191"/>
      <c r="F798" s="191"/>
      <c r="G798" s="386"/>
      <c r="H798" s="386"/>
      <c r="I798" s="46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 spans="1:26" ht="14.4">
      <c r="A799" s="191"/>
      <c r="B799" s="191"/>
      <c r="C799" s="191"/>
      <c r="D799" s="191"/>
      <c r="E799" s="191"/>
      <c r="F799" s="191"/>
      <c r="G799" s="386"/>
      <c r="H799" s="386"/>
      <c r="I799" s="46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 spans="1:26" ht="14.4">
      <c r="A800" s="191"/>
      <c r="B800" s="191"/>
      <c r="C800" s="191"/>
      <c r="D800" s="191"/>
      <c r="E800" s="191"/>
      <c r="F800" s="191"/>
      <c r="G800" s="386"/>
      <c r="H800" s="386"/>
      <c r="I800" s="46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 spans="1:26" ht="14.4">
      <c r="A801" s="191"/>
      <c r="B801" s="191"/>
      <c r="C801" s="191"/>
      <c r="D801" s="191"/>
      <c r="E801" s="191"/>
      <c r="F801" s="191"/>
      <c r="G801" s="386"/>
      <c r="H801" s="386"/>
      <c r="I801" s="46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 spans="1:26" ht="14.4">
      <c r="A802" s="191"/>
      <c r="B802" s="191"/>
      <c r="C802" s="191"/>
      <c r="D802" s="191"/>
      <c r="E802" s="191"/>
      <c r="F802" s="191"/>
      <c r="G802" s="386"/>
      <c r="H802" s="386"/>
      <c r="I802" s="46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 spans="1:26" ht="14.4">
      <c r="A803" s="191"/>
      <c r="B803" s="191"/>
      <c r="C803" s="191"/>
      <c r="D803" s="191"/>
      <c r="E803" s="191"/>
      <c r="F803" s="191"/>
      <c r="G803" s="386"/>
      <c r="H803" s="386"/>
      <c r="I803" s="46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 spans="1:26" ht="14.4">
      <c r="A804" s="191"/>
      <c r="B804" s="191"/>
      <c r="C804" s="191"/>
      <c r="D804" s="191"/>
      <c r="E804" s="191"/>
      <c r="F804" s="191"/>
      <c r="G804" s="386"/>
      <c r="H804" s="386"/>
      <c r="I804" s="46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 spans="1:26" ht="14.4">
      <c r="A805" s="191"/>
      <c r="B805" s="191"/>
      <c r="C805" s="191"/>
      <c r="D805" s="191"/>
      <c r="E805" s="191"/>
      <c r="F805" s="191"/>
      <c r="G805" s="386"/>
      <c r="H805" s="386"/>
      <c r="I805" s="46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 spans="1:26" ht="14.4">
      <c r="A806" s="191"/>
      <c r="B806" s="191"/>
      <c r="C806" s="191"/>
      <c r="D806" s="191"/>
      <c r="E806" s="191"/>
      <c r="F806" s="191"/>
      <c r="G806" s="386"/>
      <c r="H806" s="386"/>
      <c r="I806" s="46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 spans="1:26" ht="14.4">
      <c r="A807" s="191"/>
      <c r="B807" s="191"/>
      <c r="C807" s="191"/>
      <c r="D807" s="191"/>
      <c r="E807" s="191"/>
      <c r="F807" s="191"/>
      <c r="G807" s="386"/>
      <c r="H807" s="386"/>
      <c r="I807" s="46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 spans="1:26" ht="14.4">
      <c r="A808" s="191"/>
      <c r="B808" s="191"/>
      <c r="C808" s="191"/>
      <c r="D808" s="191"/>
      <c r="E808" s="191"/>
      <c r="F808" s="191"/>
      <c r="G808" s="386"/>
      <c r="H808" s="386"/>
      <c r="I808" s="46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 spans="1:26" ht="14.4">
      <c r="A809" s="191"/>
      <c r="B809" s="191"/>
      <c r="C809" s="191"/>
      <c r="D809" s="191"/>
      <c r="E809" s="191"/>
      <c r="F809" s="191"/>
      <c r="G809" s="386"/>
      <c r="H809" s="386"/>
      <c r="I809" s="46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 spans="1:26" ht="14.4">
      <c r="A810" s="191"/>
      <c r="B810" s="191"/>
      <c r="C810" s="191"/>
      <c r="D810" s="191"/>
      <c r="E810" s="191"/>
      <c r="F810" s="191"/>
      <c r="G810" s="386"/>
      <c r="H810" s="386"/>
      <c r="I810" s="46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 spans="1:26" ht="14.4">
      <c r="A811" s="191"/>
      <c r="B811" s="191"/>
      <c r="C811" s="191"/>
      <c r="D811" s="191"/>
      <c r="E811" s="191"/>
      <c r="F811" s="191"/>
      <c r="G811" s="386"/>
      <c r="H811" s="386"/>
      <c r="I811" s="46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 spans="1:26" ht="14.4">
      <c r="A812" s="191"/>
      <c r="B812" s="191"/>
      <c r="C812" s="191"/>
      <c r="D812" s="191"/>
      <c r="E812" s="191"/>
      <c r="F812" s="191"/>
      <c r="G812" s="386"/>
      <c r="H812" s="386"/>
      <c r="I812" s="46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 spans="1:26" ht="14.4">
      <c r="A813" s="191"/>
      <c r="B813" s="191"/>
      <c r="C813" s="191"/>
      <c r="D813" s="191"/>
      <c r="E813" s="191"/>
      <c r="F813" s="191"/>
      <c r="G813" s="386"/>
      <c r="H813" s="386"/>
      <c r="I813" s="46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 spans="1:26" ht="14.4">
      <c r="A814" s="191"/>
      <c r="B814" s="191"/>
      <c r="C814" s="191"/>
      <c r="D814" s="191"/>
      <c r="E814" s="191"/>
      <c r="F814" s="191"/>
      <c r="G814" s="386"/>
      <c r="H814" s="386"/>
      <c r="I814" s="46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 spans="1:26" ht="14.4">
      <c r="A815" s="191"/>
      <c r="B815" s="191"/>
      <c r="C815" s="191"/>
      <c r="D815" s="191"/>
      <c r="E815" s="191"/>
      <c r="F815" s="191"/>
      <c r="G815" s="386"/>
      <c r="H815" s="386"/>
      <c r="I815" s="46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 spans="1:26" ht="14.4">
      <c r="A816" s="191"/>
      <c r="B816" s="191"/>
      <c r="C816" s="191"/>
      <c r="D816" s="191"/>
      <c r="E816" s="191"/>
      <c r="F816" s="191"/>
      <c r="G816" s="386"/>
      <c r="H816" s="386"/>
      <c r="I816" s="46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 spans="1:26" ht="14.4">
      <c r="A817" s="191"/>
      <c r="B817" s="191"/>
      <c r="C817" s="191"/>
      <c r="D817" s="191"/>
      <c r="E817" s="191"/>
      <c r="F817" s="191"/>
      <c r="G817" s="386"/>
      <c r="H817" s="386"/>
      <c r="I817" s="46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 spans="1:26" ht="14.4">
      <c r="A818" s="191"/>
      <c r="B818" s="191"/>
      <c r="C818" s="191"/>
      <c r="D818" s="191"/>
      <c r="E818" s="191"/>
      <c r="F818" s="191"/>
      <c r="G818" s="386"/>
      <c r="H818" s="386"/>
      <c r="I818" s="46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 spans="1:26" ht="14.4">
      <c r="A819" s="191"/>
      <c r="B819" s="191"/>
      <c r="C819" s="191"/>
      <c r="D819" s="191"/>
      <c r="E819" s="191"/>
      <c r="F819" s="191"/>
      <c r="G819" s="386"/>
      <c r="H819" s="386"/>
      <c r="I819" s="46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 spans="1:26" ht="14.4">
      <c r="A820" s="191"/>
      <c r="B820" s="191"/>
      <c r="C820" s="191"/>
      <c r="D820" s="191"/>
      <c r="E820" s="191"/>
      <c r="F820" s="191"/>
      <c r="G820" s="386"/>
      <c r="H820" s="386"/>
      <c r="I820" s="46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 spans="1:26" ht="14.4">
      <c r="A821" s="191"/>
      <c r="B821" s="191"/>
      <c r="C821" s="191"/>
      <c r="D821" s="191"/>
      <c r="E821" s="191"/>
      <c r="F821" s="191"/>
      <c r="G821" s="386"/>
      <c r="H821" s="386"/>
      <c r="I821" s="46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 spans="1:26" ht="14.4">
      <c r="A822" s="191"/>
      <c r="B822" s="191"/>
      <c r="C822" s="191"/>
      <c r="D822" s="191"/>
      <c r="E822" s="191"/>
      <c r="F822" s="191"/>
      <c r="G822" s="386"/>
      <c r="H822" s="386"/>
      <c r="I822" s="46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 spans="1:26" ht="14.4">
      <c r="A823" s="191"/>
      <c r="B823" s="191"/>
      <c r="C823" s="191"/>
      <c r="D823" s="191"/>
      <c r="E823" s="191"/>
      <c r="F823" s="191"/>
      <c r="G823" s="386"/>
      <c r="H823" s="386"/>
      <c r="I823" s="46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 spans="1:26" ht="14.4">
      <c r="A824" s="191"/>
      <c r="B824" s="191"/>
      <c r="C824" s="191"/>
      <c r="D824" s="191"/>
      <c r="E824" s="191"/>
      <c r="F824" s="191"/>
      <c r="G824" s="386"/>
      <c r="H824" s="386"/>
      <c r="I824" s="46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 spans="1:26" ht="14.4">
      <c r="A825" s="191"/>
      <c r="B825" s="191"/>
      <c r="C825" s="191"/>
      <c r="D825" s="191"/>
      <c r="E825" s="191"/>
      <c r="F825" s="191"/>
      <c r="G825" s="386"/>
      <c r="H825" s="386"/>
      <c r="I825" s="46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 spans="1:26" ht="14.4">
      <c r="A826" s="191"/>
      <c r="B826" s="191"/>
      <c r="C826" s="191"/>
      <c r="D826" s="191"/>
      <c r="E826" s="191"/>
      <c r="F826" s="191"/>
      <c r="G826" s="386"/>
      <c r="H826" s="386"/>
      <c r="I826" s="46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 spans="1:26" ht="14.4">
      <c r="A827" s="191"/>
      <c r="B827" s="191"/>
      <c r="C827" s="191"/>
      <c r="D827" s="191"/>
      <c r="E827" s="191"/>
      <c r="F827" s="191"/>
      <c r="G827" s="386"/>
      <c r="H827" s="386"/>
      <c r="I827" s="46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 spans="1:26" ht="14.4">
      <c r="A828" s="191"/>
      <c r="B828" s="191"/>
      <c r="C828" s="191"/>
      <c r="D828" s="191"/>
      <c r="E828" s="191"/>
      <c r="F828" s="191"/>
      <c r="G828" s="386"/>
      <c r="H828" s="386"/>
      <c r="I828" s="46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 spans="1:26" ht="14.4">
      <c r="A829" s="191"/>
      <c r="B829" s="191"/>
      <c r="C829" s="191"/>
      <c r="D829" s="191"/>
      <c r="E829" s="191"/>
      <c r="F829" s="191"/>
      <c r="G829" s="386"/>
      <c r="H829" s="386"/>
      <c r="I829" s="46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 spans="1:26" ht="14.4">
      <c r="A830" s="191"/>
      <c r="B830" s="191"/>
      <c r="C830" s="191"/>
      <c r="D830" s="191"/>
      <c r="E830" s="191"/>
      <c r="F830" s="191"/>
      <c r="G830" s="386"/>
      <c r="H830" s="386"/>
      <c r="I830" s="46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 spans="1:26" ht="14.4">
      <c r="A831" s="191"/>
      <c r="B831" s="191"/>
      <c r="C831" s="191"/>
      <c r="D831" s="191"/>
      <c r="E831" s="191"/>
      <c r="F831" s="191"/>
      <c r="G831" s="386"/>
      <c r="H831" s="386"/>
      <c r="I831" s="46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 spans="1:26" ht="14.4">
      <c r="A832" s="191"/>
      <c r="B832" s="191"/>
      <c r="C832" s="191"/>
      <c r="D832" s="191"/>
      <c r="E832" s="191"/>
      <c r="F832" s="191"/>
      <c r="G832" s="386"/>
      <c r="H832" s="386"/>
      <c r="I832" s="46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 spans="1:26" ht="14.4">
      <c r="A833" s="191"/>
      <c r="B833" s="191"/>
      <c r="C833" s="191"/>
      <c r="D833" s="191"/>
      <c r="E833" s="191"/>
      <c r="F833" s="191"/>
      <c r="G833" s="386"/>
      <c r="H833" s="386"/>
      <c r="I833" s="46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 spans="1:26" ht="14.4">
      <c r="A834" s="191"/>
      <c r="B834" s="191"/>
      <c r="C834" s="191"/>
      <c r="D834" s="191"/>
      <c r="E834" s="191"/>
      <c r="F834" s="191"/>
      <c r="G834" s="386"/>
      <c r="H834" s="386"/>
      <c r="I834" s="46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 spans="1:26" ht="14.4">
      <c r="A835" s="191"/>
      <c r="B835" s="191"/>
      <c r="C835" s="191"/>
      <c r="D835" s="191"/>
      <c r="E835" s="191"/>
      <c r="F835" s="191"/>
      <c r="G835" s="386"/>
      <c r="H835" s="386"/>
      <c r="I835" s="46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 spans="1:26" ht="14.4">
      <c r="A836" s="191"/>
      <c r="B836" s="191"/>
      <c r="C836" s="191"/>
      <c r="D836" s="191"/>
      <c r="E836" s="191"/>
      <c r="F836" s="191"/>
      <c r="G836" s="386"/>
      <c r="H836" s="386"/>
      <c r="I836" s="46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 spans="1:26" ht="14.4">
      <c r="A837" s="191"/>
      <c r="B837" s="191"/>
      <c r="C837" s="191"/>
      <c r="D837" s="191"/>
      <c r="E837" s="191"/>
      <c r="F837" s="191"/>
      <c r="G837" s="386"/>
      <c r="H837" s="386"/>
      <c r="I837" s="46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 spans="1:26" ht="14.4">
      <c r="A838" s="191"/>
      <c r="B838" s="191"/>
      <c r="C838" s="191"/>
      <c r="D838" s="191"/>
      <c r="E838" s="191"/>
      <c r="F838" s="191"/>
      <c r="G838" s="386"/>
      <c r="H838" s="386"/>
      <c r="I838" s="46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 spans="1:26" ht="14.4">
      <c r="A839" s="191"/>
      <c r="B839" s="191"/>
      <c r="C839" s="191"/>
      <c r="D839" s="191"/>
      <c r="E839" s="191"/>
      <c r="F839" s="191"/>
      <c r="G839" s="386"/>
      <c r="H839" s="386"/>
      <c r="I839" s="46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 spans="1:26" ht="14.4">
      <c r="A840" s="191"/>
      <c r="B840" s="191"/>
      <c r="C840" s="191"/>
      <c r="D840" s="191"/>
      <c r="E840" s="191"/>
      <c r="F840" s="191"/>
      <c r="G840" s="386"/>
      <c r="H840" s="386"/>
      <c r="I840" s="46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 spans="1:26" ht="14.4">
      <c r="A841" s="191"/>
      <c r="B841" s="191"/>
      <c r="C841" s="191"/>
      <c r="D841" s="191"/>
      <c r="E841" s="191"/>
      <c r="F841" s="191"/>
      <c r="G841" s="386"/>
      <c r="H841" s="386"/>
      <c r="I841" s="46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 spans="1:26" ht="14.4">
      <c r="A842" s="191"/>
      <c r="B842" s="191"/>
      <c r="C842" s="191"/>
      <c r="D842" s="191"/>
      <c r="E842" s="191"/>
      <c r="F842" s="191"/>
      <c r="G842" s="386"/>
      <c r="H842" s="386"/>
      <c r="I842" s="46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 spans="1:26" ht="14.4">
      <c r="A843" s="191"/>
      <c r="B843" s="191"/>
      <c r="C843" s="191"/>
      <c r="D843" s="191"/>
      <c r="E843" s="191"/>
      <c r="F843" s="191"/>
      <c r="G843" s="386"/>
      <c r="H843" s="386"/>
      <c r="I843" s="46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 spans="1:26" ht="14.4">
      <c r="A844" s="191"/>
      <c r="B844" s="191"/>
      <c r="C844" s="191"/>
      <c r="D844" s="191"/>
      <c r="E844" s="191"/>
      <c r="F844" s="191"/>
      <c r="G844" s="386"/>
      <c r="H844" s="386"/>
      <c r="I844" s="46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 spans="1:26" ht="14.4">
      <c r="A845" s="191"/>
      <c r="B845" s="191"/>
      <c r="C845" s="191"/>
      <c r="D845" s="191"/>
      <c r="E845" s="191"/>
      <c r="F845" s="191"/>
      <c r="G845" s="386"/>
      <c r="H845" s="386"/>
      <c r="I845" s="46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 spans="1:26" ht="14.4">
      <c r="A846" s="191"/>
      <c r="B846" s="191"/>
      <c r="C846" s="191"/>
      <c r="D846" s="191"/>
      <c r="E846" s="191"/>
      <c r="F846" s="191"/>
      <c r="G846" s="386"/>
      <c r="H846" s="386"/>
      <c r="I846" s="46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 spans="1:26" ht="14.4">
      <c r="A847" s="191"/>
      <c r="B847" s="191"/>
      <c r="C847" s="191"/>
      <c r="D847" s="191"/>
      <c r="E847" s="191"/>
      <c r="F847" s="191"/>
      <c r="G847" s="386"/>
      <c r="H847" s="386"/>
      <c r="I847" s="46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 spans="1:26" ht="14.4">
      <c r="A848" s="191"/>
      <c r="B848" s="191"/>
      <c r="C848" s="191"/>
      <c r="D848" s="191"/>
      <c r="E848" s="191"/>
      <c r="F848" s="191"/>
      <c r="G848" s="386"/>
      <c r="H848" s="386"/>
      <c r="I848" s="46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 spans="1:26" ht="14.4">
      <c r="A849" s="191"/>
      <c r="B849" s="191"/>
      <c r="C849" s="191"/>
      <c r="D849" s="191"/>
      <c r="E849" s="191"/>
      <c r="F849" s="191"/>
      <c r="G849" s="386"/>
      <c r="H849" s="386"/>
      <c r="I849" s="46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 spans="1:26" ht="14.4">
      <c r="A850" s="191"/>
      <c r="B850" s="191"/>
      <c r="C850" s="191"/>
      <c r="D850" s="191"/>
      <c r="E850" s="191"/>
      <c r="F850" s="191"/>
      <c r="G850" s="386"/>
      <c r="H850" s="386"/>
      <c r="I850" s="46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 spans="1:26" ht="14.4">
      <c r="A851" s="191"/>
      <c r="B851" s="191"/>
      <c r="C851" s="191"/>
      <c r="D851" s="191"/>
      <c r="E851" s="191"/>
      <c r="F851" s="191"/>
      <c r="G851" s="386"/>
      <c r="H851" s="386"/>
      <c r="I851" s="46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 spans="1:26" ht="14.4">
      <c r="A852" s="191"/>
      <c r="B852" s="191"/>
      <c r="C852" s="191"/>
      <c r="D852" s="191"/>
      <c r="E852" s="191"/>
      <c r="F852" s="191"/>
      <c r="G852" s="386"/>
      <c r="H852" s="386"/>
      <c r="I852" s="46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 spans="1:26" ht="14.4">
      <c r="A853" s="191"/>
      <c r="B853" s="191"/>
      <c r="C853" s="191"/>
      <c r="D853" s="191"/>
      <c r="E853" s="191"/>
      <c r="F853" s="191"/>
      <c r="G853" s="386"/>
      <c r="H853" s="386"/>
      <c r="I853" s="46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 spans="1:26" ht="14.4">
      <c r="A854" s="191"/>
      <c r="B854" s="191"/>
      <c r="C854" s="191"/>
      <c r="D854" s="191"/>
      <c r="E854" s="191"/>
      <c r="F854" s="191"/>
      <c r="G854" s="386"/>
      <c r="H854" s="386"/>
      <c r="I854" s="46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 spans="1:26" ht="14.4">
      <c r="A855" s="191"/>
      <c r="B855" s="191"/>
      <c r="C855" s="191"/>
      <c r="D855" s="191"/>
      <c r="E855" s="191"/>
      <c r="F855" s="191"/>
      <c r="G855" s="386"/>
      <c r="H855" s="386"/>
      <c r="I855" s="46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 spans="1:26" ht="14.4">
      <c r="A856" s="191"/>
      <c r="B856" s="191"/>
      <c r="C856" s="191"/>
      <c r="D856" s="191"/>
      <c r="E856" s="191"/>
      <c r="F856" s="191"/>
      <c r="G856" s="386"/>
      <c r="H856" s="386"/>
      <c r="I856" s="46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 spans="1:26" ht="14.4">
      <c r="A857" s="191"/>
      <c r="B857" s="191"/>
      <c r="C857" s="191"/>
      <c r="D857" s="191"/>
      <c r="E857" s="191"/>
      <c r="F857" s="191"/>
      <c r="G857" s="386"/>
      <c r="H857" s="386"/>
      <c r="I857" s="46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 spans="1:26" ht="14.4">
      <c r="A858" s="191"/>
      <c r="B858" s="191"/>
      <c r="C858" s="191"/>
      <c r="D858" s="191"/>
      <c r="E858" s="191"/>
      <c r="F858" s="191"/>
      <c r="G858" s="386"/>
      <c r="H858" s="386"/>
      <c r="I858" s="46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 spans="1:26" ht="14.4">
      <c r="A859" s="191"/>
      <c r="B859" s="191"/>
      <c r="C859" s="191"/>
      <c r="D859" s="191"/>
      <c r="E859" s="191"/>
      <c r="F859" s="191"/>
      <c r="G859" s="386"/>
      <c r="H859" s="386"/>
      <c r="I859" s="46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 spans="1:26" ht="14.4">
      <c r="A860" s="191"/>
      <c r="B860" s="191"/>
      <c r="C860" s="191"/>
      <c r="D860" s="191"/>
      <c r="E860" s="191"/>
      <c r="F860" s="191"/>
      <c r="G860" s="386"/>
      <c r="H860" s="386"/>
      <c r="I860" s="46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 spans="1:26" ht="14.4">
      <c r="A861" s="191"/>
      <c r="B861" s="191"/>
      <c r="C861" s="191"/>
      <c r="D861" s="191"/>
      <c r="E861" s="191"/>
      <c r="F861" s="191"/>
      <c r="G861" s="386"/>
      <c r="H861" s="386"/>
      <c r="I861" s="46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 spans="1:26" ht="14.4">
      <c r="A862" s="191"/>
      <c r="B862" s="191"/>
      <c r="C862" s="191"/>
      <c r="D862" s="191"/>
      <c r="E862" s="191"/>
      <c r="F862" s="191"/>
      <c r="G862" s="386"/>
      <c r="H862" s="386"/>
      <c r="I862" s="46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 spans="1:26" ht="14.4">
      <c r="A863" s="191"/>
      <c r="B863" s="191"/>
      <c r="C863" s="191"/>
      <c r="D863" s="191"/>
      <c r="E863" s="191"/>
      <c r="F863" s="191"/>
      <c r="G863" s="386"/>
      <c r="H863" s="386"/>
      <c r="I863" s="46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 spans="1:26" ht="14.4">
      <c r="A864" s="191"/>
      <c r="B864" s="191"/>
      <c r="C864" s="191"/>
      <c r="D864" s="191"/>
      <c r="E864" s="191"/>
      <c r="F864" s="191"/>
      <c r="G864" s="386"/>
      <c r="H864" s="386"/>
      <c r="I864" s="46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 spans="1:26" ht="14.4">
      <c r="A865" s="191"/>
      <c r="B865" s="191"/>
      <c r="C865" s="191"/>
      <c r="D865" s="191"/>
      <c r="E865" s="191"/>
      <c r="F865" s="191"/>
      <c r="G865" s="386"/>
      <c r="H865" s="386"/>
      <c r="I865" s="46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 spans="1:26" ht="14.4">
      <c r="A866" s="191"/>
      <c r="B866" s="191"/>
      <c r="C866" s="191"/>
      <c r="D866" s="191"/>
      <c r="E866" s="191"/>
      <c r="F866" s="191"/>
      <c r="G866" s="386"/>
      <c r="H866" s="386"/>
      <c r="I866" s="46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 spans="1:26" ht="14.4">
      <c r="A867" s="191"/>
      <c r="B867" s="191"/>
      <c r="C867" s="191"/>
      <c r="D867" s="191"/>
      <c r="E867" s="191"/>
      <c r="F867" s="191"/>
      <c r="G867" s="386"/>
      <c r="H867" s="386"/>
      <c r="I867" s="46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 spans="1:26" ht="14.4">
      <c r="A868" s="191"/>
      <c r="B868" s="191"/>
      <c r="C868" s="191"/>
      <c r="D868" s="191"/>
      <c r="E868" s="191"/>
      <c r="F868" s="191"/>
      <c r="G868" s="386"/>
      <c r="H868" s="386"/>
      <c r="I868" s="46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 spans="1:26" ht="14.4">
      <c r="A869" s="191"/>
      <c r="B869" s="191"/>
      <c r="C869" s="191"/>
      <c r="D869" s="191"/>
      <c r="E869" s="191"/>
      <c r="F869" s="191"/>
      <c r="G869" s="386"/>
      <c r="H869" s="386"/>
      <c r="I869" s="46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 spans="1:26" ht="14.4">
      <c r="A870" s="191"/>
      <c r="B870" s="191"/>
      <c r="C870" s="191"/>
      <c r="D870" s="191"/>
      <c r="E870" s="191"/>
      <c r="F870" s="191"/>
      <c r="G870" s="386"/>
      <c r="H870" s="386"/>
      <c r="I870" s="46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 spans="1:26" ht="14.4">
      <c r="A871" s="191"/>
      <c r="B871" s="191"/>
      <c r="C871" s="191"/>
      <c r="D871" s="191"/>
      <c r="E871" s="191"/>
      <c r="F871" s="191"/>
      <c r="G871" s="386"/>
      <c r="H871" s="386"/>
      <c r="I871" s="46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 spans="1:26" ht="14.4">
      <c r="A872" s="191"/>
      <c r="B872" s="191"/>
      <c r="C872" s="191"/>
      <c r="D872" s="191"/>
      <c r="E872" s="191"/>
      <c r="F872" s="191"/>
      <c r="G872" s="386"/>
      <c r="H872" s="386"/>
      <c r="I872" s="46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 spans="1:26" ht="14.4">
      <c r="A873" s="191"/>
      <c r="B873" s="191"/>
      <c r="C873" s="191"/>
      <c r="D873" s="191"/>
      <c r="E873" s="191"/>
      <c r="F873" s="191"/>
      <c r="G873" s="386"/>
      <c r="H873" s="386"/>
      <c r="I873" s="46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 spans="1:26" ht="14.4">
      <c r="A874" s="191"/>
      <c r="B874" s="191"/>
      <c r="C874" s="191"/>
      <c r="D874" s="191"/>
      <c r="E874" s="191"/>
      <c r="F874" s="191"/>
      <c r="G874" s="386"/>
      <c r="H874" s="386"/>
      <c r="I874" s="46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 spans="1:26" ht="14.4">
      <c r="A875" s="191"/>
      <c r="B875" s="191"/>
      <c r="C875" s="191"/>
      <c r="D875" s="191"/>
      <c r="E875" s="191"/>
      <c r="F875" s="191"/>
      <c r="G875" s="386"/>
      <c r="H875" s="386"/>
      <c r="I875" s="46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 spans="1:26" ht="14.4">
      <c r="A876" s="191"/>
      <c r="B876" s="191"/>
      <c r="C876" s="191"/>
      <c r="D876" s="191"/>
      <c r="E876" s="191"/>
      <c r="F876" s="191"/>
      <c r="G876" s="386"/>
      <c r="H876" s="386"/>
      <c r="I876" s="46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 spans="1:26" ht="14.4">
      <c r="A877" s="191"/>
      <c r="B877" s="191"/>
      <c r="C877" s="191"/>
      <c r="D877" s="191"/>
      <c r="E877" s="191"/>
      <c r="F877" s="191"/>
      <c r="G877" s="386"/>
      <c r="H877" s="386"/>
      <c r="I877" s="46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 spans="1:26" ht="14.4">
      <c r="A878" s="191"/>
      <c r="B878" s="191"/>
      <c r="C878" s="191"/>
      <c r="D878" s="191"/>
      <c r="E878" s="191"/>
      <c r="F878" s="191"/>
      <c r="G878" s="386"/>
      <c r="H878" s="386"/>
      <c r="I878" s="46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 spans="1:26" ht="14.4">
      <c r="A879" s="191"/>
      <c r="B879" s="191"/>
      <c r="C879" s="191"/>
      <c r="D879" s="191"/>
      <c r="E879" s="191"/>
      <c r="F879" s="191"/>
      <c r="G879" s="386"/>
      <c r="H879" s="386"/>
      <c r="I879" s="46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 spans="1:26" ht="14.4">
      <c r="A880" s="191"/>
      <c r="B880" s="191"/>
      <c r="C880" s="191"/>
      <c r="D880" s="191"/>
      <c r="E880" s="191"/>
      <c r="F880" s="191"/>
      <c r="G880" s="386"/>
      <c r="H880" s="386"/>
      <c r="I880" s="46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 spans="1:26" ht="14.4">
      <c r="A881" s="191"/>
      <c r="B881" s="191"/>
      <c r="C881" s="191"/>
      <c r="D881" s="191"/>
      <c r="E881" s="191"/>
      <c r="F881" s="191"/>
      <c r="G881" s="386"/>
      <c r="H881" s="386"/>
      <c r="I881" s="46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 spans="1:26" ht="14.4">
      <c r="A882" s="191"/>
      <c r="B882" s="191"/>
      <c r="C882" s="191"/>
      <c r="D882" s="191"/>
      <c r="E882" s="191"/>
      <c r="F882" s="191"/>
      <c r="G882" s="386"/>
      <c r="H882" s="386"/>
      <c r="I882" s="46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 spans="1:26" ht="14.4">
      <c r="A883" s="191"/>
      <c r="B883" s="191"/>
      <c r="C883" s="191"/>
      <c r="D883" s="191"/>
      <c r="E883" s="191"/>
      <c r="F883" s="191"/>
      <c r="G883" s="386"/>
      <c r="H883" s="386"/>
      <c r="I883" s="46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 spans="1:26" ht="14.4">
      <c r="A884" s="191"/>
      <c r="B884" s="191"/>
      <c r="C884" s="191"/>
      <c r="D884" s="191"/>
      <c r="E884" s="191"/>
      <c r="F884" s="191"/>
      <c r="G884" s="386"/>
      <c r="H884" s="386"/>
      <c r="I884" s="46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 spans="1:26" ht="14.4">
      <c r="A885" s="191"/>
      <c r="B885" s="191"/>
      <c r="C885" s="191"/>
      <c r="D885" s="191"/>
      <c r="E885" s="191"/>
      <c r="F885" s="191"/>
      <c r="G885" s="386"/>
      <c r="H885" s="386"/>
      <c r="I885" s="46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 spans="1:26" ht="14.4">
      <c r="A886" s="191"/>
      <c r="B886" s="191"/>
      <c r="C886" s="191"/>
      <c r="D886" s="191"/>
      <c r="E886" s="191"/>
      <c r="F886" s="191"/>
      <c r="G886" s="386"/>
      <c r="H886" s="386"/>
      <c r="I886" s="46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 spans="1:26" ht="14.4">
      <c r="A887" s="191"/>
      <c r="B887" s="191"/>
      <c r="C887" s="191"/>
      <c r="D887" s="191"/>
      <c r="E887" s="191"/>
      <c r="F887" s="191"/>
      <c r="G887" s="386"/>
      <c r="H887" s="386"/>
      <c r="I887" s="46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 spans="1:26" ht="14.4">
      <c r="A888" s="191"/>
      <c r="B888" s="191"/>
      <c r="C888" s="191"/>
      <c r="D888" s="191"/>
      <c r="E888" s="191"/>
      <c r="F888" s="191"/>
      <c r="G888" s="386"/>
      <c r="H888" s="386"/>
      <c r="I888" s="46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 spans="1:26" ht="14.4">
      <c r="A889" s="191"/>
      <c r="B889" s="191"/>
      <c r="C889" s="191"/>
      <c r="D889" s="191"/>
      <c r="E889" s="191"/>
      <c r="F889" s="191"/>
      <c r="G889" s="386"/>
      <c r="H889" s="386"/>
      <c r="I889" s="46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 spans="1:26" ht="14.4">
      <c r="A890" s="191"/>
      <c r="B890" s="191"/>
      <c r="C890" s="191"/>
      <c r="D890" s="191"/>
      <c r="E890" s="191"/>
      <c r="F890" s="191"/>
      <c r="G890" s="386"/>
      <c r="H890" s="386"/>
      <c r="I890" s="46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 spans="1:26" ht="14.4">
      <c r="A891" s="191"/>
      <c r="B891" s="191"/>
      <c r="C891" s="191"/>
      <c r="D891" s="191"/>
      <c r="E891" s="191"/>
      <c r="F891" s="191"/>
      <c r="G891" s="386"/>
      <c r="H891" s="386"/>
      <c r="I891" s="46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 spans="1:26" ht="14.4">
      <c r="A892" s="191"/>
      <c r="B892" s="191"/>
      <c r="C892" s="191"/>
      <c r="D892" s="191"/>
      <c r="E892" s="191"/>
      <c r="F892" s="191"/>
      <c r="G892" s="386"/>
      <c r="H892" s="386"/>
      <c r="I892" s="46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 spans="1:26" ht="14.4">
      <c r="A893" s="191"/>
      <c r="B893" s="191"/>
      <c r="C893" s="191"/>
      <c r="D893" s="191"/>
      <c r="E893" s="191"/>
      <c r="F893" s="191"/>
      <c r="G893" s="386"/>
      <c r="H893" s="386"/>
      <c r="I893" s="46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 spans="1:26" ht="14.4">
      <c r="A894" s="191"/>
      <c r="B894" s="191"/>
      <c r="C894" s="191"/>
      <c r="D894" s="191"/>
      <c r="E894" s="191"/>
      <c r="F894" s="191"/>
      <c r="G894" s="386"/>
      <c r="H894" s="386"/>
      <c r="I894" s="46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 spans="1:26" ht="14.4">
      <c r="A895" s="191"/>
      <c r="B895" s="191"/>
      <c r="C895" s="191"/>
      <c r="D895" s="191"/>
      <c r="E895" s="191"/>
      <c r="F895" s="191"/>
      <c r="G895" s="386"/>
      <c r="H895" s="386"/>
      <c r="I895" s="46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 spans="1:26" ht="14.4">
      <c r="A896" s="191"/>
      <c r="B896" s="191"/>
      <c r="C896" s="191"/>
      <c r="D896" s="191"/>
      <c r="E896" s="191"/>
      <c r="F896" s="191"/>
      <c r="G896" s="386"/>
      <c r="H896" s="386"/>
      <c r="I896" s="46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 spans="1:26" ht="14.4">
      <c r="A897" s="191"/>
      <c r="B897" s="191"/>
      <c r="C897" s="191"/>
      <c r="D897" s="191"/>
      <c r="E897" s="191"/>
      <c r="F897" s="191"/>
      <c r="G897" s="386"/>
      <c r="H897" s="386"/>
      <c r="I897" s="46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 spans="1:26" ht="14.4">
      <c r="A898" s="191"/>
      <c r="B898" s="191"/>
      <c r="C898" s="191"/>
      <c r="D898" s="191"/>
      <c r="E898" s="191"/>
      <c r="F898" s="191"/>
      <c r="G898" s="386"/>
      <c r="H898" s="386"/>
      <c r="I898" s="46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 spans="1:26" ht="14.4">
      <c r="A899" s="191"/>
      <c r="B899" s="191"/>
      <c r="C899" s="191"/>
      <c r="D899" s="191"/>
      <c r="E899" s="191"/>
      <c r="F899" s="191"/>
      <c r="G899" s="386"/>
      <c r="H899" s="386"/>
      <c r="I899" s="46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 spans="1:26" ht="14.4">
      <c r="A900" s="191"/>
      <c r="B900" s="191"/>
      <c r="C900" s="191"/>
      <c r="D900" s="191"/>
      <c r="E900" s="191"/>
      <c r="F900" s="191"/>
      <c r="G900" s="386"/>
      <c r="H900" s="386"/>
      <c r="I900" s="46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 spans="1:26" ht="14.4">
      <c r="A901" s="191"/>
      <c r="B901" s="191"/>
      <c r="C901" s="191"/>
      <c r="D901" s="191"/>
      <c r="E901" s="191"/>
      <c r="F901" s="191"/>
      <c r="G901" s="386"/>
      <c r="H901" s="386"/>
      <c r="I901" s="46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 spans="1:26" ht="14.4">
      <c r="A902" s="191"/>
      <c r="B902" s="191"/>
      <c r="C902" s="191"/>
      <c r="D902" s="191"/>
      <c r="E902" s="191"/>
      <c r="F902" s="191"/>
      <c r="G902" s="386"/>
      <c r="H902" s="386"/>
      <c r="I902" s="46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 spans="1:26" ht="14.4">
      <c r="A903" s="191"/>
      <c r="B903" s="191"/>
      <c r="C903" s="191"/>
      <c r="D903" s="191"/>
      <c r="E903" s="191"/>
      <c r="F903" s="191"/>
      <c r="G903" s="386"/>
      <c r="H903" s="386"/>
      <c r="I903" s="46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 spans="1:26" ht="14.4">
      <c r="A904" s="191"/>
      <c r="B904" s="191"/>
      <c r="C904" s="191"/>
      <c r="D904" s="191"/>
      <c r="E904" s="191"/>
      <c r="F904" s="191"/>
      <c r="G904" s="386"/>
      <c r="H904" s="386"/>
      <c r="I904" s="46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 spans="1:26" ht="14.4">
      <c r="A905" s="191"/>
      <c r="B905" s="191"/>
      <c r="C905" s="191"/>
      <c r="D905" s="191"/>
      <c r="E905" s="191"/>
      <c r="F905" s="191"/>
      <c r="G905" s="386"/>
      <c r="H905" s="386"/>
      <c r="I905" s="46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 spans="1:26" ht="14.4">
      <c r="A906" s="191"/>
      <c r="B906" s="191"/>
      <c r="C906" s="191"/>
      <c r="D906" s="191"/>
      <c r="E906" s="191"/>
      <c r="F906" s="191"/>
      <c r="G906" s="386"/>
      <c r="H906" s="386"/>
      <c r="I906" s="46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 spans="1:26" ht="14.4">
      <c r="A907" s="191"/>
      <c r="B907" s="191"/>
      <c r="C907" s="191"/>
      <c r="D907" s="191"/>
      <c r="E907" s="191"/>
      <c r="F907" s="191"/>
      <c r="G907" s="386"/>
      <c r="H907" s="386"/>
      <c r="I907" s="46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 spans="1:26" ht="14.4">
      <c r="A908" s="191"/>
      <c r="B908" s="191"/>
      <c r="C908" s="191"/>
      <c r="D908" s="191"/>
      <c r="E908" s="191"/>
      <c r="F908" s="191"/>
      <c r="G908" s="386"/>
      <c r="H908" s="386"/>
      <c r="I908" s="46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 spans="1:26" ht="14.4">
      <c r="A909" s="191"/>
      <c r="B909" s="191"/>
      <c r="C909" s="191"/>
      <c r="D909" s="191"/>
      <c r="E909" s="191"/>
      <c r="F909" s="191"/>
      <c r="G909" s="386"/>
      <c r="H909" s="386"/>
      <c r="I909" s="46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 spans="1:26" ht="14.4">
      <c r="A910" s="191"/>
      <c r="B910" s="191"/>
      <c r="C910" s="191"/>
      <c r="D910" s="191"/>
      <c r="E910" s="191"/>
      <c r="F910" s="191"/>
      <c r="G910" s="386"/>
      <c r="H910" s="386"/>
      <c r="I910" s="46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 spans="1:26" ht="14.4">
      <c r="A911" s="191"/>
      <c r="B911" s="191"/>
      <c r="C911" s="191"/>
      <c r="D911" s="191"/>
      <c r="E911" s="191"/>
      <c r="F911" s="191"/>
      <c r="G911" s="386"/>
      <c r="H911" s="386"/>
      <c r="I911" s="46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 spans="1:26" ht="14.4">
      <c r="A912" s="191"/>
      <c r="B912" s="191"/>
      <c r="C912" s="191"/>
      <c r="D912" s="191"/>
      <c r="E912" s="191"/>
      <c r="F912" s="191"/>
      <c r="G912" s="386"/>
      <c r="H912" s="386"/>
      <c r="I912" s="46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 spans="1:26" ht="14.4">
      <c r="A913" s="191"/>
      <c r="B913" s="191"/>
      <c r="C913" s="191"/>
      <c r="D913" s="191"/>
      <c r="E913" s="191"/>
      <c r="F913" s="191"/>
      <c r="G913" s="386"/>
      <c r="H913" s="386"/>
      <c r="I913" s="46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 spans="1:26" ht="14.4">
      <c r="A914" s="191"/>
      <c r="B914" s="191"/>
      <c r="C914" s="191"/>
      <c r="D914" s="191"/>
      <c r="E914" s="191"/>
      <c r="F914" s="191"/>
      <c r="G914" s="386"/>
      <c r="H914" s="386"/>
      <c r="I914" s="46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 spans="1:26" ht="14.4">
      <c r="A915" s="191"/>
      <c r="B915" s="191"/>
      <c r="C915" s="191"/>
      <c r="D915" s="191"/>
      <c r="E915" s="191"/>
      <c r="F915" s="191"/>
      <c r="G915" s="386"/>
      <c r="H915" s="386"/>
      <c r="I915" s="46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 spans="1:26" ht="14.4">
      <c r="A916" s="191"/>
      <c r="B916" s="191"/>
      <c r="C916" s="191"/>
      <c r="D916" s="191"/>
      <c r="E916" s="191"/>
      <c r="F916" s="191"/>
      <c r="G916" s="386"/>
      <c r="H916" s="386"/>
      <c r="I916" s="46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 spans="1:26" ht="14.4">
      <c r="A917" s="191"/>
      <c r="B917" s="191"/>
      <c r="C917" s="191"/>
      <c r="D917" s="191"/>
      <c r="E917" s="191"/>
      <c r="F917" s="191"/>
      <c r="G917" s="386"/>
      <c r="H917" s="386"/>
      <c r="I917" s="46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 spans="1:26" ht="14.4">
      <c r="A918" s="191"/>
      <c r="B918" s="191"/>
      <c r="C918" s="191"/>
      <c r="D918" s="191"/>
      <c r="E918" s="191"/>
      <c r="F918" s="191"/>
      <c r="G918" s="386"/>
      <c r="H918" s="386"/>
      <c r="I918" s="46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 spans="1:26" ht="14.4">
      <c r="A919" s="191"/>
      <c r="B919" s="191"/>
      <c r="C919" s="191"/>
      <c r="D919" s="191"/>
      <c r="E919" s="191"/>
      <c r="F919" s="191"/>
      <c r="G919" s="386"/>
      <c r="H919" s="386"/>
      <c r="I919" s="46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 spans="1:26" ht="14.4">
      <c r="A920" s="191"/>
      <c r="B920" s="191"/>
      <c r="C920" s="191"/>
      <c r="D920" s="191"/>
      <c r="E920" s="191"/>
      <c r="F920" s="191"/>
      <c r="G920" s="386"/>
      <c r="H920" s="386"/>
      <c r="I920" s="46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 spans="1:26" ht="14.4">
      <c r="A921" s="191"/>
      <c r="B921" s="191"/>
      <c r="C921" s="191"/>
      <c r="D921" s="191"/>
      <c r="E921" s="191"/>
      <c r="F921" s="191"/>
      <c r="G921" s="386"/>
      <c r="H921" s="386"/>
      <c r="I921" s="46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 spans="1:26" ht="14.4">
      <c r="A922" s="191"/>
      <c r="B922" s="191"/>
      <c r="C922" s="191"/>
      <c r="D922" s="191"/>
      <c r="E922" s="191"/>
      <c r="F922" s="191"/>
      <c r="G922" s="386"/>
      <c r="H922" s="386"/>
      <c r="I922" s="46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 spans="1:26" ht="14.4">
      <c r="A923" s="191"/>
      <c r="B923" s="191"/>
      <c r="C923" s="191"/>
      <c r="D923" s="191"/>
      <c r="E923" s="191"/>
      <c r="F923" s="191"/>
      <c r="G923" s="386"/>
      <c r="H923" s="386"/>
      <c r="I923" s="46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 spans="1:26" ht="14.4">
      <c r="A924" s="191"/>
      <c r="B924" s="191"/>
      <c r="C924" s="191"/>
      <c r="D924" s="191"/>
      <c r="E924" s="191"/>
      <c r="F924" s="191"/>
      <c r="G924" s="386"/>
      <c r="H924" s="386"/>
      <c r="I924" s="46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 spans="1:26" ht="14.4">
      <c r="A925" s="191"/>
      <c r="B925" s="191"/>
      <c r="C925" s="191"/>
      <c r="D925" s="191"/>
      <c r="E925" s="191"/>
      <c r="F925" s="191"/>
      <c r="G925" s="386"/>
      <c r="H925" s="386"/>
      <c r="I925" s="46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 spans="1:26" ht="14.4">
      <c r="A926" s="191"/>
      <c r="B926" s="191"/>
      <c r="C926" s="191"/>
      <c r="D926" s="191"/>
      <c r="E926" s="191"/>
      <c r="F926" s="191"/>
      <c r="G926" s="386"/>
      <c r="H926" s="386"/>
      <c r="I926" s="46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 spans="1:26" ht="14.4">
      <c r="A927" s="191"/>
      <c r="B927" s="191"/>
      <c r="C927" s="191"/>
      <c r="D927" s="191"/>
      <c r="E927" s="191"/>
      <c r="F927" s="191"/>
      <c r="G927" s="386"/>
      <c r="H927" s="386"/>
      <c r="I927" s="46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 spans="1:26" ht="14.4">
      <c r="A928" s="191"/>
      <c r="B928" s="191"/>
      <c r="C928" s="191"/>
      <c r="D928" s="191"/>
      <c r="E928" s="191"/>
      <c r="F928" s="191"/>
      <c r="G928" s="386"/>
      <c r="H928" s="386"/>
      <c r="I928" s="46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 spans="1:26" ht="14.4">
      <c r="A929" s="191"/>
      <c r="B929" s="191"/>
      <c r="C929" s="191"/>
      <c r="D929" s="191"/>
      <c r="E929" s="191"/>
      <c r="F929" s="191"/>
      <c r="G929" s="386"/>
      <c r="H929" s="386"/>
      <c r="I929" s="46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 spans="1:26" ht="14.4">
      <c r="A930" s="191"/>
      <c r="B930" s="191"/>
      <c r="C930" s="191"/>
      <c r="D930" s="191"/>
      <c r="E930" s="191"/>
      <c r="F930" s="191"/>
      <c r="G930" s="386"/>
      <c r="H930" s="386"/>
      <c r="I930" s="46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 spans="1:26" ht="14.4">
      <c r="A931" s="191"/>
      <c r="B931" s="191"/>
      <c r="C931" s="191"/>
      <c r="D931" s="191"/>
      <c r="E931" s="191"/>
      <c r="F931" s="191"/>
      <c r="G931" s="386"/>
      <c r="H931" s="386"/>
      <c r="I931" s="46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 spans="1:26" ht="14.4">
      <c r="A932" s="191"/>
      <c r="B932" s="191"/>
      <c r="C932" s="191"/>
      <c r="D932" s="191"/>
      <c r="E932" s="191"/>
      <c r="F932" s="191"/>
      <c r="G932" s="386"/>
      <c r="H932" s="386"/>
      <c r="I932" s="46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 spans="1:26" ht="14.4">
      <c r="A933" s="191"/>
      <c r="B933" s="191"/>
      <c r="C933" s="191"/>
      <c r="D933" s="191"/>
      <c r="E933" s="191"/>
      <c r="F933" s="191"/>
      <c r="G933" s="386"/>
      <c r="H933" s="386"/>
      <c r="I933" s="46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 spans="1:26" ht="14.4">
      <c r="A934" s="191"/>
      <c r="B934" s="191"/>
      <c r="C934" s="191"/>
      <c r="D934" s="191"/>
      <c r="E934" s="191"/>
      <c r="F934" s="191"/>
      <c r="G934" s="386"/>
      <c r="H934" s="386"/>
      <c r="I934" s="46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 spans="1:26" ht="14.4">
      <c r="A935" s="191"/>
      <c r="B935" s="191"/>
      <c r="C935" s="191"/>
      <c r="D935" s="191"/>
      <c r="E935" s="191"/>
      <c r="F935" s="191"/>
      <c r="G935" s="386"/>
      <c r="H935" s="386"/>
      <c r="I935" s="46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 spans="1:26" ht="14.4">
      <c r="A936" s="191"/>
      <c r="B936" s="191"/>
      <c r="C936" s="191"/>
      <c r="D936" s="191"/>
      <c r="E936" s="191"/>
      <c r="F936" s="191"/>
      <c r="G936" s="386"/>
      <c r="H936" s="386"/>
      <c r="I936" s="46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 spans="1:26" ht="14.4">
      <c r="A937" s="191"/>
      <c r="B937" s="191"/>
      <c r="C937" s="191"/>
      <c r="D937" s="191"/>
      <c r="E937" s="191"/>
      <c r="F937" s="191"/>
      <c r="G937" s="386"/>
      <c r="H937" s="386"/>
      <c r="I937" s="46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 spans="1:26" ht="14.4">
      <c r="A938" s="191"/>
      <c r="B938" s="191"/>
      <c r="C938" s="191"/>
      <c r="D938" s="191"/>
      <c r="E938" s="191"/>
      <c r="F938" s="191"/>
      <c r="G938" s="386"/>
      <c r="H938" s="386"/>
      <c r="I938" s="46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 spans="1:26" ht="14.4">
      <c r="A939" s="191"/>
      <c r="B939" s="191"/>
      <c r="C939" s="191"/>
      <c r="D939" s="191"/>
      <c r="E939" s="191"/>
      <c r="F939" s="191"/>
      <c r="G939" s="386"/>
      <c r="H939" s="386"/>
      <c r="I939" s="46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 spans="1:26" ht="14.4">
      <c r="A940" s="191"/>
      <c r="B940" s="191"/>
      <c r="C940" s="191"/>
      <c r="D940" s="191"/>
      <c r="E940" s="191"/>
      <c r="F940" s="191"/>
      <c r="G940" s="386"/>
      <c r="H940" s="386"/>
      <c r="I940" s="46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 spans="1:26" ht="14.4">
      <c r="A941" s="191"/>
      <c r="B941" s="191"/>
      <c r="C941" s="191"/>
      <c r="D941" s="191"/>
      <c r="E941" s="191"/>
      <c r="F941" s="191"/>
      <c r="G941" s="386"/>
      <c r="H941" s="386"/>
      <c r="I941" s="46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 spans="1:26" ht="14.4">
      <c r="A942" s="191"/>
      <c r="B942" s="191"/>
      <c r="C942" s="191"/>
      <c r="D942" s="191"/>
      <c r="E942" s="191"/>
      <c r="F942" s="191"/>
      <c r="G942" s="386"/>
      <c r="H942" s="386"/>
      <c r="I942" s="46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 spans="1:26" ht="14.4">
      <c r="A943" s="191"/>
      <c r="B943" s="191"/>
      <c r="C943" s="191"/>
      <c r="D943" s="191"/>
      <c r="E943" s="191"/>
      <c r="F943" s="191"/>
      <c r="G943" s="386"/>
      <c r="H943" s="386"/>
      <c r="I943" s="46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 spans="1:26" ht="14.4">
      <c r="A944" s="191"/>
      <c r="B944" s="191"/>
      <c r="C944" s="191"/>
      <c r="D944" s="191"/>
      <c r="E944" s="191"/>
      <c r="F944" s="191"/>
      <c r="G944" s="386"/>
      <c r="H944" s="386"/>
      <c r="I944" s="46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 spans="1:26" ht="14.4">
      <c r="A945" s="191"/>
      <c r="B945" s="191"/>
      <c r="C945" s="191"/>
      <c r="D945" s="191"/>
      <c r="E945" s="191"/>
      <c r="F945" s="191"/>
      <c r="G945" s="386"/>
      <c r="H945" s="386"/>
      <c r="I945" s="46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 spans="1:26" ht="14.4">
      <c r="A946" s="191"/>
      <c r="B946" s="191"/>
      <c r="C946" s="191"/>
      <c r="D946" s="191"/>
      <c r="E946" s="191"/>
      <c r="F946" s="191"/>
      <c r="G946" s="386"/>
      <c r="H946" s="386"/>
      <c r="I946" s="46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 spans="1:26" ht="14.4">
      <c r="A947" s="191"/>
      <c r="B947" s="191"/>
      <c r="C947" s="191"/>
      <c r="D947" s="191"/>
      <c r="E947" s="191"/>
      <c r="F947" s="191"/>
      <c r="G947" s="386"/>
      <c r="H947" s="386"/>
      <c r="I947" s="46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 spans="1:26" ht="14.4">
      <c r="A948" s="191"/>
      <c r="B948" s="191"/>
      <c r="C948" s="191"/>
      <c r="D948" s="191"/>
      <c r="E948" s="191"/>
      <c r="F948" s="191"/>
      <c r="G948" s="386"/>
      <c r="H948" s="386"/>
      <c r="I948" s="46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 spans="1:26" ht="14.4">
      <c r="A949" s="191"/>
      <c r="B949" s="191"/>
      <c r="C949" s="191"/>
      <c r="D949" s="191"/>
      <c r="E949" s="191"/>
      <c r="F949" s="191"/>
      <c r="G949" s="386"/>
      <c r="H949" s="386"/>
      <c r="I949" s="46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 spans="1:26" ht="14.4">
      <c r="A950" s="191"/>
      <c r="B950" s="191"/>
      <c r="C950" s="191"/>
      <c r="D950" s="191"/>
      <c r="E950" s="191"/>
      <c r="F950" s="191"/>
      <c r="G950" s="386"/>
      <c r="H950" s="386"/>
      <c r="I950" s="46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 spans="1:26" ht="14.4">
      <c r="A951" s="191"/>
      <c r="B951" s="191"/>
      <c r="C951" s="191"/>
      <c r="D951" s="191"/>
      <c r="E951" s="191"/>
      <c r="F951" s="191"/>
      <c r="G951" s="386"/>
      <c r="H951" s="386"/>
      <c r="I951" s="46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 spans="1:26" ht="14.4">
      <c r="A952" s="191"/>
      <c r="B952" s="191"/>
      <c r="C952" s="191"/>
      <c r="D952" s="191"/>
      <c r="E952" s="191"/>
      <c r="F952" s="191"/>
      <c r="G952" s="386"/>
      <c r="H952" s="386"/>
      <c r="I952" s="46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 spans="1:26" ht="14.4">
      <c r="A953" s="191"/>
      <c r="B953" s="191"/>
      <c r="C953" s="191"/>
      <c r="D953" s="191"/>
      <c r="E953" s="191"/>
      <c r="F953" s="191"/>
      <c r="G953" s="386"/>
      <c r="H953" s="386"/>
      <c r="I953" s="46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 spans="1:26" ht="14.4">
      <c r="A954" s="191"/>
      <c r="B954" s="191"/>
      <c r="C954" s="191"/>
      <c r="D954" s="191"/>
      <c r="E954" s="191"/>
      <c r="F954" s="191"/>
      <c r="G954" s="386"/>
      <c r="H954" s="386"/>
      <c r="I954" s="46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 spans="1:26" ht="14.4">
      <c r="A955" s="191"/>
      <c r="B955" s="191"/>
      <c r="C955" s="191"/>
      <c r="D955" s="191"/>
      <c r="E955" s="191"/>
      <c r="F955" s="191"/>
      <c r="G955" s="386"/>
      <c r="H955" s="386"/>
      <c r="I955" s="46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 spans="1:26" ht="14.4">
      <c r="A956" s="191"/>
      <c r="B956" s="191"/>
      <c r="C956" s="191"/>
      <c r="D956" s="191"/>
      <c r="E956" s="191"/>
      <c r="F956" s="191"/>
      <c r="G956" s="386"/>
      <c r="H956" s="386"/>
      <c r="I956" s="46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 spans="1:26" ht="14.4">
      <c r="A957" s="191"/>
      <c r="B957" s="191"/>
      <c r="C957" s="191"/>
      <c r="D957" s="191"/>
      <c r="E957" s="191"/>
      <c r="F957" s="191"/>
      <c r="G957" s="386"/>
      <c r="H957" s="386"/>
      <c r="I957" s="46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 spans="1:26" ht="14.4">
      <c r="A958" s="191"/>
      <c r="B958" s="191"/>
      <c r="C958" s="191"/>
      <c r="D958" s="191"/>
      <c r="E958" s="191"/>
      <c r="F958" s="191"/>
      <c r="G958" s="386"/>
      <c r="H958" s="386"/>
      <c r="I958" s="46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 spans="1:26" ht="14.4">
      <c r="A959" s="191"/>
      <c r="B959" s="191"/>
      <c r="C959" s="191"/>
      <c r="D959" s="191"/>
      <c r="E959" s="191"/>
      <c r="F959" s="191"/>
      <c r="G959" s="386"/>
      <c r="H959" s="386"/>
      <c r="I959" s="46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 spans="1:26" ht="14.4">
      <c r="A960" s="191"/>
      <c r="B960" s="191"/>
      <c r="C960" s="191"/>
      <c r="D960" s="191"/>
      <c r="E960" s="191"/>
      <c r="F960" s="191"/>
      <c r="G960" s="386"/>
      <c r="H960" s="386"/>
      <c r="I960" s="46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 spans="1:26" ht="14.4">
      <c r="A961" s="191"/>
      <c r="B961" s="191"/>
      <c r="C961" s="191"/>
      <c r="D961" s="191"/>
      <c r="E961" s="191"/>
      <c r="F961" s="191"/>
      <c r="G961" s="386"/>
      <c r="H961" s="386"/>
      <c r="I961" s="46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 spans="1:26" ht="14.4">
      <c r="A962" s="191"/>
      <c r="B962" s="191"/>
      <c r="C962" s="191"/>
      <c r="D962" s="191"/>
      <c r="E962" s="191"/>
      <c r="F962" s="191"/>
      <c r="G962" s="386"/>
      <c r="H962" s="386"/>
      <c r="I962" s="46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 spans="1:26" ht="14.4">
      <c r="A963" s="191"/>
      <c r="B963" s="191"/>
      <c r="C963" s="191"/>
      <c r="D963" s="191"/>
      <c r="E963" s="191"/>
      <c r="F963" s="191"/>
      <c r="G963" s="386"/>
      <c r="H963" s="386"/>
      <c r="I963" s="46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  <row r="964" spans="1:26" ht="14.4">
      <c r="A964" s="191"/>
      <c r="B964" s="191"/>
      <c r="C964" s="191"/>
      <c r="D964" s="191"/>
      <c r="E964" s="191"/>
      <c r="F964" s="191"/>
      <c r="G964" s="386"/>
      <c r="H964" s="386"/>
      <c r="I964" s="463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</row>
    <row r="965" spans="1:26" ht="14.4">
      <c r="A965" s="191"/>
      <c r="B965" s="191"/>
      <c r="C965" s="191"/>
      <c r="D965" s="191"/>
      <c r="E965" s="191"/>
      <c r="F965" s="191"/>
      <c r="G965" s="386"/>
      <c r="H965" s="386"/>
      <c r="I965" s="463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</row>
    <row r="966" spans="1:26" ht="14.4">
      <c r="A966" s="191"/>
      <c r="B966" s="191"/>
      <c r="C966" s="191"/>
      <c r="D966" s="191"/>
      <c r="E966" s="191"/>
      <c r="F966" s="191"/>
      <c r="G966" s="386"/>
      <c r="H966" s="386"/>
      <c r="I966" s="463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</row>
    <row r="967" spans="1:26" ht="14.4">
      <c r="A967" s="191"/>
      <c r="B967" s="191"/>
      <c r="C967" s="191"/>
      <c r="D967" s="191"/>
      <c r="E967" s="191"/>
      <c r="F967" s="191"/>
      <c r="G967" s="386"/>
      <c r="H967" s="386"/>
      <c r="I967" s="463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</row>
    <row r="968" spans="1:26" ht="14.4">
      <c r="A968" s="191"/>
      <c r="B968" s="191"/>
      <c r="C968" s="191"/>
      <c r="D968" s="191"/>
      <c r="E968" s="191"/>
      <c r="F968" s="191"/>
      <c r="G968" s="386"/>
      <c r="H968" s="386"/>
      <c r="I968" s="463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</row>
    <row r="969" spans="1:26" ht="14.4">
      <c r="A969" s="191"/>
      <c r="B969" s="191"/>
      <c r="C969" s="191"/>
      <c r="D969" s="191"/>
      <c r="E969" s="191"/>
      <c r="F969" s="191"/>
      <c r="G969" s="386"/>
      <c r="H969" s="386"/>
      <c r="I969" s="463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</row>
    <row r="970" spans="1:26" ht="14.4">
      <c r="A970" s="191"/>
      <c r="B970" s="191"/>
      <c r="C970" s="191"/>
      <c r="D970" s="191"/>
      <c r="E970" s="191"/>
      <c r="F970" s="191"/>
      <c r="G970" s="386"/>
      <c r="H970" s="386"/>
      <c r="I970" s="463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</row>
    <row r="971" spans="1:26" ht="14.4">
      <c r="A971" s="191"/>
      <c r="B971" s="191"/>
      <c r="C971" s="191"/>
      <c r="D971" s="191"/>
      <c r="E971" s="191"/>
      <c r="F971" s="191"/>
      <c r="G971" s="386"/>
      <c r="H971" s="386"/>
      <c r="I971" s="463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</row>
    <row r="972" spans="1:26" ht="14.4">
      <c r="A972" s="191"/>
      <c r="B972" s="191"/>
      <c r="C972" s="191"/>
      <c r="D972" s="191"/>
      <c r="E972" s="191"/>
      <c r="F972" s="191"/>
      <c r="G972" s="386"/>
      <c r="H972" s="386"/>
      <c r="I972" s="463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</row>
    <row r="973" spans="1:26" ht="14.4">
      <c r="A973" s="191"/>
      <c r="B973" s="191"/>
      <c r="C973" s="191"/>
      <c r="D973" s="191"/>
      <c r="E973" s="191"/>
      <c r="F973" s="191"/>
      <c r="G973" s="386"/>
      <c r="H973" s="386"/>
      <c r="I973" s="463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</row>
    <row r="974" spans="1:26" ht="14.4">
      <c r="A974" s="191"/>
      <c r="B974" s="191"/>
      <c r="C974" s="191"/>
      <c r="D974" s="191"/>
      <c r="E974" s="191"/>
      <c r="F974" s="191"/>
      <c r="G974" s="386"/>
      <c r="H974" s="386"/>
      <c r="I974" s="463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</row>
  </sheetData>
  <mergeCells count="12">
    <mergeCell ref="A148:A159"/>
    <mergeCell ref="A160:A182"/>
    <mergeCell ref="A1:B1"/>
    <mergeCell ref="A3:A22"/>
    <mergeCell ref="A23:A60"/>
    <mergeCell ref="A61:A87"/>
    <mergeCell ref="A88:A147"/>
    <mergeCell ref="A245:A307"/>
    <mergeCell ref="A308:A325"/>
    <mergeCell ref="H327:I327"/>
    <mergeCell ref="K327:L327"/>
    <mergeCell ref="A344:B3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outlinePr summaryBelow="0" summaryRight="0"/>
  </sheetPr>
  <dimension ref="A1:Z981"/>
  <sheetViews>
    <sheetView workbookViewId="0"/>
  </sheetViews>
  <sheetFormatPr baseColWidth="10" defaultColWidth="12.6640625" defaultRowHeight="15.75" customHeight="1"/>
  <cols>
    <col min="2" max="2" width="38.21875" customWidth="1"/>
    <col min="8" max="8" width="16" customWidth="1"/>
    <col min="11" max="11" width="15.44140625" customWidth="1"/>
  </cols>
  <sheetData>
    <row r="1" spans="1:26" ht="28.8">
      <c r="A1" s="681" t="s">
        <v>124</v>
      </c>
      <c r="B1" s="652"/>
      <c r="C1" s="1" t="s">
        <v>125</v>
      </c>
      <c r="D1" s="2" t="s">
        <v>126</v>
      </c>
      <c r="E1" s="2" t="s">
        <v>127</v>
      </c>
      <c r="F1" s="2" t="s">
        <v>0</v>
      </c>
      <c r="G1" s="186" t="s">
        <v>1</v>
      </c>
      <c r="H1" s="186" t="s">
        <v>128</v>
      </c>
      <c r="I1" s="187" t="s">
        <v>129</v>
      </c>
      <c r="J1" s="188" t="s">
        <v>130</v>
      </c>
      <c r="K1" s="189" t="s">
        <v>131</v>
      </c>
      <c r="L1" s="190" t="s">
        <v>2</v>
      </c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4.4">
      <c r="A2" s="192"/>
      <c r="B2" s="192"/>
      <c r="C2" s="193"/>
      <c r="D2" s="194"/>
      <c r="E2" s="194"/>
      <c r="F2" s="194"/>
      <c r="G2" s="195"/>
      <c r="H2" s="195"/>
      <c r="I2" s="196"/>
      <c r="J2" s="197"/>
      <c r="K2" s="198"/>
      <c r="L2" s="198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spans="1:26" ht="14.4">
      <c r="A3" s="682" t="s">
        <v>3</v>
      </c>
      <c r="B3" s="199" t="s">
        <v>4</v>
      </c>
      <c r="C3" s="200">
        <f>199+10</f>
        <v>209</v>
      </c>
      <c r="D3" s="201">
        <v>250</v>
      </c>
      <c r="E3" s="201"/>
      <c r="F3" s="202">
        <f t="shared" ref="F3:F21" si="0">+C3+D3-E3</f>
        <v>459</v>
      </c>
      <c r="G3" s="203">
        <v>65840</v>
      </c>
      <c r="H3" s="203">
        <v>67000</v>
      </c>
      <c r="I3" s="204"/>
      <c r="J3" s="205">
        <f t="shared" ref="J3:J21" si="1">+H3*I3</f>
        <v>0</v>
      </c>
      <c r="K3" s="205">
        <f t="shared" ref="K3:K21" si="2">+(H3-G3)*I3</f>
        <v>0</v>
      </c>
      <c r="L3" s="205">
        <f t="shared" ref="L3:L21" si="3">+G3*F3</f>
        <v>30220560</v>
      </c>
      <c r="M3" s="206">
        <f t="shared" ref="M3:M21" si="4">F3*H3</f>
        <v>30753000</v>
      </c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26" ht="14.4">
      <c r="A4" s="654"/>
      <c r="B4" s="199" t="s">
        <v>5</v>
      </c>
      <c r="C4" s="200">
        <v>7</v>
      </c>
      <c r="D4" s="201"/>
      <c r="E4" s="201"/>
      <c r="F4" s="202">
        <f t="shared" si="0"/>
        <v>7</v>
      </c>
      <c r="G4" s="203">
        <v>61554</v>
      </c>
      <c r="H4" s="203">
        <v>62000</v>
      </c>
      <c r="I4" s="204"/>
      <c r="J4" s="205">
        <f t="shared" si="1"/>
        <v>0</v>
      </c>
      <c r="K4" s="205">
        <f t="shared" si="2"/>
        <v>0</v>
      </c>
      <c r="L4" s="205">
        <f t="shared" si="3"/>
        <v>430878</v>
      </c>
      <c r="M4" s="207">
        <f t="shared" si="4"/>
        <v>434000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26" ht="14.4">
      <c r="A5" s="654"/>
      <c r="B5" s="199" t="s">
        <v>132</v>
      </c>
      <c r="C5" s="200">
        <v>40</v>
      </c>
      <c r="D5" s="201"/>
      <c r="E5" s="201"/>
      <c r="F5" s="202">
        <f t="shared" si="0"/>
        <v>40</v>
      </c>
      <c r="G5" s="203">
        <v>50000</v>
      </c>
      <c r="H5" s="203">
        <v>55000</v>
      </c>
      <c r="I5" s="204"/>
      <c r="J5" s="205">
        <f t="shared" si="1"/>
        <v>0</v>
      </c>
      <c r="K5" s="205">
        <f t="shared" si="2"/>
        <v>0</v>
      </c>
      <c r="L5" s="205">
        <f t="shared" si="3"/>
        <v>2000000</v>
      </c>
      <c r="M5" s="207">
        <f t="shared" si="4"/>
        <v>2200000</v>
      </c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26" ht="14.4">
      <c r="A6" s="654"/>
      <c r="B6" s="199" t="s">
        <v>20</v>
      </c>
      <c r="C6" s="200">
        <v>1</v>
      </c>
      <c r="D6" s="201"/>
      <c r="E6" s="201"/>
      <c r="F6" s="202">
        <f t="shared" si="0"/>
        <v>1</v>
      </c>
      <c r="G6" s="203">
        <v>63954</v>
      </c>
      <c r="H6" s="203">
        <v>62000</v>
      </c>
      <c r="I6" s="204"/>
      <c r="J6" s="205">
        <f t="shared" si="1"/>
        <v>0</v>
      </c>
      <c r="K6" s="205">
        <f t="shared" si="2"/>
        <v>0</v>
      </c>
      <c r="L6" s="205">
        <f t="shared" si="3"/>
        <v>63954</v>
      </c>
      <c r="M6" s="207">
        <f t="shared" si="4"/>
        <v>62000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14.4">
      <c r="A7" s="654"/>
      <c r="B7" s="199" t="s">
        <v>7</v>
      </c>
      <c r="C7" s="200">
        <f>24.5+6</f>
        <v>30.5</v>
      </c>
      <c r="D7" s="201">
        <v>30</v>
      </c>
      <c r="E7" s="201"/>
      <c r="F7" s="202">
        <f t="shared" si="0"/>
        <v>60.5</v>
      </c>
      <c r="G7" s="203">
        <v>50263</v>
      </c>
      <c r="H7" s="203">
        <v>52000</v>
      </c>
      <c r="I7" s="204"/>
      <c r="J7" s="205">
        <f t="shared" si="1"/>
        <v>0</v>
      </c>
      <c r="K7" s="205">
        <f t="shared" si="2"/>
        <v>0</v>
      </c>
      <c r="L7" s="205">
        <f t="shared" si="3"/>
        <v>3040911.5</v>
      </c>
      <c r="M7" s="207">
        <f t="shared" si="4"/>
        <v>3146000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14.4">
      <c r="A8" s="654"/>
      <c r="B8" s="199" t="s">
        <v>8</v>
      </c>
      <c r="C8" s="200">
        <v>7</v>
      </c>
      <c r="D8" s="201"/>
      <c r="E8" s="201"/>
      <c r="F8" s="202">
        <f t="shared" si="0"/>
        <v>7</v>
      </c>
      <c r="G8" s="203">
        <v>57359</v>
      </c>
      <c r="H8" s="203">
        <v>62000</v>
      </c>
      <c r="I8" s="204"/>
      <c r="J8" s="205">
        <f t="shared" si="1"/>
        <v>0</v>
      </c>
      <c r="K8" s="205">
        <f t="shared" si="2"/>
        <v>0</v>
      </c>
      <c r="L8" s="205">
        <f t="shared" si="3"/>
        <v>401513</v>
      </c>
      <c r="M8" s="207">
        <f t="shared" si="4"/>
        <v>434000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spans="1:26" ht="14.4">
      <c r="A9" s="654"/>
      <c r="B9" s="199" t="s">
        <v>9</v>
      </c>
      <c r="C9" s="200">
        <f>67+3</f>
        <v>70</v>
      </c>
      <c r="D9" s="201"/>
      <c r="E9" s="201"/>
      <c r="F9" s="202">
        <f t="shared" si="0"/>
        <v>70</v>
      </c>
      <c r="G9" s="203">
        <v>84094</v>
      </c>
      <c r="H9" s="203">
        <v>85000</v>
      </c>
      <c r="I9" s="204"/>
      <c r="J9" s="205">
        <f t="shared" si="1"/>
        <v>0</v>
      </c>
      <c r="K9" s="205">
        <f t="shared" si="2"/>
        <v>0</v>
      </c>
      <c r="L9" s="205">
        <f t="shared" si="3"/>
        <v>5886580</v>
      </c>
      <c r="M9" s="207">
        <f t="shared" si="4"/>
        <v>5950000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spans="1:26" ht="14.4">
      <c r="A10" s="654"/>
      <c r="B10" s="199" t="s">
        <v>133</v>
      </c>
      <c r="C10" s="208">
        <v>3</v>
      </c>
      <c r="D10" s="201"/>
      <c r="E10" s="201"/>
      <c r="F10" s="202">
        <f t="shared" si="0"/>
        <v>3</v>
      </c>
      <c r="G10" s="203">
        <v>84094</v>
      </c>
      <c r="H10" s="203">
        <v>85000</v>
      </c>
      <c r="I10" s="204"/>
      <c r="J10" s="205">
        <f t="shared" si="1"/>
        <v>0</v>
      </c>
      <c r="K10" s="205">
        <f t="shared" si="2"/>
        <v>0</v>
      </c>
      <c r="L10" s="205">
        <f t="shared" si="3"/>
        <v>252282</v>
      </c>
      <c r="M10" s="207">
        <f t="shared" si="4"/>
        <v>255000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spans="1:26" ht="14.4">
      <c r="A11" s="654"/>
      <c r="B11" s="199" t="s">
        <v>10</v>
      </c>
      <c r="C11" s="200">
        <v>3.5</v>
      </c>
      <c r="D11" s="201"/>
      <c r="E11" s="201"/>
      <c r="F11" s="202">
        <f t="shared" si="0"/>
        <v>3.5</v>
      </c>
      <c r="G11" s="203">
        <v>84094</v>
      </c>
      <c r="H11" s="203">
        <v>85000</v>
      </c>
      <c r="I11" s="204"/>
      <c r="J11" s="205">
        <f t="shared" si="1"/>
        <v>0</v>
      </c>
      <c r="K11" s="205">
        <f t="shared" si="2"/>
        <v>0</v>
      </c>
      <c r="L11" s="205">
        <f t="shared" si="3"/>
        <v>294329</v>
      </c>
      <c r="M11" s="207">
        <f t="shared" si="4"/>
        <v>297500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spans="1:26" ht="14.4">
      <c r="A12" s="654"/>
      <c r="B12" s="199" t="s">
        <v>11</v>
      </c>
      <c r="C12" s="200">
        <v>9</v>
      </c>
      <c r="D12" s="201"/>
      <c r="E12" s="201"/>
      <c r="F12" s="202">
        <f t="shared" si="0"/>
        <v>9</v>
      </c>
      <c r="G12" s="203">
        <v>50682</v>
      </c>
      <c r="H12" s="203">
        <v>52000</v>
      </c>
      <c r="I12" s="204"/>
      <c r="J12" s="205">
        <f t="shared" si="1"/>
        <v>0</v>
      </c>
      <c r="K12" s="205">
        <f t="shared" si="2"/>
        <v>0</v>
      </c>
      <c r="L12" s="205">
        <f t="shared" si="3"/>
        <v>456138</v>
      </c>
      <c r="M12" s="207">
        <f t="shared" si="4"/>
        <v>468000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spans="1:26" ht="14.4">
      <c r="A13" s="654"/>
      <c r="B13" s="199" t="s">
        <v>12</v>
      </c>
      <c r="C13" s="200">
        <v>6</v>
      </c>
      <c r="D13" s="201"/>
      <c r="E13" s="201"/>
      <c r="F13" s="202">
        <f t="shared" si="0"/>
        <v>6</v>
      </c>
      <c r="G13" s="203">
        <v>59857</v>
      </c>
      <c r="H13" s="203">
        <v>61000</v>
      </c>
      <c r="I13" s="204"/>
      <c r="J13" s="205">
        <f t="shared" si="1"/>
        <v>0</v>
      </c>
      <c r="K13" s="205">
        <f t="shared" si="2"/>
        <v>0</v>
      </c>
      <c r="L13" s="205">
        <f t="shared" si="3"/>
        <v>359142</v>
      </c>
      <c r="M13" s="207">
        <f t="shared" si="4"/>
        <v>366000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spans="1:26" ht="14.4">
      <c r="A14" s="654"/>
      <c r="B14" s="199" t="s">
        <v>13</v>
      </c>
      <c r="C14" s="200">
        <v>238</v>
      </c>
      <c r="D14" s="201">
        <v>90</v>
      </c>
      <c r="E14" s="201"/>
      <c r="F14" s="202">
        <f t="shared" si="0"/>
        <v>328</v>
      </c>
      <c r="G14" s="203">
        <v>41665</v>
      </c>
      <c r="H14" s="203">
        <v>45000</v>
      </c>
      <c r="I14" s="204"/>
      <c r="J14" s="205">
        <f t="shared" si="1"/>
        <v>0</v>
      </c>
      <c r="K14" s="205">
        <f t="shared" si="2"/>
        <v>0</v>
      </c>
      <c r="L14" s="205">
        <f t="shared" si="3"/>
        <v>13666120</v>
      </c>
      <c r="M14" s="207">
        <f t="shared" si="4"/>
        <v>14760000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spans="1:26" ht="14.4">
      <c r="A15" s="654"/>
      <c r="B15" s="209" t="s">
        <v>14</v>
      </c>
      <c r="C15" s="200">
        <v>16</v>
      </c>
      <c r="D15" s="201"/>
      <c r="E15" s="201"/>
      <c r="F15" s="202">
        <f t="shared" si="0"/>
        <v>16</v>
      </c>
      <c r="G15" s="203">
        <v>84091</v>
      </c>
      <c r="H15" s="203">
        <v>85000</v>
      </c>
      <c r="I15" s="204"/>
      <c r="J15" s="205">
        <f t="shared" si="1"/>
        <v>0</v>
      </c>
      <c r="K15" s="205">
        <f t="shared" si="2"/>
        <v>0</v>
      </c>
      <c r="L15" s="205">
        <f t="shared" si="3"/>
        <v>1345456</v>
      </c>
      <c r="M15" s="207">
        <f t="shared" si="4"/>
        <v>1360000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ht="14.4">
      <c r="A16" s="654"/>
      <c r="B16" s="209" t="s">
        <v>15</v>
      </c>
      <c r="C16" s="200">
        <v>5.5</v>
      </c>
      <c r="D16" s="201"/>
      <c r="E16" s="201"/>
      <c r="F16" s="202">
        <f t="shared" si="0"/>
        <v>5.5</v>
      </c>
      <c r="G16" s="203">
        <v>38815</v>
      </c>
      <c r="H16" s="203">
        <v>44000</v>
      </c>
      <c r="I16" s="204"/>
      <c r="J16" s="205">
        <f t="shared" si="1"/>
        <v>0</v>
      </c>
      <c r="K16" s="205">
        <f t="shared" si="2"/>
        <v>0</v>
      </c>
      <c r="L16" s="205">
        <f t="shared" si="3"/>
        <v>213482.5</v>
      </c>
      <c r="M16" s="207">
        <f t="shared" si="4"/>
        <v>242000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ht="14.4">
      <c r="A17" s="654"/>
      <c r="B17" s="209" t="s">
        <v>134</v>
      </c>
      <c r="C17" s="200">
        <v>22</v>
      </c>
      <c r="D17" s="201"/>
      <c r="E17" s="201"/>
      <c r="F17" s="202">
        <f t="shared" si="0"/>
        <v>22</v>
      </c>
      <c r="G17" s="203">
        <v>63954</v>
      </c>
      <c r="H17" s="203">
        <v>63000</v>
      </c>
      <c r="I17" s="204"/>
      <c r="J17" s="205">
        <f t="shared" si="1"/>
        <v>0</v>
      </c>
      <c r="K17" s="205">
        <f t="shared" si="2"/>
        <v>0</v>
      </c>
      <c r="L17" s="205">
        <f t="shared" si="3"/>
        <v>1406988</v>
      </c>
      <c r="M17" s="207">
        <f t="shared" si="4"/>
        <v>1386000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spans="1:26" ht="14.4">
      <c r="A18" s="654"/>
      <c r="B18" s="199" t="s">
        <v>17</v>
      </c>
      <c r="C18" s="200">
        <f>76+2</f>
        <v>78</v>
      </c>
      <c r="D18" s="201">
        <v>50</v>
      </c>
      <c r="E18" s="201"/>
      <c r="F18" s="202">
        <f t="shared" si="0"/>
        <v>128</v>
      </c>
      <c r="G18" s="210">
        <v>67488</v>
      </c>
      <c r="H18" s="210">
        <v>69000</v>
      </c>
      <c r="I18" s="204"/>
      <c r="J18" s="205">
        <f t="shared" si="1"/>
        <v>0</v>
      </c>
      <c r="K18" s="205">
        <f t="shared" si="2"/>
        <v>0</v>
      </c>
      <c r="L18" s="205">
        <f t="shared" si="3"/>
        <v>8638464</v>
      </c>
      <c r="M18" s="207">
        <f t="shared" si="4"/>
        <v>8832000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4.4">
      <c r="A19" s="654"/>
      <c r="B19" s="211" t="s">
        <v>18</v>
      </c>
      <c r="C19" s="469">
        <f>39+7</f>
        <v>46</v>
      </c>
      <c r="D19" s="201">
        <v>30</v>
      </c>
      <c r="E19" s="201"/>
      <c r="F19" s="202">
        <f t="shared" si="0"/>
        <v>76</v>
      </c>
      <c r="G19" s="210">
        <v>63202</v>
      </c>
      <c r="H19" s="210">
        <v>65000</v>
      </c>
      <c r="I19" s="204"/>
      <c r="J19" s="205">
        <f t="shared" si="1"/>
        <v>0</v>
      </c>
      <c r="K19" s="205">
        <f t="shared" si="2"/>
        <v>0</v>
      </c>
      <c r="L19" s="205">
        <f t="shared" si="3"/>
        <v>4803352</v>
      </c>
      <c r="M19" s="207">
        <f t="shared" si="4"/>
        <v>4940000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spans="1:26" ht="14.4">
      <c r="A20" s="654"/>
      <c r="B20" s="211" t="s">
        <v>135</v>
      </c>
      <c r="C20" s="200">
        <v>1</v>
      </c>
      <c r="D20" s="201"/>
      <c r="E20" s="201"/>
      <c r="F20" s="202">
        <f t="shared" si="0"/>
        <v>1</v>
      </c>
      <c r="G20" s="210">
        <v>63954</v>
      </c>
      <c r="H20" s="210">
        <v>63000</v>
      </c>
      <c r="I20" s="204"/>
      <c r="J20" s="205">
        <f t="shared" si="1"/>
        <v>0</v>
      </c>
      <c r="K20" s="205">
        <f t="shared" si="2"/>
        <v>0</v>
      </c>
      <c r="L20" s="205">
        <f t="shared" si="3"/>
        <v>63954</v>
      </c>
      <c r="M20" s="207">
        <f t="shared" si="4"/>
        <v>63000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spans="1:26" ht="14.4">
      <c r="A21" s="654"/>
      <c r="B21" s="211" t="s">
        <v>136</v>
      </c>
      <c r="C21" s="200"/>
      <c r="D21" s="201"/>
      <c r="E21" s="201"/>
      <c r="F21" s="202">
        <f t="shared" si="0"/>
        <v>0</v>
      </c>
      <c r="G21" s="212">
        <v>60453</v>
      </c>
      <c r="H21" s="212">
        <v>62000</v>
      </c>
      <c r="I21" s="213"/>
      <c r="J21" s="205">
        <f t="shared" si="1"/>
        <v>0</v>
      </c>
      <c r="K21" s="205">
        <f t="shared" si="2"/>
        <v>0</v>
      </c>
      <c r="L21" s="205">
        <f t="shared" si="3"/>
        <v>0</v>
      </c>
      <c r="M21" s="214">
        <f t="shared" si="4"/>
        <v>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spans="1:26" ht="14.4">
      <c r="A22" s="655"/>
      <c r="B22" s="215"/>
      <c r="C22" s="216">
        <f t="shared" ref="C22:F22" si="5">+SUM(C3:C18)</f>
        <v>745.5</v>
      </c>
      <c r="D22" s="216">
        <f t="shared" si="5"/>
        <v>420</v>
      </c>
      <c r="E22" s="216">
        <f t="shared" si="5"/>
        <v>0</v>
      </c>
      <c r="F22" s="216">
        <f t="shared" si="5"/>
        <v>1165.5</v>
      </c>
      <c r="G22" s="217">
        <f t="shared" ref="G22:M22" si="6">SUM(G3:G21)</f>
        <v>1195413</v>
      </c>
      <c r="H22" s="217">
        <f t="shared" si="6"/>
        <v>1224000</v>
      </c>
      <c r="I22" s="218">
        <f t="shared" si="6"/>
        <v>0</v>
      </c>
      <c r="J22" s="219">
        <f t="shared" si="6"/>
        <v>0</v>
      </c>
      <c r="K22" s="220">
        <f t="shared" si="6"/>
        <v>0</v>
      </c>
      <c r="L22" s="220">
        <f t="shared" si="6"/>
        <v>73544104</v>
      </c>
      <c r="M22" s="221">
        <f t="shared" si="6"/>
        <v>75948500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spans="1:26" ht="14.4">
      <c r="A23" s="683" t="s">
        <v>137</v>
      </c>
      <c r="B23" s="222" t="s">
        <v>138</v>
      </c>
      <c r="C23" s="223">
        <v>0.75</v>
      </c>
      <c r="D23" s="201"/>
      <c r="E23" s="201"/>
      <c r="F23" s="202">
        <f t="shared" ref="F23:F35" si="7">+C23+D23-E23</f>
        <v>0.75</v>
      </c>
      <c r="G23" s="203">
        <v>43252</v>
      </c>
      <c r="H23" s="203">
        <v>44000</v>
      </c>
      <c r="I23" s="224"/>
      <c r="J23" s="205">
        <f t="shared" ref="J23:J54" si="8">+I23*H23</f>
        <v>0</v>
      </c>
      <c r="K23" s="205">
        <f t="shared" ref="K23:K54" si="9">+(H23-G23)*I23</f>
        <v>0</v>
      </c>
      <c r="L23" s="225">
        <f t="shared" ref="L23:L54" si="10">+G23*F23</f>
        <v>32439</v>
      </c>
      <c r="M23" s="226">
        <f t="shared" ref="M23:M54" si="11">F23*H23</f>
        <v>33000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spans="1:26" ht="14.4">
      <c r="A24" s="684"/>
      <c r="B24" s="222" t="s">
        <v>21</v>
      </c>
      <c r="C24" s="227">
        <f>617+13+3+1-300</f>
        <v>334</v>
      </c>
      <c r="D24" s="201"/>
      <c r="E24" s="201"/>
      <c r="F24" s="202">
        <f t="shared" si="7"/>
        <v>334</v>
      </c>
      <c r="G24" s="203">
        <v>62000</v>
      </c>
      <c r="H24" s="203">
        <v>67000</v>
      </c>
      <c r="I24" s="224"/>
      <c r="J24" s="205">
        <f t="shared" si="8"/>
        <v>0</v>
      </c>
      <c r="K24" s="205">
        <f t="shared" si="9"/>
        <v>0</v>
      </c>
      <c r="L24" s="225">
        <f t="shared" si="10"/>
        <v>20708000</v>
      </c>
      <c r="M24" s="226">
        <f t="shared" si="11"/>
        <v>22378000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spans="1:26" ht="14.4">
      <c r="A25" s="684"/>
      <c r="B25" s="222" t="s">
        <v>139</v>
      </c>
      <c r="C25" s="227">
        <v>4</v>
      </c>
      <c r="D25" s="201"/>
      <c r="E25" s="201"/>
      <c r="F25" s="202">
        <f t="shared" si="7"/>
        <v>4</v>
      </c>
      <c r="G25" s="203">
        <v>41000</v>
      </c>
      <c r="H25" s="203">
        <v>44000</v>
      </c>
      <c r="I25" s="224"/>
      <c r="J25" s="205">
        <f t="shared" si="8"/>
        <v>0</v>
      </c>
      <c r="K25" s="205">
        <f t="shared" si="9"/>
        <v>0</v>
      </c>
      <c r="L25" s="225">
        <f t="shared" si="10"/>
        <v>164000</v>
      </c>
      <c r="M25" s="226">
        <f t="shared" si="11"/>
        <v>176000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26" ht="14.4">
      <c r="A26" s="684"/>
      <c r="B26" s="222" t="s">
        <v>140</v>
      </c>
      <c r="C26" s="227">
        <v>3</v>
      </c>
      <c r="D26" s="201"/>
      <c r="E26" s="201"/>
      <c r="F26" s="202">
        <f t="shared" si="7"/>
        <v>3</v>
      </c>
      <c r="G26" s="203">
        <v>53523</v>
      </c>
      <c r="H26" s="203">
        <v>50000</v>
      </c>
      <c r="I26" s="224"/>
      <c r="J26" s="205">
        <f t="shared" si="8"/>
        <v>0</v>
      </c>
      <c r="K26" s="205">
        <f t="shared" si="9"/>
        <v>0</v>
      </c>
      <c r="L26" s="225">
        <f t="shared" si="10"/>
        <v>160569</v>
      </c>
      <c r="M26" s="226">
        <f t="shared" si="11"/>
        <v>150000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t="14.4">
      <c r="A27" s="684"/>
      <c r="B27" s="222" t="s">
        <v>141</v>
      </c>
      <c r="C27" s="227">
        <v>9.25</v>
      </c>
      <c r="D27" s="201"/>
      <c r="E27" s="201"/>
      <c r="F27" s="202">
        <f t="shared" si="7"/>
        <v>9.25</v>
      </c>
      <c r="G27" s="203">
        <v>39714</v>
      </c>
      <c r="H27" s="203">
        <v>42000</v>
      </c>
      <c r="I27" s="224"/>
      <c r="J27" s="205">
        <f t="shared" si="8"/>
        <v>0</v>
      </c>
      <c r="K27" s="205">
        <f t="shared" si="9"/>
        <v>0</v>
      </c>
      <c r="L27" s="225">
        <f t="shared" si="10"/>
        <v>367354.5</v>
      </c>
      <c r="M27" s="226">
        <f t="shared" si="11"/>
        <v>388500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spans="1:26" ht="14.4">
      <c r="A28" s="684"/>
      <c r="B28" s="222" t="s">
        <v>142</v>
      </c>
      <c r="C28" s="227">
        <v>4</v>
      </c>
      <c r="D28" s="201"/>
      <c r="E28" s="201"/>
      <c r="F28" s="202">
        <f t="shared" si="7"/>
        <v>4</v>
      </c>
      <c r="G28" s="203">
        <v>80900</v>
      </c>
      <c r="H28" s="203">
        <v>84000</v>
      </c>
      <c r="I28" s="224"/>
      <c r="J28" s="205">
        <f t="shared" si="8"/>
        <v>0</v>
      </c>
      <c r="K28" s="205">
        <f t="shared" si="9"/>
        <v>0</v>
      </c>
      <c r="L28" s="225">
        <f t="shared" si="10"/>
        <v>323600</v>
      </c>
      <c r="M28" s="226">
        <f t="shared" si="11"/>
        <v>336000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spans="1:26" ht="14.4">
      <c r="A29" s="684"/>
      <c r="B29" s="222" t="s">
        <v>143</v>
      </c>
      <c r="C29" s="227">
        <v>3.75</v>
      </c>
      <c r="D29" s="201"/>
      <c r="E29" s="201"/>
      <c r="F29" s="202">
        <f t="shared" si="7"/>
        <v>3.75</v>
      </c>
      <c r="G29" s="203">
        <v>71369</v>
      </c>
      <c r="H29" s="203">
        <v>73000</v>
      </c>
      <c r="I29" s="224"/>
      <c r="J29" s="205">
        <f t="shared" si="8"/>
        <v>0</v>
      </c>
      <c r="K29" s="205">
        <f t="shared" si="9"/>
        <v>0</v>
      </c>
      <c r="L29" s="225">
        <f t="shared" si="10"/>
        <v>267633.75</v>
      </c>
      <c r="M29" s="226">
        <f t="shared" si="11"/>
        <v>273750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spans="1:26" ht="14.4">
      <c r="A30" s="684"/>
      <c r="B30" s="222" t="s">
        <v>144</v>
      </c>
      <c r="C30" s="227">
        <f>123+1+9</f>
        <v>133</v>
      </c>
      <c r="D30" s="201"/>
      <c r="E30" s="201"/>
      <c r="F30" s="202">
        <f t="shared" si="7"/>
        <v>133</v>
      </c>
      <c r="G30" s="203">
        <v>47000</v>
      </c>
      <c r="H30" s="203">
        <v>53000</v>
      </c>
      <c r="I30" s="224"/>
      <c r="J30" s="205">
        <f t="shared" si="8"/>
        <v>0</v>
      </c>
      <c r="K30" s="205">
        <f t="shared" si="9"/>
        <v>0</v>
      </c>
      <c r="L30" s="225">
        <f t="shared" si="10"/>
        <v>6251000</v>
      </c>
      <c r="M30" s="226">
        <f t="shared" si="11"/>
        <v>7049000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spans="1:26" ht="14.4">
      <c r="A31" s="684"/>
      <c r="B31" s="222" t="s">
        <v>145</v>
      </c>
      <c r="C31" s="227"/>
      <c r="D31" s="201"/>
      <c r="E31" s="201"/>
      <c r="F31" s="202">
        <f t="shared" si="7"/>
        <v>0</v>
      </c>
      <c r="G31" s="203">
        <v>51536</v>
      </c>
      <c r="H31" s="203">
        <v>53000</v>
      </c>
      <c r="I31" s="224"/>
      <c r="J31" s="205">
        <f t="shared" si="8"/>
        <v>0</v>
      </c>
      <c r="K31" s="205">
        <f t="shared" si="9"/>
        <v>0</v>
      </c>
      <c r="L31" s="225">
        <f t="shared" si="10"/>
        <v>0</v>
      </c>
      <c r="M31" s="226">
        <f t="shared" si="11"/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spans="1:26" ht="14.4">
      <c r="A32" s="684"/>
      <c r="B32" s="222" t="s">
        <v>146</v>
      </c>
      <c r="C32" s="227">
        <v>4.25</v>
      </c>
      <c r="D32" s="201"/>
      <c r="E32" s="201"/>
      <c r="F32" s="202">
        <f t="shared" si="7"/>
        <v>4.25</v>
      </c>
      <c r="G32" s="203">
        <v>71369</v>
      </c>
      <c r="H32" s="203">
        <v>73000</v>
      </c>
      <c r="I32" s="224"/>
      <c r="J32" s="205">
        <f t="shared" si="8"/>
        <v>0</v>
      </c>
      <c r="K32" s="205">
        <f t="shared" si="9"/>
        <v>0</v>
      </c>
      <c r="L32" s="225">
        <f t="shared" si="10"/>
        <v>303318.25</v>
      </c>
      <c r="M32" s="226">
        <f t="shared" si="11"/>
        <v>310250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spans="1:26" ht="14.4">
      <c r="A33" s="684"/>
      <c r="B33" s="228" t="s">
        <v>147</v>
      </c>
      <c r="C33" s="229"/>
      <c r="D33" s="201"/>
      <c r="E33" s="201"/>
      <c r="F33" s="202">
        <f t="shared" si="7"/>
        <v>0</v>
      </c>
      <c r="G33" s="203">
        <v>71369</v>
      </c>
      <c r="H33" s="203">
        <v>73000</v>
      </c>
      <c r="I33" s="224"/>
      <c r="J33" s="205">
        <f t="shared" si="8"/>
        <v>0</v>
      </c>
      <c r="K33" s="205">
        <f t="shared" si="9"/>
        <v>0</v>
      </c>
      <c r="L33" s="225">
        <f t="shared" si="10"/>
        <v>0</v>
      </c>
      <c r="M33" s="226">
        <f t="shared" si="11"/>
        <v>0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spans="1:26" ht="14.4">
      <c r="A34" s="684"/>
      <c r="B34" s="222" t="s">
        <v>148</v>
      </c>
      <c r="C34" s="229">
        <v>2.5</v>
      </c>
      <c r="D34" s="201"/>
      <c r="E34" s="201"/>
      <c r="F34" s="202">
        <f t="shared" si="7"/>
        <v>2.5</v>
      </c>
      <c r="G34" s="203">
        <v>71369</v>
      </c>
      <c r="H34" s="203">
        <v>73000</v>
      </c>
      <c r="I34" s="224"/>
      <c r="J34" s="205">
        <f t="shared" si="8"/>
        <v>0</v>
      </c>
      <c r="K34" s="205">
        <f t="shared" si="9"/>
        <v>0</v>
      </c>
      <c r="L34" s="225">
        <f t="shared" si="10"/>
        <v>178422.5</v>
      </c>
      <c r="M34" s="226">
        <f t="shared" si="11"/>
        <v>182500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spans="1:26" ht="14.4">
      <c r="A35" s="684"/>
      <c r="B35" s="222" t="s">
        <v>149</v>
      </c>
      <c r="C35" s="229">
        <v>5</v>
      </c>
      <c r="D35" s="201"/>
      <c r="E35" s="201"/>
      <c r="F35" s="202">
        <f t="shared" si="7"/>
        <v>5</v>
      </c>
      <c r="G35" s="203">
        <v>25500</v>
      </c>
      <c r="H35" s="203">
        <v>26000</v>
      </c>
      <c r="I35" s="224"/>
      <c r="J35" s="205">
        <f t="shared" si="8"/>
        <v>0</v>
      </c>
      <c r="K35" s="205">
        <f t="shared" si="9"/>
        <v>0</v>
      </c>
      <c r="L35" s="225">
        <f t="shared" si="10"/>
        <v>127500</v>
      </c>
      <c r="M35" s="226">
        <f t="shared" si="11"/>
        <v>130000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spans="1:26" ht="14.4">
      <c r="A36" s="684"/>
      <c r="B36" s="222" t="s">
        <v>150</v>
      </c>
      <c r="C36" s="227"/>
      <c r="D36" s="201"/>
      <c r="E36" s="201"/>
      <c r="F36" s="202">
        <f>+C36+D36-E38</f>
        <v>0</v>
      </c>
      <c r="G36" s="203">
        <v>44000</v>
      </c>
      <c r="H36" s="203">
        <v>50000</v>
      </c>
      <c r="I36" s="224"/>
      <c r="J36" s="205">
        <f t="shared" si="8"/>
        <v>0</v>
      </c>
      <c r="K36" s="205">
        <f t="shared" si="9"/>
        <v>0</v>
      </c>
      <c r="L36" s="225">
        <f t="shared" si="10"/>
        <v>0</v>
      </c>
      <c r="M36" s="226">
        <f t="shared" si="11"/>
        <v>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spans="1:26" ht="14.4">
      <c r="A37" s="684"/>
      <c r="B37" s="222" t="s">
        <v>151</v>
      </c>
      <c r="C37" s="227">
        <v>4.75</v>
      </c>
      <c r="D37" s="201"/>
      <c r="E37" s="201"/>
      <c r="F37" s="202">
        <f t="shared" ref="F37:F54" si="12">+C37+D37-E37</f>
        <v>4.75</v>
      </c>
      <c r="G37" s="203">
        <v>34500</v>
      </c>
      <c r="H37" s="203">
        <v>36000</v>
      </c>
      <c r="I37" s="224"/>
      <c r="J37" s="205">
        <f t="shared" si="8"/>
        <v>0</v>
      </c>
      <c r="K37" s="205">
        <f t="shared" si="9"/>
        <v>0</v>
      </c>
      <c r="L37" s="225">
        <f t="shared" si="10"/>
        <v>163875</v>
      </c>
      <c r="M37" s="226">
        <f t="shared" si="11"/>
        <v>171000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spans="1:26" ht="14.4">
      <c r="A38" s="684"/>
      <c r="B38" s="222" t="s">
        <v>152</v>
      </c>
      <c r="C38" s="227">
        <f>22+1</f>
        <v>23</v>
      </c>
      <c r="D38" s="201"/>
      <c r="E38" s="201"/>
      <c r="F38" s="202">
        <f t="shared" si="12"/>
        <v>23</v>
      </c>
      <c r="G38" s="203">
        <v>79000</v>
      </c>
      <c r="H38" s="203">
        <v>88000</v>
      </c>
      <c r="I38" s="224"/>
      <c r="J38" s="205">
        <f t="shared" si="8"/>
        <v>0</v>
      </c>
      <c r="K38" s="205">
        <f t="shared" si="9"/>
        <v>0</v>
      </c>
      <c r="L38" s="225">
        <f t="shared" si="10"/>
        <v>1817000</v>
      </c>
      <c r="M38" s="226">
        <f t="shared" si="11"/>
        <v>2024000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spans="1:26" ht="14.4">
      <c r="A39" s="684"/>
      <c r="B39" s="222" t="s">
        <v>153</v>
      </c>
      <c r="C39" s="227">
        <v>8.5</v>
      </c>
      <c r="D39" s="201"/>
      <c r="E39" s="201"/>
      <c r="F39" s="202">
        <f t="shared" si="12"/>
        <v>8.5</v>
      </c>
      <c r="G39" s="203">
        <v>82280</v>
      </c>
      <c r="H39" s="203">
        <v>86000</v>
      </c>
      <c r="I39" s="224"/>
      <c r="J39" s="205">
        <f t="shared" si="8"/>
        <v>0</v>
      </c>
      <c r="K39" s="205">
        <f t="shared" si="9"/>
        <v>0</v>
      </c>
      <c r="L39" s="225">
        <f t="shared" si="10"/>
        <v>699380</v>
      </c>
      <c r="M39" s="226">
        <f t="shared" si="11"/>
        <v>731000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spans="1:26" ht="14.4">
      <c r="A40" s="684"/>
      <c r="B40" s="222" t="s">
        <v>154</v>
      </c>
      <c r="C40" s="227">
        <v>51</v>
      </c>
      <c r="D40" s="201"/>
      <c r="E40" s="201"/>
      <c r="F40" s="202">
        <f t="shared" si="12"/>
        <v>51</v>
      </c>
      <c r="G40" s="203">
        <v>59000</v>
      </c>
      <c r="H40" s="203">
        <v>64000</v>
      </c>
      <c r="I40" s="224"/>
      <c r="J40" s="205">
        <f t="shared" si="8"/>
        <v>0</v>
      </c>
      <c r="K40" s="205">
        <f t="shared" si="9"/>
        <v>0</v>
      </c>
      <c r="L40" s="225">
        <f t="shared" si="10"/>
        <v>3009000</v>
      </c>
      <c r="M40" s="226">
        <f t="shared" si="11"/>
        <v>3264000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spans="1:26" ht="14.4">
      <c r="A41" s="684"/>
      <c r="B41" s="222" t="s">
        <v>155</v>
      </c>
      <c r="C41" s="227"/>
      <c r="D41" s="201"/>
      <c r="E41" s="201"/>
      <c r="F41" s="202">
        <f t="shared" si="12"/>
        <v>0</v>
      </c>
      <c r="G41" s="203">
        <v>25555</v>
      </c>
      <c r="H41" s="203">
        <v>27000</v>
      </c>
      <c r="I41" s="224"/>
      <c r="J41" s="205">
        <f t="shared" si="8"/>
        <v>0</v>
      </c>
      <c r="K41" s="205">
        <f t="shared" si="9"/>
        <v>0</v>
      </c>
      <c r="L41" s="225">
        <f t="shared" si="10"/>
        <v>0</v>
      </c>
      <c r="M41" s="226">
        <f t="shared" si="11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spans="1:26" ht="14.4">
      <c r="A42" s="684"/>
      <c r="B42" s="222" t="s">
        <v>22</v>
      </c>
      <c r="C42" s="227">
        <f>408.25+2.25-200</f>
        <v>210.5</v>
      </c>
      <c r="D42" s="201">
        <v>40</v>
      </c>
      <c r="E42" s="201"/>
      <c r="F42" s="202">
        <f t="shared" si="12"/>
        <v>250.5</v>
      </c>
      <c r="G42" s="203">
        <v>62000</v>
      </c>
      <c r="H42" s="203">
        <v>66000</v>
      </c>
      <c r="I42" s="224"/>
      <c r="J42" s="205">
        <f t="shared" si="8"/>
        <v>0</v>
      </c>
      <c r="K42" s="205">
        <f t="shared" si="9"/>
        <v>0</v>
      </c>
      <c r="L42" s="225">
        <f t="shared" si="10"/>
        <v>15531000</v>
      </c>
      <c r="M42" s="226">
        <f t="shared" si="11"/>
        <v>16533000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spans="1:26" ht="14.4">
      <c r="A43" s="684"/>
      <c r="B43" s="222" t="s">
        <v>23</v>
      </c>
      <c r="C43" s="227">
        <v>2.5</v>
      </c>
      <c r="D43" s="201"/>
      <c r="E43" s="201"/>
      <c r="F43" s="202">
        <f t="shared" si="12"/>
        <v>2.5</v>
      </c>
      <c r="G43" s="203">
        <v>42000</v>
      </c>
      <c r="H43" s="203">
        <v>48000</v>
      </c>
      <c r="I43" s="224"/>
      <c r="J43" s="205">
        <f t="shared" si="8"/>
        <v>0</v>
      </c>
      <c r="K43" s="205">
        <f t="shared" si="9"/>
        <v>0</v>
      </c>
      <c r="L43" s="225">
        <f t="shared" si="10"/>
        <v>105000</v>
      </c>
      <c r="M43" s="226">
        <f t="shared" si="11"/>
        <v>120000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spans="1:26" ht="14.4">
      <c r="A44" s="684"/>
      <c r="B44" s="222" t="s">
        <v>156</v>
      </c>
      <c r="C44" s="227">
        <f>162+3</f>
        <v>165</v>
      </c>
      <c r="D44" s="201"/>
      <c r="E44" s="201"/>
      <c r="F44" s="202">
        <f t="shared" si="12"/>
        <v>165</v>
      </c>
      <c r="G44" s="203">
        <v>37084</v>
      </c>
      <c r="H44" s="203">
        <v>40000</v>
      </c>
      <c r="I44" s="224"/>
      <c r="J44" s="205">
        <f t="shared" si="8"/>
        <v>0</v>
      </c>
      <c r="K44" s="205">
        <f t="shared" si="9"/>
        <v>0</v>
      </c>
      <c r="L44" s="225">
        <f t="shared" si="10"/>
        <v>6118860</v>
      </c>
      <c r="M44" s="226">
        <f t="shared" si="11"/>
        <v>6600000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spans="1:26" ht="14.4">
      <c r="A45" s="684"/>
      <c r="B45" s="230" t="s">
        <v>157</v>
      </c>
      <c r="C45" s="229">
        <v>28</v>
      </c>
      <c r="D45" s="201"/>
      <c r="E45" s="201"/>
      <c r="F45" s="202">
        <f t="shared" si="12"/>
        <v>28</v>
      </c>
      <c r="G45" s="203">
        <v>29750</v>
      </c>
      <c r="H45" s="203">
        <v>31500</v>
      </c>
      <c r="I45" s="224"/>
      <c r="J45" s="205">
        <f t="shared" si="8"/>
        <v>0</v>
      </c>
      <c r="K45" s="205">
        <f t="shared" si="9"/>
        <v>0</v>
      </c>
      <c r="L45" s="225">
        <f t="shared" si="10"/>
        <v>833000</v>
      </c>
      <c r="M45" s="226">
        <f t="shared" si="11"/>
        <v>882000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spans="1:26" ht="14.4">
      <c r="A46" s="684"/>
      <c r="B46" s="231" t="s">
        <v>158</v>
      </c>
      <c r="C46" s="232">
        <v>109</v>
      </c>
      <c r="D46" s="233"/>
      <c r="E46" s="233"/>
      <c r="F46" s="234">
        <f t="shared" si="12"/>
        <v>109</v>
      </c>
      <c r="G46" s="235">
        <v>6200</v>
      </c>
      <c r="H46" s="235">
        <v>7000</v>
      </c>
      <c r="I46" s="224"/>
      <c r="J46" s="205">
        <f t="shared" si="8"/>
        <v>0</v>
      </c>
      <c r="K46" s="205">
        <f t="shared" si="9"/>
        <v>0</v>
      </c>
      <c r="L46" s="225">
        <f t="shared" si="10"/>
        <v>675800</v>
      </c>
      <c r="M46" s="226">
        <f t="shared" si="11"/>
        <v>763000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spans="1:26" ht="14.4">
      <c r="A47" s="684"/>
      <c r="B47" s="231" t="s">
        <v>159</v>
      </c>
      <c r="C47" s="232">
        <v>41</v>
      </c>
      <c r="D47" s="233"/>
      <c r="E47" s="233"/>
      <c r="F47" s="234">
        <f t="shared" si="12"/>
        <v>41</v>
      </c>
      <c r="G47" s="235">
        <v>3333</v>
      </c>
      <c r="H47" s="235">
        <v>3600</v>
      </c>
      <c r="I47" s="224"/>
      <c r="J47" s="205">
        <f t="shared" si="8"/>
        <v>0</v>
      </c>
      <c r="K47" s="205">
        <f t="shared" si="9"/>
        <v>0</v>
      </c>
      <c r="L47" s="225">
        <f t="shared" si="10"/>
        <v>136653</v>
      </c>
      <c r="M47" s="226">
        <f t="shared" si="11"/>
        <v>147600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spans="1:26" ht="14.4">
      <c r="A48" s="684"/>
      <c r="B48" s="230" t="s">
        <v>160</v>
      </c>
      <c r="C48" s="236"/>
      <c r="D48" s="233"/>
      <c r="E48" s="233"/>
      <c r="F48" s="234">
        <f t="shared" si="12"/>
        <v>0</v>
      </c>
      <c r="G48" s="235">
        <v>39000</v>
      </c>
      <c r="H48" s="235">
        <v>44000</v>
      </c>
      <c r="I48" s="224"/>
      <c r="J48" s="205">
        <f t="shared" si="8"/>
        <v>0</v>
      </c>
      <c r="K48" s="205">
        <f t="shared" si="9"/>
        <v>0</v>
      </c>
      <c r="L48" s="225">
        <f t="shared" si="10"/>
        <v>0</v>
      </c>
      <c r="M48" s="226">
        <f t="shared" si="11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spans="1:26" ht="14.4">
      <c r="A49" s="684"/>
      <c r="B49" s="222" t="s">
        <v>161</v>
      </c>
      <c r="C49" s="232">
        <v>0.75</v>
      </c>
      <c r="D49" s="233"/>
      <c r="E49" s="233"/>
      <c r="F49" s="234">
        <f t="shared" si="12"/>
        <v>0.75</v>
      </c>
      <c r="G49" s="235">
        <v>65000</v>
      </c>
      <c r="H49" s="235">
        <v>70000</v>
      </c>
      <c r="I49" s="224"/>
      <c r="J49" s="205">
        <f t="shared" si="8"/>
        <v>0</v>
      </c>
      <c r="K49" s="205">
        <f t="shared" si="9"/>
        <v>0</v>
      </c>
      <c r="L49" s="225">
        <f t="shared" si="10"/>
        <v>48750</v>
      </c>
      <c r="M49" s="226">
        <f t="shared" si="11"/>
        <v>52500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spans="1:26" ht="14.4">
      <c r="A50" s="684"/>
      <c r="B50" s="228" t="s">
        <v>162</v>
      </c>
      <c r="C50" s="232">
        <v>71</v>
      </c>
      <c r="D50" s="233"/>
      <c r="E50" s="237"/>
      <c r="F50" s="234">
        <f t="shared" si="12"/>
        <v>71</v>
      </c>
      <c r="G50" s="235">
        <v>2500</v>
      </c>
      <c r="H50" s="235">
        <v>3000</v>
      </c>
      <c r="I50" s="224"/>
      <c r="J50" s="205">
        <f t="shared" si="8"/>
        <v>0</v>
      </c>
      <c r="K50" s="205">
        <f t="shared" si="9"/>
        <v>0</v>
      </c>
      <c r="L50" s="225">
        <f t="shared" si="10"/>
        <v>177500</v>
      </c>
      <c r="M50" s="226">
        <f t="shared" si="11"/>
        <v>213000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spans="1:26" ht="14.4">
      <c r="A51" s="684"/>
      <c r="B51" s="228" t="s">
        <v>163</v>
      </c>
      <c r="C51" s="232">
        <v>7.25</v>
      </c>
      <c r="D51" s="233"/>
      <c r="E51" s="237"/>
      <c r="F51" s="234">
        <f t="shared" si="12"/>
        <v>7.25</v>
      </c>
      <c r="G51" s="235">
        <v>50000</v>
      </c>
      <c r="H51" s="235">
        <v>12500</v>
      </c>
      <c r="I51" s="204"/>
      <c r="J51" s="205">
        <f t="shared" si="8"/>
        <v>0</v>
      </c>
      <c r="K51" s="205">
        <f t="shared" si="9"/>
        <v>0</v>
      </c>
      <c r="L51" s="225">
        <f t="shared" si="10"/>
        <v>362500</v>
      </c>
      <c r="M51" s="226">
        <f t="shared" si="11"/>
        <v>90625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spans="1:26" ht="14.4">
      <c r="A52" s="684"/>
      <c r="B52" s="222" t="s">
        <v>164</v>
      </c>
      <c r="C52" s="232">
        <v>0.25</v>
      </c>
      <c r="D52" s="233"/>
      <c r="E52" s="237"/>
      <c r="F52" s="234">
        <f t="shared" si="12"/>
        <v>0.25</v>
      </c>
      <c r="G52" s="235">
        <v>78640</v>
      </c>
      <c r="H52" s="235">
        <v>7000</v>
      </c>
      <c r="I52" s="224"/>
      <c r="J52" s="205">
        <f t="shared" si="8"/>
        <v>0</v>
      </c>
      <c r="K52" s="205">
        <f t="shared" si="9"/>
        <v>0</v>
      </c>
      <c r="L52" s="225">
        <f t="shared" si="10"/>
        <v>19660</v>
      </c>
      <c r="M52" s="226">
        <f t="shared" si="11"/>
        <v>1750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spans="1:26" ht="14.4">
      <c r="A53" s="684"/>
      <c r="B53" s="222" t="s">
        <v>165</v>
      </c>
      <c r="C53" s="232">
        <f>101+5.25+1</f>
        <v>107.25</v>
      </c>
      <c r="D53" s="233"/>
      <c r="E53" s="237"/>
      <c r="F53" s="234">
        <f t="shared" si="12"/>
        <v>107.25</v>
      </c>
      <c r="G53" s="235">
        <v>62000</v>
      </c>
      <c r="H53" s="235">
        <v>67000</v>
      </c>
      <c r="I53" s="224"/>
      <c r="J53" s="205">
        <f t="shared" si="8"/>
        <v>0</v>
      </c>
      <c r="K53" s="205">
        <f t="shared" si="9"/>
        <v>0</v>
      </c>
      <c r="L53" s="225">
        <f t="shared" si="10"/>
        <v>6649500</v>
      </c>
      <c r="M53" s="226">
        <f t="shared" si="11"/>
        <v>7185750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spans="1:26" ht="14.4">
      <c r="A54" s="684"/>
      <c r="B54" s="230" t="s">
        <v>166</v>
      </c>
      <c r="C54" s="232">
        <f>7</f>
        <v>7</v>
      </c>
      <c r="D54" s="233"/>
      <c r="E54" s="233"/>
      <c r="F54" s="234">
        <f t="shared" si="12"/>
        <v>7</v>
      </c>
      <c r="G54" s="235">
        <v>66987</v>
      </c>
      <c r="H54" s="235">
        <v>68000</v>
      </c>
      <c r="I54" s="224"/>
      <c r="J54" s="205">
        <f t="shared" si="8"/>
        <v>0</v>
      </c>
      <c r="K54" s="205">
        <f t="shared" si="9"/>
        <v>0</v>
      </c>
      <c r="L54" s="225">
        <f t="shared" si="10"/>
        <v>468909</v>
      </c>
      <c r="M54" s="226">
        <f t="shared" si="11"/>
        <v>476000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spans="1:26" ht="14.4">
      <c r="A55" s="684"/>
      <c r="B55" s="230" t="s">
        <v>166</v>
      </c>
      <c r="C55" s="232">
        <v>4</v>
      </c>
      <c r="D55" s="233"/>
      <c r="E55" s="233"/>
      <c r="F55" s="234"/>
      <c r="G55" s="235"/>
      <c r="H55" s="235"/>
      <c r="I55" s="224"/>
      <c r="J55" s="205"/>
      <c r="K55" s="205"/>
      <c r="L55" s="225"/>
      <c r="M55" s="470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spans="1:26" ht="14.4">
      <c r="A56" s="684"/>
      <c r="B56" s="230" t="s">
        <v>167</v>
      </c>
      <c r="C56" s="238">
        <v>26.5</v>
      </c>
      <c r="D56" s="201"/>
      <c r="E56" s="201"/>
      <c r="F56" s="202">
        <f t="shared" ref="F56:F60" si="13">+C56+D56-E56</f>
        <v>26.5</v>
      </c>
      <c r="G56" s="203">
        <v>80640</v>
      </c>
      <c r="H56" s="203">
        <v>86000</v>
      </c>
      <c r="I56" s="224"/>
      <c r="J56" s="205">
        <f t="shared" ref="J56:J60" si="14">+I56*H56</f>
        <v>0</v>
      </c>
      <c r="K56" s="205">
        <f t="shared" ref="K56:K60" si="15">+(H56-G56)*I56</f>
        <v>0</v>
      </c>
      <c r="L56" s="225">
        <f t="shared" ref="L56:L60" si="16">+G56*F56</f>
        <v>2136960</v>
      </c>
      <c r="M56" s="226">
        <f t="shared" ref="M56:M60" si="17">F56*H56</f>
        <v>2279000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spans="1:26" ht="14.4">
      <c r="A57" s="684"/>
      <c r="B57" s="228" t="s">
        <v>168</v>
      </c>
      <c r="C57" s="227">
        <v>8</v>
      </c>
      <c r="D57" s="201"/>
      <c r="E57" s="201"/>
      <c r="F57" s="202">
        <f t="shared" si="13"/>
        <v>8</v>
      </c>
      <c r="G57" s="203">
        <v>68568</v>
      </c>
      <c r="H57" s="203">
        <v>72000</v>
      </c>
      <c r="I57" s="224"/>
      <c r="J57" s="205">
        <f t="shared" si="14"/>
        <v>0</v>
      </c>
      <c r="K57" s="205">
        <f t="shared" si="15"/>
        <v>0</v>
      </c>
      <c r="L57" s="225">
        <f t="shared" si="16"/>
        <v>548544</v>
      </c>
      <c r="M57" s="226">
        <f t="shared" si="17"/>
        <v>576000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spans="1:26" ht="14.4">
      <c r="A58" s="684"/>
      <c r="B58" s="231" t="s">
        <v>169</v>
      </c>
      <c r="C58" s="227"/>
      <c r="D58" s="201"/>
      <c r="E58" s="201"/>
      <c r="F58" s="202">
        <f t="shared" si="13"/>
        <v>0</v>
      </c>
      <c r="G58" s="203">
        <v>78640</v>
      </c>
      <c r="H58" s="203">
        <v>82000</v>
      </c>
      <c r="I58" s="224"/>
      <c r="J58" s="205">
        <f t="shared" si="14"/>
        <v>0</v>
      </c>
      <c r="K58" s="205">
        <f t="shared" si="15"/>
        <v>0</v>
      </c>
      <c r="L58" s="225">
        <f t="shared" si="16"/>
        <v>0</v>
      </c>
      <c r="M58" s="226">
        <f t="shared" si="17"/>
        <v>0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spans="1:26" ht="14.4">
      <c r="A59" s="684"/>
      <c r="B59" s="231" t="s">
        <v>170</v>
      </c>
      <c r="C59" s="227">
        <v>0.5</v>
      </c>
      <c r="D59" s="201"/>
      <c r="E59" s="201"/>
      <c r="F59" s="202">
        <f t="shared" si="13"/>
        <v>0.5</v>
      </c>
      <c r="G59" s="203">
        <v>78640</v>
      </c>
      <c r="H59" s="203">
        <v>82000</v>
      </c>
      <c r="I59" s="224"/>
      <c r="J59" s="205">
        <f t="shared" si="14"/>
        <v>0</v>
      </c>
      <c r="K59" s="205">
        <f t="shared" si="15"/>
        <v>0</v>
      </c>
      <c r="L59" s="225">
        <f t="shared" si="16"/>
        <v>39320</v>
      </c>
      <c r="M59" s="226">
        <f t="shared" si="17"/>
        <v>41000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spans="1:26" ht="14.4">
      <c r="A60" s="684"/>
      <c r="B60" s="231" t="s">
        <v>171</v>
      </c>
      <c r="C60" s="227">
        <v>5</v>
      </c>
      <c r="D60" s="201"/>
      <c r="E60" s="201"/>
      <c r="F60" s="202">
        <f t="shared" si="13"/>
        <v>5</v>
      </c>
      <c r="G60" s="239">
        <v>44000</v>
      </c>
      <c r="H60" s="239">
        <v>48000</v>
      </c>
      <c r="I60" s="240"/>
      <c r="J60" s="205">
        <f t="shared" si="14"/>
        <v>0</v>
      </c>
      <c r="K60" s="205">
        <f t="shared" si="15"/>
        <v>0</v>
      </c>
      <c r="L60" s="225">
        <f t="shared" si="16"/>
        <v>220000</v>
      </c>
      <c r="M60" s="226">
        <f t="shared" si="17"/>
        <v>240000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spans="1:26" ht="14.4">
      <c r="A61" s="685"/>
      <c r="B61" s="241"/>
      <c r="C61" s="229"/>
      <c r="D61" s="242"/>
      <c r="E61" s="243"/>
      <c r="F61" s="244">
        <f>SUM(F23:F58)</f>
        <v>1414.75</v>
      </c>
      <c r="G61" s="245">
        <f t="shared" ref="G61:H61" si="18">SUM(G10:G58)</f>
        <v>3784340</v>
      </c>
      <c r="H61" s="245">
        <f t="shared" si="18"/>
        <v>3816600</v>
      </c>
      <c r="I61" s="246">
        <f>SUM(I23:I58)</f>
        <v>0</v>
      </c>
      <c r="J61" s="247">
        <f t="shared" ref="J61:M61" si="19">SUM(J23:J60)</f>
        <v>0</v>
      </c>
      <c r="K61" s="247">
        <f t="shared" si="19"/>
        <v>0</v>
      </c>
      <c r="L61" s="247">
        <f t="shared" si="19"/>
        <v>68645048</v>
      </c>
      <c r="M61" s="247">
        <f t="shared" si="19"/>
        <v>73798225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spans="1:26" ht="14.4">
      <c r="A62" s="686"/>
      <c r="B62" s="230" t="s">
        <v>172</v>
      </c>
      <c r="C62" s="229">
        <v>12</v>
      </c>
      <c r="D62" s="201"/>
      <c r="E62" s="201"/>
      <c r="F62" s="202">
        <f t="shared" ref="F62:F76" si="20">+C62+D62-E62</f>
        <v>12</v>
      </c>
      <c r="G62" s="203">
        <v>41500</v>
      </c>
      <c r="H62" s="203">
        <v>50000</v>
      </c>
      <c r="I62" s="204"/>
      <c r="J62" s="205">
        <f t="shared" ref="J62:J88" si="21">+I62*H62</f>
        <v>0</v>
      </c>
      <c r="K62" s="205">
        <f t="shared" ref="K62:K88" si="22">+(H62-G62)*I62</f>
        <v>0</v>
      </c>
      <c r="L62" s="248">
        <f t="shared" ref="L62:L88" si="23">+G62*F62</f>
        <v>498000</v>
      </c>
      <c r="M62" s="249">
        <f t="shared" ref="M62:M88" si="24">F62*H62</f>
        <v>600000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spans="1:26" ht="14.4">
      <c r="A63" s="687"/>
      <c r="B63" s="230" t="s">
        <v>173</v>
      </c>
      <c r="C63" s="227">
        <v>90.75</v>
      </c>
      <c r="D63" s="201"/>
      <c r="E63" s="201"/>
      <c r="F63" s="202">
        <f t="shared" si="20"/>
        <v>90.75</v>
      </c>
      <c r="G63" s="203">
        <v>43000</v>
      </c>
      <c r="H63" s="203">
        <v>50000</v>
      </c>
      <c r="I63" s="204"/>
      <c r="J63" s="205">
        <f t="shared" si="21"/>
        <v>0</v>
      </c>
      <c r="K63" s="205">
        <f t="shared" si="22"/>
        <v>0</v>
      </c>
      <c r="L63" s="248">
        <f t="shared" si="23"/>
        <v>3902250</v>
      </c>
      <c r="M63" s="249">
        <f t="shared" si="24"/>
        <v>4537500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spans="1:26" ht="14.4">
      <c r="A64" s="687"/>
      <c r="B64" s="230" t="s">
        <v>174</v>
      </c>
      <c r="C64" s="227">
        <v>2.5</v>
      </c>
      <c r="D64" s="201"/>
      <c r="E64" s="201"/>
      <c r="F64" s="202">
        <f t="shared" si="20"/>
        <v>2.5</v>
      </c>
      <c r="G64" s="203">
        <v>41600</v>
      </c>
      <c r="H64" s="203">
        <v>50000</v>
      </c>
      <c r="I64" s="204"/>
      <c r="J64" s="205">
        <f t="shared" si="21"/>
        <v>0</v>
      </c>
      <c r="K64" s="205">
        <f t="shared" si="22"/>
        <v>0</v>
      </c>
      <c r="L64" s="248">
        <f t="shared" si="23"/>
        <v>104000</v>
      </c>
      <c r="M64" s="249">
        <f t="shared" si="24"/>
        <v>125000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spans="1:26" ht="14.4">
      <c r="A65" s="687"/>
      <c r="B65" s="230" t="s">
        <v>175</v>
      </c>
      <c r="C65" s="227">
        <v>3</v>
      </c>
      <c r="D65" s="201"/>
      <c r="E65" s="201"/>
      <c r="F65" s="202">
        <f t="shared" si="20"/>
        <v>3</v>
      </c>
      <c r="G65" s="203">
        <v>44000</v>
      </c>
      <c r="H65" s="203">
        <v>50000</v>
      </c>
      <c r="I65" s="204"/>
      <c r="J65" s="205">
        <f t="shared" si="21"/>
        <v>0</v>
      </c>
      <c r="K65" s="205">
        <f t="shared" si="22"/>
        <v>0</v>
      </c>
      <c r="L65" s="248">
        <f t="shared" si="23"/>
        <v>132000</v>
      </c>
      <c r="M65" s="249">
        <f t="shared" si="24"/>
        <v>150000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spans="1:26" ht="14.4">
      <c r="A66" s="687"/>
      <c r="B66" s="230" t="s">
        <v>684</v>
      </c>
      <c r="C66" s="227">
        <v>0.75</v>
      </c>
      <c r="D66" s="201"/>
      <c r="E66" s="201"/>
      <c r="F66" s="202">
        <f t="shared" si="20"/>
        <v>0.75</v>
      </c>
      <c r="G66" s="203">
        <v>45000</v>
      </c>
      <c r="H66" s="203">
        <v>50000</v>
      </c>
      <c r="I66" s="204"/>
      <c r="J66" s="205">
        <f t="shared" si="21"/>
        <v>0</v>
      </c>
      <c r="K66" s="205">
        <f t="shared" si="22"/>
        <v>0</v>
      </c>
      <c r="L66" s="248">
        <f t="shared" si="23"/>
        <v>33750</v>
      </c>
      <c r="M66" s="249">
        <f t="shared" si="24"/>
        <v>37500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spans="1:26" ht="14.4">
      <c r="A67" s="687"/>
      <c r="B67" s="230" t="s">
        <v>176</v>
      </c>
      <c r="C67" s="227">
        <v>18</v>
      </c>
      <c r="D67" s="201"/>
      <c r="E67" s="201"/>
      <c r="F67" s="202">
        <f t="shared" si="20"/>
        <v>18</v>
      </c>
      <c r="G67" s="203">
        <v>49890</v>
      </c>
      <c r="H67" s="203">
        <v>55000</v>
      </c>
      <c r="I67" s="204"/>
      <c r="J67" s="205">
        <f t="shared" si="21"/>
        <v>0</v>
      </c>
      <c r="K67" s="205">
        <f t="shared" si="22"/>
        <v>0</v>
      </c>
      <c r="L67" s="248">
        <f t="shared" si="23"/>
        <v>898020</v>
      </c>
      <c r="M67" s="249">
        <f t="shared" si="24"/>
        <v>990000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spans="1:26" ht="14.4">
      <c r="A68" s="687"/>
      <c r="B68" s="230" t="s">
        <v>177</v>
      </c>
      <c r="C68" s="238">
        <v>7</v>
      </c>
      <c r="D68" s="201"/>
      <c r="E68" s="201"/>
      <c r="F68" s="202">
        <f t="shared" si="20"/>
        <v>7</v>
      </c>
      <c r="G68" s="203">
        <v>60000</v>
      </c>
      <c r="H68" s="203">
        <v>63000</v>
      </c>
      <c r="I68" s="204"/>
      <c r="J68" s="205">
        <f t="shared" si="21"/>
        <v>0</v>
      </c>
      <c r="K68" s="205">
        <f t="shared" si="22"/>
        <v>0</v>
      </c>
      <c r="L68" s="248">
        <f t="shared" si="23"/>
        <v>420000</v>
      </c>
      <c r="M68" s="249">
        <f t="shared" si="24"/>
        <v>441000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spans="1:26" ht="14.4">
      <c r="A69" s="687"/>
      <c r="B69" s="230" t="s">
        <v>178</v>
      </c>
      <c r="C69" s="227">
        <v>6</v>
      </c>
      <c r="D69" s="201"/>
      <c r="E69" s="201"/>
      <c r="F69" s="202">
        <f t="shared" si="20"/>
        <v>6</v>
      </c>
      <c r="G69" s="203">
        <v>44116</v>
      </c>
      <c r="H69" s="203">
        <v>50000</v>
      </c>
      <c r="I69" s="204"/>
      <c r="J69" s="205">
        <f t="shared" si="21"/>
        <v>0</v>
      </c>
      <c r="K69" s="205">
        <f t="shared" si="22"/>
        <v>0</v>
      </c>
      <c r="L69" s="248">
        <f t="shared" si="23"/>
        <v>264696</v>
      </c>
      <c r="M69" s="249">
        <f t="shared" si="24"/>
        <v>300000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spans="1:26" ht="14.4">
      <c r="A70" s="687"/>
      <c r="B70" s="230" t="s">
        <v>179</v>
      </c>
      <c r="C70" s="238"/>
      <c r="D70" s="201"/>
      <c r="E70" s="201"/>
      <c r="F70" s="202">
        <f t="shared" si="20"/>
        <v>0</v>
      </c>
      <c r="G70" s="203">
        <v>25000</v>
      </c>
      <c r="H70" s="203">
        <v>26000</v>
      </c>
      <c r="I70" s="204"/>
      <c r="J70" s="205">
        <f t="shared" si="21"/>
        <v>0</v>
      </c>
      <c r="K70" s="205">
        <f t="shared" si="22"/>
        <v>0</v>
      </c>
      <c r="L70" s="248">
        <f t="shared" si="23"/>
        <v>0</v>
      </c>
      <c r="M70" s="249">
        <f t="shared" si="24"/>
        <v>0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spans="1:26" ht="14.4">
      <c r="A71" s="687"/>
      <c r="B71" s="230" t="s">
        <v>41</v>
      </c>
      <c r="C71" s="227">
        <f>31+2</f>
        <v>33</v>
      </c>
      <c r="D71" s="201"/>
      <c r="E71" s="201"/>
      <c r="F71" s="202">
        <f t="shared" si="20"/>
        <v>33</v>
      </c>
      <c r="G71" s="203">
        <v>43600</v>
      </c>
      <c r="H71" s="203">
        <v>49000</v>
      </c>
      <c r="I71" s="204"/>
      <c r="J71" s="205">
        <f t="shared" si="21"/>
        <v>0</v>
      </c>
      <c r="K71" s="205">
        <f t="shared" si="22"/>
        <v>0</v>
      </c>
      <c r="L71" s="248">
        <f t="shared" si="23"/>
        <v>1438800</v>
      </c>
      <c r="M71" s="249">
        <f t="shared" si="24"/>
        <v>1617000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spans="1:26" ht="14.4">
      <c r="A72" s="687"/>
      <c r="B72" s="230" t="s">
        <v>180</v>
      </c>
      <c r="C72" s="227">
        <v>9.25</v>
      </c>
      <c r="D72" s="201"/>
      <c r="E72" s="201"/>
      <c r="F72" s="202">
        <f t="shared" si="20"/>
        <v>9.25</v>
      </c>
      <c r="G72" s="203">
        <v>49000</v>
      </c>
      <c r="H72" s="203">
        <v>55000</v>
      </c>
      <c r="I72" s="204"/>
      <c r="J72" s="205">
        <f t="shared" si="21"/>
        <v>0</v>
      </c>
      <c r="K72" s="205">
        <f t="shared" si="22"/>
        <v>0</v>
      </c>
      <c r="L72" s="248">
        <f t="shared" si="23"/>
        <v>453250</v>
      </c>
      <c r="M72" s="249">
        <f t="shared" si="24"/>
        <v>508750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spans="1:26" ht="18" customHeight="1">
      <c r="A73" s="687"/>
      <c r="B73" s="230" t="s">
        <v>181</v>
      </c>
      <c r="C73" s="227">
        <v>9</v>
      </c>
      <c r="D73" s="201"/>
      <c r="E73" s="201"/>
      <c r="F73" s="202">
        <f t="shared" si="20"/>
        <v>9</v>
      </c>
      <c r="G73" s="203">
        <v>58050</v>
      </c>
      <c r="H73" s="203">
        <v>63700</v>
      </c>
      <c r="I73" s="204"/>
      <c r="J73" s="205">
        <f t="shared" si="21"/>
        <v>0</v>
      </c>
      <c r="K73" s="205">
        <f t="shared" si="22"/>
        <v>0</v>
      </c>
      <c r="L73" s="248">
        <f t="shared" si="23"/>
        <v>522450</v>
      </c>
      <c r="M73" s="249">
        <f t="shared" si="24"/>
        <v>573300</v>
      </c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spans="1:26" ht="18" customHeight="1">
      <c r="A74" s="687"/>
      <c r="B74" s="230" t="s">
        <v>182</v>
      </c>
      <c r="C74" s="227">
        <v>0.5</v>
      </c>
      <c r="D74" s="201"/>
      <c r="E74" s="201"/>
      <c r="F74" s="202">
        <f t="shared" si="20"/>
        <v>0.5</v>
      </c>
      <c r="G74" s="203">
        <v>46000</v>
      </c>
      <c r="H74" s="203">
        <v>52000</v>
      </c>
      <c r="I74" s="204"/>
      <c r="J74" s="205">
        <f t="shared" si="21"/>
        <v>0</v>
      </c>
      <c r="K74" s="205">
        <f t="shared" si="22"/>
        <v>0</v>
      </c>
      <c r="L74" s="248">
        <f t="shared" si="23"/>
        <v>23000</v>
      </c>
      <c r="M74" s="249">
        <f t="shared" si="24"/>
        <v>26000</v>
      </c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spans="1:26" ht="14.4">
      <c r="A75" s="687"/>
      <c r="B75" s="230" t="s">
        <v>183</v>
      </c>
      <c r="C75" s="227">
        <v>9.5</v>
      </c>
      <c r="D75" s="201"/>
      <c r="E75" s="201"/>
      <c r="F75" s="202">
        <f t="shared" si="20"/>
        <v>9.5</v>
      </c>
      <c r="G75" s="203">
        <v>53000</v>
      </c>
      <c r="H75" s="203">
        <v>63000</v>
      </c>
      <c r="I75" s="204"/>
      <c r="J75" s="205">
        <f t="shared" si="21"/>
        <v>0</v>
      </c>
      <c r="K75" s="205">
        <f t="shared" si="22"/>
        <v>0</v>
      </c>
      <c r="L75" s="248">
        <f t="shared" si="23"/>
        <v>503500</v>
      </c>
      <c r="M75" s="249">
        <f t="shared" si="24"/>
        <v>598500</v>
      </c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spans="1:26" ht="14.4">
      <c r="A76" s="687"/>
      <c r="B76" s="230" t="s">
        <v>184</v>
      </c>
      <c r="C76" s="227"/>
      <c r="D76" s="201"/>
      <c r="E76" s="201"/>
      <c r="F76" s="202">
        <f t="shared" si="20"/>
        <v>0</v>
      </c>
      <c r="G76" s="203">
        <v>62500</v>
      </c>
      <c r="H76" s="203">
        <v>68000</v>
      </c>
      <c r="I76" s="204"/>
      <c r="J76" s="205">
        <f t="shared" si="21"/>
        <v>0</v>
      </c>
      <c r="K76" s="205">
        <f t="shared" si="22"/>
        <v>0</v>
      </c>
      <c r="L76" s="248">
        <f t="shared" si="23"/>
        <v>0</v>
      </c>
      <c r="M76" s="249">
        <f t="shared" si="24"/>
        <v>0</v>
      </c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spans="1:26" ht="14.4">
      <c r="A77" s="687"/>
      <c r="B77" s="230" t="s">
        <v>44</v>
      </c>
      <c r="C77" s="227">
        <f>134</f>
        <v>134</v>
      </c>
      <c r="D77" s="201"/>
      <c r="E77" s="201"/>
      <c r="F77" s="202">
        <f t="shared" ref="F77:F78" si="25">+C77+D77-E68</f>
        <v>134</v>
      </c>
      <c r="G77" s="203">
        <v>31200</v>
      </c>
      <c r="H77" s="203">
        <v>34500</v>
      </c>
      <c r="I77" s="204"/>
      <c r="J77" s="205">
        <f t="shared" si="21"/>
        <v>0</v>
      </c>
      <c r="K77" s="205">
        <f t="shared" si="22"/>
        <v>0</v>
      </c>
      <c r="L77" s="248">
        <f t="shared" si="23"/>
        <v>4180800</v>
      </c>
      <c r="M77" s="249">
        <f t="shared" si="24"/>
        <v>4623000</v>
      </c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spans="1:26" ht="14.4">
      <c r="A78" s="687"/>
      <c r="B78" s="230" t="s">
        <v>185</v>
      </c>
      <c r="C78" s="227">
        <v>103.5</v>
      </c>
      <c r="D78" s="201"/>
      <c r="E78" s="201"/>
      <c r="F78" s="202">
        <f t="shared" si="25"/>
        <v>103.5</v>
      </c>
      <c r="G78" s="203">
        <v>34000</v>
      </c>
      <c r="H78" s="203">
        <v>37500</v>
      </c>
      <c r="I78" s="204"/>
      <c r="J78" s="205">
        <f t="shared" si="21"/>
        <v>0</v>
      </c>
      <c r="K78" s="205">
        <f t="shared" si="22"/>
        <v>0</v>
      </c>
      <c r="L78" s="248">
        <f t="shared" si="23"/>
        <v>3519000</v>
      </c>
      <c r="M78" s="249">
        <f t="shared" si="24"/>
        <v>3881250</v>
      </c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spans="1:26" ht="14.4">
      <c r="A79" s="687"/>
      <c r="B79" s="230" t="s">
        <v>186</v>
      </c>
      <c r="C79" s="227">
        <v>1.75</v>
      </c>
      <c r="D79" s="201"/>
      <c r="E79" s="201"/>
      <c r="F79" s="202">
        <f t="shared" ref="F79:F88" si="26">+C79+D79-E79</f>
        <v>1.75</v>
      </c>
      <c r="G79" s="203">
        <v>64000</v>
      </c>
      <c r="H79" s="203">
        <v>68000</v>
      </c>
      <c r="I79" s="204"/>
      <c r="J79" s="205">
        <f t="shared" si="21"/>
        <v>0</v>
      </c>
      <c r="K79" s="205">
        <f t="shared" si="22"/>
        <v>0</v>
      </c>
      <c r="L79" s="250">
        <f t="shared" si="23"/>
        <v>112000</v>
      </c>
      <c r="M79" s="251">
        <f t="shared" si="24"/>
        <v>119000</v>
      </c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spans="1:26" ht="14.4">
      <c r="A80" s="687"/>
      <c r="B80" s="230" t="s">
        <v>187</v>
      </c>
      <c r="C80" s="227">
        <v>2.5</v>
      </c>
      <c r="D80" s="201"/>
      <c r="E80" s="201"/>
      <c r="F80" s="202">
        <f t="shared" si="26"/>
        <v>2.5</v>
      </c>
      <c r="G80" s="203">
        <v>50000</v>
      </c>
      <c r="H80" s="203">
        <v>55500</v>
      </c>
      <c r="I80" s="204"/>
      <c r="J80" s="205">
        <f t="shared" si="21"/>
        <v>0</v>
      </c>
      <c r="K80" s="205">
        <f t="shared" si="22"/>
        <v>0</v>
      </c>
      <c r="L80" s="248">
        <f t="shared" si="23"/>
        <v>125000</v>
      </c>
      <c r="M80" s="249">
        <f t="shared" si="24"/>
        <v>138750</v>
      </c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spans="1:26" ht="14.4">
      <c r="A81" s="687"/>
      <c r="B81" s="230" t="s">
        <v>188</v>
      </c>
      <c r="C81" s="227">
        <v>0.25</v>
      </c>
      <c r="D81" s="201"/>
      <c r="E81" s="201"/>
      <c r="F81" s="202">
        <f t="shared" si="26"/>
        <v>0.25</v>
      </c>
      <c r="G81" s="203">
        <v>55111</v>
      </c>
      <c r="H81" s="203">
        <v>60000</v>
      </c>
      <c r="I81" s="204"/>
      <c r="J81" s="205">
        <f t="shared" si="21"/>
        <v>0</v>
      </c>
      <c r="K81" s="205">
        <f t="shared" si="22"/>
        <v>0</v>
      </c>
      <c r="L81" s="248">
        <f t="shared" si="23"/>
        <v>13777.75</v>
      </c>
      <c r="M81" s="249">
        <f t="shared" si="24"/>
        <v>15000</v>
      </c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spans="1:26" ht="14.4">
      <c r="A82" s="687"/>
      <c r="B82" s="230" t="s">
        <v>46</v>
      </c>
      <c r="C82" s="252">
        <f>84+2</f>
        <v>86</v>
      </c>
      <c r="D82" s="201"/>
      <c r="E82" s="201"/>
      <c r="F82" s="202">
        <f t="shared" si="26"/>
        <v>86</v>
      </c>
      <c r="G82" s="203">
        <v>37000</v>
      </c>
      <c r="H82" s="203">
        <v>39000</v>
      </c>
      <c r="I82" s="204"/>
      <c r="J82" s="205">
        <f t="shared" si="21"/>
        <v>0</v>
      </c>
      <c r="K82" s="205">
        <f t="shared" si="22"/>
        <v>0</v>
      </c>
      <c r="L82" s="248">
        <f t="shared" si="23"/>
        <v>3182000</v>
      </c>
      <c r="M82" s="249">
        <f t="shared" si="24"/>
        <v>3354000</v>
      </c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spans="1:26" ht="14.4">
      <c r="A83" s="687"/>
      <c r="B83" s="230" t="s">
        <v>189</v>
      </c>
      <c r="C83" s="227">
        <v>9</v>
      </c>
      <c r="D83" s="201"/>
      <c r="E83" s="201"/>
      <c r="F83" s="202">
        <f t="shared" si="26"/>
        <v>9</v>
      </c>
      <c r="G83" s="203">
        <v>37700</v>
      </c>
      <c r="H83" s="203">
        <v>40500</v>
      </c>
      <c r="I83" s="204"/>
      <c r="J83" s="205">
        <f t="shared" si="21"/>
        <v>0</v>
      </c>
      <c r="K83" s="205">
        <f t="shared" si="22"/>
        <v>0</v>
      </c>
      <c r="L83" s="248">
        <f t="shared" si="23"/>
        <v>339300</v>
      </c>
      <c r="M83" s="249">
        <f t="shared" si="24"/>
        <v>364500</v>
      </c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spans="1:26" ht="14.4">
      <c r="A84" s="687"/>
      <c r="B84" s="230" t="s">
        <v>49</v>
      </c>
      <c r="C84" s="238">
        <v>0.25</v>
      </c>
      <c r="D84" s="201"/>
      <c r="E84" s="201"/>
      <c r="F84" s="202">
        <f t="shared" si="26"/>
        <v>0.25</v>
      </c>
      <c r="G84" s="203">
        <v>44000</v>
      </c>
      <c r="H84" s="203">
        <v>50000</v>
      </c>
      <c r="I84" s="204"/>
      <c r="J84" s="205">
        <f t="shared" si="21"/>
        <v>0</v>
      </c>
      <c r="K84" s="205">
        <f t="shared" si="22"/>
        <v>0</v>
      </c>
      <c r="L84" s="248">
        <f t="shared" si="23"/>
        <v>11000</v>
      </c>
      <c r="M84" s="249">
        <f t="shared" si="24"/>
        <v>12500</v>
      </c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spans="1:26" ht="14.4">
      <c r="A85" s="687"/>
      <c r="B85" s="230" t="s">
        <v>190</v>
      </c>
      <c r="C85" s="238">
        <v>1.5</v>
      </c>
      <c r="D85" s="201"/>
      <c r="E85" s="201"/>
      <c r="F85" s="202">
        <f t="shared" si="26"/>
        <v>1.5</v>
      </c>
      <c r="G85" s="203">
        <v>40000</v>
      </c>
      <c r="H85" s="203">
        <v>43000</v>
      </c>
      <c r="I85" s="204"/>
      <c r="J85" s="205">
        <f t="shared" si="21"/>
        <v>0</v>
      </c>
      <c r="K85" s="205">
        <f t="shared" si="22"/>
        <v>0</v>
      </c>
      <c r="L85" s="248">
        <f t="shared" si="23"/>
        <v>60000</v>
      </c>
      <c r="M85" s="249">
        <f t="shared" si="24"/>
        <v>64500</v>
      </c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spans="1:26" ht="14.4">
      <c r="A86" s="687"/>
      <c r="B86" s="230" t="s">
        <v>191</v>
      </c>
      <c r="C86" s="253"/>
      <c r="D86" s="201"/>
      <c r="E86" s="201"/>
      <c r="F86" s="202">
        <f t="shared" si="26"/>
        <v>0</v>
      </c>
      <c r="G86" s="203">
        <v>58700</v>
      </c>
      <c r="H86" s="203">
        <v>68000</v>
      </c>
      <c r="I86" s="204"/>
      <c r="J86" s="205">
        <f t="shared" si="21"/>
        <v>0</v>
      </c>
      <c r="K86" s="205">
        <f t="shared" si="22"/>
        <v>0</v>
      </c>
      <c r="L86" s="248">
        <f t="shared" si="23"/>
        <v>0</v>
      </c>
      <c r="M86" s="249">
        <f t="shared" si="24"/>
        <v>0</v>
      </c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spans="1:26" ht="14.4">
      <c r="A87" s="687"/>
      <c r="B87" s="230" t="s">
        <v>192</v>
      </c>
      <c r="C87" s="227">
        <v>10.5</v>
      </c>
      <c r="D87" s="201"/>
      <c r="E87" s="201"/>
      <c r="F87" s="202">
        <f t="shared" si="26"/>
        <v>10.5</v>
      </c>
      <c r="G87" s="239">
        <v>68000</v>
      </c>
      <c r="H87" s="239">
        <v>73500</v>
      </c>
      <c r="I87" s="204"/>
      <c r="J87" s="205">
        <f t="shared" si="21"/>
        <v>0</v>
      </c>
      <c r="K87" s="205">
        <f t="shared" si="22"/>
        <v>0</v>
      </c>
      <c r="L87" s="248">
        <f t="shared" si="23"/>
        <v>714000</v>
      </c>
      <c r="M87" s="249">
        <f t="shared" si="24"/>
        <v>771750</v>
      </c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spans="1:26" ht="14.4">
      <c r="A88" s="687"/>
      <c r="B88" s="230" t="s">
        <v>193</v>
      </c>
      <c r="C88" s="227">
        <v>1</v>
      </c>
      <c r="D88" s="201"/>
      <c r="E88" s="201"/>
      <c r="F88" s="202">
        <f t="shared" si="26"/>
        <v>1</v>
      </c>
      <c r="G88" s="239">
        <v>86000</v>
      </c>
      <c r="H88" s="239">
        <v>90000</v>
      </c>
      <c r="I88" s="204"/>
      <c r="J88" s="205">
        <f t="shared" si="21"/>
        <v>0</v>
      </c>
      <c r="K88" s="205">
        <f t="shared" si="22"/>
        <v>0</v>
      </c>
      <c r="L88" s="248">
        <f t="shared" si="23"/>
        <v>86000</v>
      </c>
      <c r="M88" s="249">
        <f t="shared" si="24"/>
        <v>90000</v>
      </c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spans="1:26" ht="14.4">
      <c r="A89" s="688"/>
      <c r="B89" s="254"/>
      <c r="C89" s="255"/>
      <c r="D89" s="255"/>
      <c r="E89" s="256"/>
      <c r="F89" s="257">
        <f t="shared" ref="F89:I89" si="27">SUM(F62:F83)</f>
        <v>538.25</v>
      </c>
      <c r="G89" s="258">
        <f t="shared" si="27"/>
        <v>1015267</v>
      </c>
      <c r="H89" s="258">
        <f t="shared" si="27"/>
        <v>1129700</v>
      </c>
      <c r="I89" s="259">
        <f t="shared" si="27"/>
        <v>0</v>
      </c>
      <c r="J89" s="260">
        <f t="shared" ref="J89:K89" si="28">SUM(J62:J87)</f>
        <v>0</v>
      </c>
      <c r="K89" s="260">
        <f t="shared" si="28"/>
        <v>0</v>
      </c>
      <c r="L89" s="260">
        <f>SUM(L62:L88)</f>
        <v>21536593.75</v>
      </c>
      <c r="M89" s="260">
        <f>SUM(M62:M87)</f>
        <v>23848800</v>
      </c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spans="1:26" ht="14.4">
      <c r="A90" s="689" t="s">
        <v>194</v>
      </c>
      <c r="B90" s="230" t="s">
        <v>195</v>
      </c>
      <c r="C90" s="261">
        <v>15</v>
      </c>
      <c r="D90" s="201"/>
      <c r="E90" s="201"/>
      <c r="F90" s="202">
        <f t="shared" ref="F90:F148" si="29">+C90+D90-E90</f>
        <v>15</v>
      </c>
      <c r="G90" s="203">
        <v>49000</v>
      </c>
      <c r="H90" s="203">
        <v>52000</v>
      </c>
      <c r="I90" s="224"/>
      <c r="J90" s="205">
        <f t="shared" ref="J90:J148" si="30">+I90*H90</f>
        <v>0</v>
      </c>
      <c r="K90" s="205">
        <f t="shared" ref="K90:K148" si="31">+(H90-G90)*I90</f>
        <v>0</v>
      </c>
      <c r="L90" s="262">
        <f t="shared" ref="L90:L148" si="32">+G90*F90</f>
        <v>735000</v>
      </c>
      <c r="M90" s="263">
        <f t="shared" ref="M90:M148" si="33">F90*H90</f>
        <v>780000</v>
      </c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spans="1:26" ht="14.4">
      <c r="A91" s="690"/>
      <c r="B91" s="230" t="s">
        <v>196</v>
      </c>
      <c r="C91" s="227">
        <v>5</v>
      </c>
      <c r="D91" s="201"/>
      <c r="E91" s="201"/>
      <c r="F91" s="202">
        <f t="shared" si="29"/>
        <v>5</v>
      </c>
      <c r="G91" s="203">
        <v>93664</v>
      </c>
      <c r="H91" s="203">
        <v>98000</v>
      </c>
      <c r="I91" s="204"/>
      <c r="J91" s="205">
        <f t="shared" si="30"/>
        <v>0</v>
      </c>
      <c r="K91" s="205">
        <f t="shared" si="31"/>
        <v>0</v>
      </c>
      <c r="L91" s="262">
        <f t="shared" si="32"/>
        <v>468320</v>
      </c>
      <c r="M91" s="263">
        <f t="shared" si="33"/>
        <v>490000</v>
      </c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spans="1:26" ht="14.4">
      <c r="A92" s="690"/>
      <c r="B92" s="230" t="s">
        <v>197</v>
      </c>
      <c r="C92" s="261">
        <v>5</v>
      </c>
      <c r="D92" s="201"/>
      <c r="E92" s="201"/>
      <c r="F92" s="202">
        <f t="shared" si="29"/>
        <v>5</v>
      </c>
      <c r="G92" s="203">
        <v>26900</v>
      </c>
      <c r="H92" s="203">
        <v>29000</v>
      </c>
      <c r="I92" s="204"/>
      <c r="J92" s="205">
        <f t="shared" si="30"/>
        <v>0</v>
      </c>
      <c r="K92" s="205">
        <f t="shared" si="31"/>
        <v>0</v>
      </c>
      <c r="L92" s="262">
        <f t="shared" si="32"/>
        <v>134500</v>
      </c>
      <c r="M92" s="263">
        <f t="shared" si="33"/>
        <v>145000</v>
      </c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spans="1:26" ht="14.4">
      <c r="A93" s="690"/>
      <c r="B93" s="230" t="s">
        <v>198</v>
      </c>
      <c r="C93" s="227">
        <v>8</v>
      </c>
      <c r="D93" s="201"/>
      <c r="E93" s="201"/>
      <c r="F93" s="202">
        <f t="shared" si="29"/>
        <v>8</v>
      </c>
      <c r="G93" s="203">
        <v>43449</v>
      </c>
      <c r="H93" s="203">
        <v>46000</v>
      </c>
      <c r="I93" s="204"/>
      <c r="J93" s="205">
        <f t="shared" si="30"/>
        <v>0</v>
      </c>
      <c r="K93" s="205">
        <f t="shared" si="31"/>
        <v>0</v>
      </c>
      <c r="L93" s="262">
        <f t="shared" si="32"/>
        <v>347592</v>
      </c>
      <c r="M93" s="263">
        <f t="shared" si="33"/>
        <v>368000</v>
      </c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spans="1:26" ht="14.4">
      <c r="A94" s="690"/>
      <c r="B94" s="264" t="s">
        <v>199</v>
      </c>
      <c r="C94" s="227">
        <v>1</v>
      </c>
      <c r="D94" s="201"/>
      <c r="E94" s="201"/>
      <c r="F94" s="202">
        <f t="shared" si="29"/>
        <v>1</v>
      </c>
      <c r="G94" s="210">
        <v>113000</v>
      </c>
      <c r="H94" s="210">
        <v>118000</v>
      </c>
      <c r="I94" s="204"/>
      <c r="J94" s="205">
        <f t="shared" si="30"/>
        <v>0</v>
      </c>
      <c r="K94" s="205">
        <f t="shared" si="31"/>
        <v>0</v>
      </c>
      <c r="L94" s="262">
        <f t="shared" si="32"/>
        <v>113000</v>
      </c>
      <c r="M94" s="263">
        <f t="shared" si="33"/>
        <v>118000</v>
      </c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spans="1:26" ht="14.4">
      <c r="A95" s="690"/>
      <c r="B95" s="230" t="s">
        <v>200</v>
      </c>
      <c r="C95" s="261">
        <v>19</v>
      </c>
      <c r="D95" s="201"/>
      <c r="E95" s="201"/>
      <c r="F95" s="202">
        <f t="shared" si="29"/>
        <v>19</v>
      </c>
      <c r="G95" s="203">
        <v>12678</v>
      </c>
      <c r="H95" s="203">
        <v>13000</v>
      </c>
      <c r="I95" s="204"/>
      <c r="J95" s="205">
        <f t="shared" si="30"/>
        <v>0</v>
      </c>
      <c r="K95" s="205">
        <f t="shared" si="31"/>
        <v>0</v>
      </c>
      <c r="L95" s="262">
        <f t="shared" si="32"/>
        <v>240882</v>
      </c>
      <c r="M95" s="263">
        <f t="shared" si="33"/>
        <v>247000</v>
      </c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spans="1:26" ht="14.4">
      <c r="A96" s="690"/>
      <c r="B96" s="230" t="s">
        <v>201</v>
      </c>
      <c r="C96" s="229">
        <v>2</v>
      </c>
      <c r="D96" s="201"/>
      <c r="E96" s="201"/>
      <c r="F96" s="202">
        <f t="shared" si="29"/>
        <v>2</v>
      </c>
      <c r="G96" s="203">
        <v>50231</v>
      </c>
      <c r="H96" s="203">
        <v>52000</v>
      </c>
      <c r="I96" s="204"/>
      <c r="J96" s="205">
        <f t="shared" si="30"/>
        <v>0</v>
      </c>
      <c r="K96" s="205">
        <f t="shared" si="31"/>
        <v>0</v>
      </c>
      <c r="L96" s="262">
        <f t="shared" si="32"/>
        <v>100462</v>
      </c>
      <c r="M96" s="263">
        <f t="shared" si="33"/>
        <v>104000</v>
      </c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spans="1:26" ht="14.4">
      <c r="A97" s="690"/>
      <c r="B97" s="230" t="s">
        <v>202</v>
      </c>
      <c r="C97" s="261">
        <v>4</v>
      </c>
      <c r="D97" s="201"/>
      <c r="E97" s="201"/>
      <c r="F97" s="202">
        <f t="shared" si="29"/>
        <v>4</v>
      </c>
      <c r="G97" s="203">
        <v>27677</v>
      </c>
      <c r="H97" s="203">
        <v>30000</v>
      </c>
      <c r="I97" s="204"/>
      <c r="J97" s="205">
        <f t="shared" si="30"/>
        <v>0</v>
      </c>
      <c r="K97" s="205">
        <f t="shared" si="31"/>
        <v>0</v>
      </c>
      <c r="L97" s="262">
        <f t="shared" si="32"/>
        <v>110708</v>
      </c>
      <c r="M97" s="263">
        <f t="shared" si="33"/>
        <v>120000</v>
      </c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spans="1:26" ht="14.4">
      <c r="A98" s="690"/>
      <c r="B98" s="230" t="s">
        <v>203</v>
      </c>
      <c r="C98" s="227"/>
      <c r="D98" s="201"/>
      <c r="E98" s="201"/>
      <c r="F98" s="202">
        <f t="shared" si="29"/>
        <v>0</v>
      </c>
      <c r="G98" s="203">
        <v>13257</v>
      </c>
      <c r="H98" s="203">
        <v>13500</v>
      </c>
      <c r="I98" s="204"/>
      <c r="J98" s="205">
        <f t="shared" si="30"/>
        <v>0</v>
      </c>
      <c r="K98" s="205">
        <f t="shared" si="31"/>
        <v>0</v>
      </c>
      <c r="L98" s="262">
        <f t="shared" si="32"/>
        <v>0</v>
      </c>
      <c r="M98" s="263">
        <f t="shared" si="33"/>
        <v>0</v>
      </c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spans="1:26" ht="14.4">
      <c r="A99" s="690"/>
      <c r="B99" s="230" t="s">
        <v>204</v>
      </c>
      <c r="C99" s="227">
        <v>1</v>
      </c>
      <c r="D99" s="201"/>
      <c r="E99" s="201"/>
      <c r="F99" s="202">
        <f t="shared" si="29"/>
        <v>1</v>
      </c>
      <c r="G99" s="203">
        <v>94624</v>
      </c>
      <c r="H99" s="203">
        <v>104000</v>
      </c>
      <c r="I99" s="204"/>
      <c r="J99" s="205">
        <f t="shared" si="30"/>
        <v>0</v>
      </c>
      <c r="K99" s="205">
        <f t="shared" si="31"/>
        <v>0</v>
      </c>
      <c r="L99" s="262">
        <f t="shared" si="32"/>
        <v>94624</v>
      </c>
      <c r="M99" s="263">
        <f t="shared" si="33"/>
        <v>104000</v>
      </c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spans="1:26" ht="14.4">
      <c r="A100" s="690"/>
      <c r="B100" s="230" t="s">
        <v>205</v>
      </c>
      <c r="C100" s="229">
        <v>5</v>
      </c>
      <c r="D100" s="201"/>
      <c r="E100" s="201"/>
      <c r="F100" s="202">
        <f t="shared" si="29"/>
        <v>5</v>
      </c>
      <c r="G100" s="203">
        <v>42926</v>
      </c>
      <c r="H100" s="203">
        <v>45000</v>
      </c>
      <c r="I100" s="204"/>
      <c r="J100" s="205">
        <f t="shared" si="30"/>
        <v>0</v>
      </c>
      <c r="K100" s="205">
        <f t="shared" si="31"/>
        <v>0</v>
      </c>
      <c r="L100" s="262">
        <f t="shared" si="32"/>
        <v>214630</v>
      </c>
      <c r="M100" s="263">
        <f t="shared" si="33"/>
        <v>225000</v>
      </c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spans="1:26" ht="14.4">
      <c r="A101" s="690"/>
      <c r="B101" s="230" t="s">
        <v>206</v>
      </c>
      <c r="C101" s="227">
        <v>6</v>
      </c>
      <c r="D101" s="201"/>
      <c r="E101" s="201"/>
      <c r="F101" s="202">
        <f t="shared" si="29"/>
        <v>6</v>
      </c>
      <c r="G101" s="203">
        <v>22505</v>
      </c>
      <c r="H101" s="203">
        <v>24000</v>
      </c>
      <c r="I101" s="204"/>
      <c r="J101" s="205">
        <f t="shared" si="30"/>
        <v>0</v>
      </c>
      <c r="K101" s="205">
        <f t="shared" si="31"/>
        <v>0</v>
      </c>
      <c r="L101" s="262">
        <f t="shared" si="32"/>
        <v>135030</v>
      </c>
      <c r="M101" s="263">
        <f t="shared" si="33"/>
        <v>144000</v>
      </c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spans="1:26" ht="14.4">
      <c r="A102" s="690"/>
      <c r="B102" s="230" t="s">
        <v>207</v>
      </c>
      <c r="C102" s="227"/>
      <c r="D102" s="201"/>
      <c r="E102" s="201"/>
      <c r="F102" s="202">
        <f t="shared" si="29"/>
        <v>0</v>
      </c>
      <c r="G102" s="203">
        <v>38230</v>
      </c>
      <c r="H102" s="203">
        <v>41000</v>
      </c>
      <c r="I102" s="204"/>
      <c r="J102" s="205">
        <f t="shared" si="30"/>
        <v>0</v>
      </c>
      <c r="K102" s="205">
        <f t="shared" si="31"/>
        <v>0</v>
      </c>
      <c r="L102" s="262">
        <f t="shared" si="32"/>
        <v>0</v>
      </c>
      <c r="M102" s="263">
        <f t="shared" si="33"/>
        <v>0</v>
      </c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spans="1:26" ht="14.4">
      <c r="A103" s="690"/>
      <c r="B103" s="230" t="s">
        <v>208</v>
      </c>
      <c r="C103" s="227">
        <v>6</v>
      </c>
      <c r="D103" s="201"/>
      <c r="E103" s="201"/>
      <c r="F103" s="202">
        <f t="shared" si="29"/>
        <v>6</v>
      </c>
      <c r="G103" s="203">
        <v>10985</v>
      </c>
      <c r="H103" s="203">
        <v>13000</v>
      </c>
      <c r="I103" s="204"/>
      <c r="J103" s="205">
        <f t="shared" si="30"/>
        <v>0</v>
      </c>
      <c r="K103" s="205">
        <f t="shared" si="31"/>
        <v>0</v>
      </c>
      <c r="L103" s="262">
        <f t="shared" si="32"/>
        <v>65910</v>
      </c>
      <c r="M103" s="263">
        <f t="shared" si="33"/>
        <v>78000</v>
      </c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spans="1:26" ht="14.4">
      <c r="A104" s="690"/>
      <c r="B104" s="230" t="s">
        <v>209</v>
      </c>
      <c r="C104" s="227">
        <v>2</v>
      </c>
      <c r="D104" s="201"/>
      <c r="E104" s="201"/>
      <c r="F104" s="202">
        <f t="shared" si="29"/>
        <v>2</v>
      </c>
      <c r="G104" s="210">
        <v>90151</v>
      </c>
      <c r="H104" s="210">
        <v>95000</v>
      </c>
      <c r="I104" s="204"/>
      <c r="J104" s="205">
        <f t="shared" si="30"/>
        <v>0</v>
      </c>
      <c r="K104" s="205">
        <f t="shared" si="31"/>
        <v>0</v>
      </c>
      <c r="L104" s="262">
        <f t="shared" si="32"/>
        <v>180302</v>
      </c>
      <c r="M104" s="263">
        <f t="shared" si="33"/>
        <v>190000</v>
      </c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spans="1:26" ht="14.4">
      <c r="A105" s="690"/>
      <c r="B105" s="265" t="s">
        <v>210</v>
      </c>
      <c r="C105" s="229">
        <v>3</v>
      </c>
      <c r="D105" s="201"/>
      <c r="E105" s="201"/>
      <c r="F105" s="202">
        <f t="shared" si="29"/>
        <v>3</v>
      </c>
      <c r="G105" s="210">
        <v>90151</v>
      </c>
      <c r="H105" s="210">
        <v>95000</v>
      </c>
      <c r="I105" s="204"/>
      <c r="J105" s="205">
        <f t="shared" si="30"/>
        <v>0</v>
      </c>
      <c r="K105" s="205">
        <f t="shared" si="31"/>
        <v>0</v>
      </c>
      <c r="L105" s="262">
        <f t="shared" si="32"/>
        <v>270453</v>
      </c>
      <c r="M105" s="263">
        <f t="shared" si="33"/>
        <v>285000</v>
      </c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spans="1:26" ht="14.4">
      <c r="A106" s="690"/>
      <c r="B106" s="230" t="s">
        <v>211</v>
      </c>
      <c r="C106" s="227">
        <v>5</v>
      </c>
      <c r="D106" s="201"/>
      <c r="E106" s="201"/>
      <c r="F106" s="202">
        <f t="shared" si="29"/>
        <v>5</v>
      </c>
      <c r="G106" s="266">
        <v>89506</v>
      </c>
      <c r="H106" s="203">
        <v>95000</v>
      </c>
      <c r="I106" s="204"/>
      <c r="J106" s="205">
        <f t="shared" si="30"/>
        <v>0</v>
      </c>
      <c r="K106" s="205">
        <f t="shared" si="31"/>
        <v>0</v>
      </c>
      <c r="L106" s="262">
        <f t="shared" si="32"/>
        <v>447530</v>
      </c>
      <c r="M106" s="263">
        <f t="shared" si="33"/>
        <v>475000</v>
      </c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spans="1:26" ht="14.4">
      <c r="A107" s="690"/>
      <c r="B107" s="230" t="s">
        <v>212</v>
      </c>
      <c r="C107" s="227">
        <v>7</v>
      </c>
      <c r="D107" s="201"/>
      <c r="E107" s="201"/>
      <c r="F107" s="202">
        <f t="shared" si="29"/>
        <v>7</v>
      </c>
      <c r="G107" s="267">
        <v>48729</v>
      </c>
      <c r="H107" s="203">
        <v>51000</v>
      </c>
      <c r="I107" s="204"/>
      <c r="J107" s="205">
        <f t="shared" si="30"/>
        <v>0</v>
      </c>
      <c r="K107" s="205">
        <f t="shared" si="31"/>
        <v>0</v>
      </c>
      <c r="L107" s="262">
        <f t="shared" si="32"/>
        <v>341103</v>
      </c>
      <c r="M107" s="263">
        <f t="shared" si="33"/>
        <v>357000</v>
      </c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spans="1:26" ht="14.4">
      <c r="A108" s="690"/>
      <c r="B108" s="230" t="s">
        <v>213</v>
      </c>
      <c r="C108" s="227"/>
      <c r="D108" s="201"/>
      <c r="E108" s="201"/>
      <c r="F108" s="202">
        <f t="shared" si="29"/>
        <v>0</v>
      </c>
      <c r="G108" s="267">
        <v>26542</v>
      </c>
      <c r="H108" s="203">
        <v>28000</v>
      </c>
      <c r="I108" s="204"/>
      <c r="J108" s="205">
        <f t="shared" si="30"/>
        <v>0</v>
      </c>
      <c r="K108" s="205">
        <f t="shared" si="31"/>
        <v>0</v>
      </c>
      <c r="L108" s="262">
        <f t="shared" si="32"/>
        <v>0</v>
      </c>
      <c r="M108" s="263">
        <f t="shared" si="33"/>
        <v>0</v>
      </c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spans="1:26" ht="14.4">
      <c r="A109" s="690"/>
      <c r="B109" s="230" t="s">
        <v>214</v>
      </c>
      <c r="C109" s="261">
        <v>5</v>
      </c>
      <c r="D109" s="201"/>
      <c r="E109" s="201"/>
      <c r="F109" s="202">
        <f t="shared" si="29"/>
        <v>5</v>
      </c>
      <c r="G109" s="267">
        <v>48729</v>
      </c>
      <c r="H109" s="203">
        <v>51000</v>
      </c>
      <c r="I109" s="204"/>
      <c r="J109" s="205">
        <f t="shared" si="30"/>
        <v>0</v>
      </c>
      <c r="K109" s="205">
        <f t="shared" si="31"/>
        <v>0</v>
      </c>
      <c r="L109" s="262">
        <f t="shared" si="32"/>
        <v>243645</v>
      </c>
      <c r="M109" s="263">
        <f t="shared" si="33"/>
        <v>255000</v>
      </c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spans="1:26" ht="14.4">
      <c r="A110" s="690"/>
      <c r="B110" s="230" t="s">
        <v>215</v>
      </c>
      <c r="C110" s="261">
        <v>9</v>
      </c>
      <c r="D110" s="201"/>
      <c r="E110" s="201"/>
      <c r="F110" s="202">
        <f t="shared" si="29"/>
        <v>9</v>
      </c>
      <c r="G110" s="203">
        <v>46856</v>
      </c>
      <c r="H110" s="203">
        <v>49000</v>
      </c>
      <c r="I110" s="204"/>
      <c r="J110" s="205">
        <f t="shared" si="30"/>
        <v>0</v>
      </c>
      <c r="K110" s="205">
        <f t="shared" si="31"/>
        <v>0</v>
      </c>
      <c r="L110" s="262">
        <f t="shared" si="32"/>
        <v>421704</v>
      </c>
      <c r="M110" s="263">
        <f t="shared" si="33"/>
        <v>441000</v>
      </c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spans="1:26" ht="14.4">
      <c r="A111" s="690"/>
      <c r="B111" s="230" t="s">
        <v>59</v>
      </c>
      <c r="C111" s="261">
        <v>10</v>
      </c>
      <c r="D111" s="201"/>
      <c r="E111" s="201"/>
      <c r="F111" s="202">
        <f t="shared" si="29"/>
        <v>10</v>
      </c>
      <c r="G111" s="203">
        <v>26234</v>
      </c>
      <c r="H111" s="203">
        <v>28000</v>
      </c>
      <c r="I111" s="204"/>
      <c r="J111" s="205">
        <f t="shared" si="30"/>
        <v>0</v>
      </c>
      <c r="K111" s="205">
        <f t="shared" si="31"/>
        <v>0</v>
      </c>
      <c r="L111" s="262">
        <f t="shared" si="32"/>
        <v>262340</v>
      </c>
      <c r="M111" s="263">
        <f t="shared" si="33"/>
        <v>280000</v>
      </c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spans="1:26" ht="14.4">
      <c r="A112" s="690"/>
      <c r="B112" s="230" t="s">
        <v>216</v>
      </c>
      <c r="C112" s="227">
        <v>6</v>
      </c>
      <c r="D112" s="201"/>
      <c r="E112" s="201"/>
      <c r="F112" s="202">
        <f t="shared" si="29"/>
        <v>6</v>
      </c>
      <c r="G112" s="203">
        <v>11700</v>
      </c>
      <c r="H112" s="203">
        <v>13000</v>
      </c>
      <c r="I112" s="204"/>
      <c r="J112" s="205">
        <f t="shared" si="30"/>
        <v>0</v>
      </c>
      <c r="K112" s="205">
        <f t="shared" si="31"/>
        <v>0</v>
      </c>
      <c r="L112" s="262">
        <f t="shared" si="32"/>
        <v>70200</v>
      </c>
      <c r="M112" s="263">
        <f t="shared" si="33"/>
        <v>78000</v>
      </c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spans="1:26" ht="14.4">
      <c r="A113" s="690"/>
      <c r="B113" s="230" t="s">
        <v>217</v>
      </c>
      <c r="C113" s="227">
        <v>2</v>
      </c>
      <c r="D113" s="201"/>
      <c r="E113" s="201"/>
      <c r="F113" s="202">
        <f t="shared" si="29"/>
        <v>2</v>
      </c>
      <c r="G113" s="203">
        <v>51378</v>
      </c>
      <c r="H113" s="203">
        <v>53000</v>
      </c>
      <c r="I113" s="204"/>
      <c r="J113" s="205">
        <f t="shared" si="30"/>
        <v>0</v>
      </c>
      <c r="K113" s="205">
        <f t="shared" si="31"/>
        <v>0</v>
      </c>
      <c r="L113" s="262">
        <f t="shared" si="32"/>
        <v>102756</v>
      </c>
      <c r="M113" s="263">
        <f t="shared" si="33"/>
        <v>106000</v>
      </c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spans="1:26" ht="14.4">
      <c r="A114" s="690"/>
      <c r="B114" s="230" t="s">
        <v>218</v>
      </c>
      <c r="C114" s="227">
        <v>1</v>
      </c>
      <c r="D114" s="201"/>
      <c r="E114" s="201"/>
      <c r="F114" s="202">
        <f t="shared" si="29"/>
        <v>1</v>
      </c>
      <c r="G114" s="203">
        <v>29440</v>
      </c>
      <c r="H114" s="203">
        <v>31000</v>
      </c>
      <c r="I114" s="204"/>
      <c r="J114" s="205">
        <f t="shared" si="30"/>
        <v>0</v>
      </c>
      <c r="K114" s="205">
        <f t="shared" si="31"/>
        <v>0</v>
      </c>
      <c r="L114" s="262">
        <f t="shared" si="32"/>
        <v>29440</v>
      </c>
      <c r="M114" s="263">
        <f t="shared" si="33"/>
        <v>31000</v>
      </c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spans="1:26" ht="14.4">
      <c r="A115" s="690"/>
      <c r="B115" s="230" t="s">
        <v>659</v>
      </c>
      <c r="C115" s="229">
        <v>8</v>
      </c>
      <c r="D115" s="201"/>
      <c r="E115" s="201"/>
      <c r="F115" s="202">
        <f t="shared" si="29"/>
        <v>8</v>
      </c>
      <c r="G115" s="203">
        <v>11700</v>
      </c>
      <c r="H115" s="203">
        <v>13000</v>
      </c>
      <c r="I115" s="204"/>
      <c r="J115" s="205">
        <f t="shared" si="30"/>
        <v>0</v>
      </c>
      <c r="K115" s="205">
        <f t="shared" si="31"/>
        <v>0</v>
      </c>
      <c r="L115" s="262">
        <f t="shared" si="32"/>
        <v>93600</v>
      </c>
      <c r="M115" s="263">
        <f t="shared" si="33"/>
        <v>104000</v>
      </c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spans="1:26" ht="14.4">
      <c r="A116" s="690"/>
      <c r="B116" s="230" t="s">
        <v>219</v>
      </c>
      <c r="C116" s="229">
        <v>2</v>
      </c>
      <c r="D116" s="201"/>
      <c r="E116" s="201"/>
      <c r="F116" s="202">
        <f t="shared" si="29"/>
        <v>2</v>
      </c>
      <c r="G116" s="203">
        <v>52351</v>
      </c>
      <c r="H116" s="203">
        <v>48000</v>
      </c>
      <c r="I116" s="204"/>
      <c r="J116" s="205">
        <f t="shared" si="30"/>
        <v>0</v>
      </c>
      <c r="K116" s="205">
        <f t="shared" si="31"/>
        <v>0</v>
      </c>
      <c r="L116" s="262">
        <f t="shared" si="32"/>
        <v>104702</v>
      </c>
      <c r="M116" s="263">
        <f t="shared" si="33"/>
        <v>96000</v>
      </c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spans="1:26" ht="14.4">
      <c r="A117" s="690"/>
      <c r="B117" s="230" t="s">
        <v>220</v>
      </c>
      <c r="C117" s="229"/>
      <c r="D117" s="201"/>
      <c r="E117" s="201"/>
      <c r="F117" s="202">
        <f t="shared" si="29"/>
        <v>0</v>
      </c>
      <c r="G117" s="203">
        <v>67573</v>
      </c>
      <c r="H117" s="203">
        <v>68000</v>
      </c>
      <c r="I117" s="204"/>
      <c r="J117" s="205">
        <f t="shared" si="30"/>
        <v>0</v>
      </c>
      <c r="K117" s="205">
        <f t="shared" si="31"/>
        <v>0</v>
      </c>
      <c r="L117" s="262">
        <f t="shared" si="32"/>
        <v>0</v>
      </c>
      <c r="M117" s="263">
        <f t="shared" si="33"/>
        <v>0</v>
      </c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spans="1:26" ht="14.4">
      <c r="A118" s="690"/>
      <c r="B118" s="230" t="s">
        <v>221</v>
      </c>
      <c r="C118" s="227">
        <v>1</v>
      </c>
      <c r="D118" s="201"/>
      <c r="E118" s="201"/>
      <c r="F118" s="202">
        <f t="shared" si="29"/>
        <v>1</v>
      </c>
      <c r="G118" s="203">
        <v>119000</v>
      </c>
      <c r="H118" s="203">
        <v>110000</v>
      </c>
      <c r="I118" s="204"/>
      <c r="J118" s="205">
        <f t="shared" si="30"/>
        <v>0</v>
      </c>
      <c r="K118" s="205">
        <f t="shared" si="31"/>
        <v>0</v>
      </c>
      <c r="L118" s="262">
        <f t="shared" si="32"/>
        <v>119000</v>
      </c>
      <c r="M118" s="263">
        <f t="shared" si="33"/>
        <v>110000</v>
      </c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spans="1:26" ht="14.4">
      <c r="A119" s="690"/>
      <c r="B119" s="230" t="s">
        <v>222</v>
      </c>
      <c r="C119" s="227">
        <v>2</v>
      </c>
      <c r="D119" s="201"/>
      <c r="E119" s="201"/>
      <c r="F119" s="202">
        <f t="shared" si="29"/>
        <v>2</v>
      </c>
      <c r="G119" s="203">
        <v>49403</v>
      </c>
      <c r="H119" s="203">
        <v>46000</v>
      </c>
      <c r="I119" s="204"/>
      <c r="J119" s="205">
        <f t="shared" si="30"/>
        <v>0</v>
      </c>
      <c r="K119" s="205">
        <f t="shared" si="31"/>
        <v>0</v>
      </c>
      <c r="L119" s="262">
        <f t="shared" si="32"/>
        <v>98806</v>
      </c>
      <c r="M119" s="263">
        <f t="shared" si="33"/>
        <v>92000</v>
      </c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spans="1:26" ht="14.4">
      <c r="A120" s="690"/>
      <c r="B120" s="230" t="s">
        <v>223</v>
      </c>
      <c r="C120" s="261">
        <v>3</v>
      </c>
      <c r="D120" s="201"/>
      <c r="E120" s="201"/>
      <c r="F120" s="202">
        <f t="shared" si="29"/>
        <v>3</v>
      </c>
      <c r="G120" s="203">
        <v>26477</v>
      </c>
      <c r="H120" s="203">
        <v>26000</v>
      </c>
      <c r="I120" s="204"/>
      <c r="J120" s="205">
        <f t="shared" si="30"/>
        <v>0</v>
      </c>
      <c r="K120" s="205">
        <f t="shared" si="31"/>
        <v>0</v>
      </c>
      <c r="L120" s="262">
        <f t="shared" si="32"/>
        <v>79431</v>
      </c>
      <c r="M120" s="263">
        <f t="shared" si="33"/>
        <v>78000</v>
      </c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spans="1:26" ht="14.4">
      <c r="A121" s="690"/>
      <c r="B121" s="230" t="s">
        <v>224</v>
      </c>
      <c r="C121" s="261">
        <v>5</v>
      </c>
      <c r="D121" s="201"/>
      <c r="E121" s="201"/>
      <c r="F121" s="202">
        <f t="shared" si="29"/>
        <v>5</v>
      </c>
      <c r="G121" s="203">
        <v>12985</v>
      </c>
      <c r="H121" s="203">
        <v>13000</v>
      </c>
      <c r="I121" s="204"/>
      <c r="J121" s="205">
        <f t="shared" si="30"/>
        <v>0</v>
      </c>
      <c r="K121" s="205">
        <f t="shared" si="31"/>
        <v>0</v>
      </c>
      <c r="L121" s="262">
        <f t="shared" si="32"/>
        <v>64925</v>
      </c>
      <c r="M121" s="263">
        <f t="shared" si="33"/>
        <v>65000</v>
      </c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spans="1:26" ht="14.4">
      <c r="A122" s="690"/>
      <c r="B122" s="230" t="s">
        <v>53</v>
      </c>
      <c r="C122" s="261"/>
      <c r="D122" s="201"/>
      <c r="E122" s="201"/>
      <c r="F122" s="202">
        <f t="shared" si="29"/>
        <v>0</v>
      </c>
      <c r="G122" s="203">
        <v>47400</v>
      </c>
      <c r="H122" s="203">
        <v>50000</v>
      </c>
      <c r="I122" s="204"/>
      <c r="J122" s="205">
        <f t="shared" si="30"/>
        <v>0</v>
      </c>
      <c r="K122" s="205">
        <f t="shared" si="31"/>
        <v>0</v>
      </c>
      <c r="L122" s="262">
        <f t="shared" si="32"/>
        <v>0</v>
      </c>
      <c r="M122" s="263">
        <f t="shared" si="33"/>
        <v>0</v>
      </c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spans="1:26" ht="14.4">
      <c r="A123" s="690"/>
      <c r="B123" s="230" t="s">
        <v>54</v>
      </c>
      <c r="C123" s="261">
        <v>6</v>
      </c>
      <c r="D123" s="201"/>
      <c r="E123" s="201"/>
      <c r="F123" s="202">
        <f t="shared" si="29"/>
        <v>6</v>
      </c>
      <c r="G123" s="203">
        <v>27500</v>
      </c>
      <c r="H123" s="203">
        <v>28000</v>
      </c>
      <c r="I123" s="204"/>
      <c r="J123" s="205">
        <f t="shared" si="30"/>
        <v>0</v>
      </c>
      <c r="K123" s="205">
        <f t="shared" si="31"/>
        <v>0</v>
      </c>
      <c r="L123" s="262">
        <f t="shared" si="32"/>
        <v>165000</v>
      </c>
      <c r="M123" s="263">
        <f t="shared" si="33"/>
        <v>168000</v>
      </c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spans="1:26" ht="14.4">
      <c r="A124" s="690"/>
      <c r="B124" s="230" t="s">
        <v>225</v>
      </c>
      <c r="C124" s="229"/>
      <c r="D124" s="201"/>
      <c r="E124" s="201"/>
      <c r="F124" s="202">
        <f t="shared" si="29"/>
        <v>0</v>
      </c>
      <c r="G124" s="203">
        <v>57800</v>
      </c>
      <c r="H124" s="203">
        <v>56000</v>
      </c>
      <c r="I124" s="204"/>
      <c r="J124" s="205">
        <f t="shared" si="30"/>
        <v>0</v>
      </c>
      <c r="K124" s="205">
        <f t="shared" si="31"/>
        <v>0</v>
      </c>
      <c r="L124" s="262">
        <f t="shared" si="32"/>
        <v>0</v>
      </c>
      <c r="M124" s="263">
        <f t="shared" si="33"/>
        <v>0</v>
      </c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spans="1:26" ht="14.4">
      <c r="A125" s="690"/>
      <c r="B125" s="230" t="s">
        <v>226</v>
      </c>
      <c r="C125" s="261">
        <v>1</v>
      </c>
      <c r="D125" s="201"/>
      <c r="E125" s="201"/>
      <c r="F125" s="202">
        <f t="shared" si="29"/>
        <v>1</v>
      </c>
      <c r="G125" s="203">
        <v>97400</v>
      </c>
      <c r="H125" s="203">
        <v>95000</v>
      </c>
      <c r="I125" s="204"/>
      <c r="J125" s="205">
        <f t="shared" si="30"/>
        <v>0</v>
      </c>
      <c r="K125" s="205">
        <f t="shared" si="31"/>
        <v>0</v>
      </c>
      <c r="L125" s="262">
        <f t="shared" si="32"/>
        <v>97400</v>
      </c>
      <c r="M125" s="263">
        <f t="shared" si="33"/>
        <v>95000</v>
      </c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spans="1:26" ht="14.4">
      <c r="A126" s="690"/>
      <c r="B126" s="230" t="s">
        <v>227</v>
      </c>
      <c r="C126" s="229">
        <v>1</v>
      </c>
      <c r="D126" s="201"/>
      <c r="E126" s="201"/>
      <c r="F126" s="202">
        <f t="shared" si="29"/>
        <v>1</v>
      </c>
      <c r="G126" s="203">
        <v>59900</v>
      </c>
      <c r="H126" s="203">
        <v>65000</v>
      </c>
      <c r="I126" s="204"/>
      <c r="J126" s="205">
        <f t="shared" si="30"/>
        <v>0</v>
      </c>
      <c r="K126" s="205">
        <f t="shared" si="31"/>
        <v>0</v>
      </c>
      <c r="L126" s="262">
        <f t="shared" si="32"/>
        <v>59900</v>
      </c>
      <c r="M126" s="263">
        <f t="shared" si="33"/>
        <v>65000</v>
      </c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spans="1:26" ht="14.4">
      <c r="A127" s="690"/>
      <c r="B127" s="230" t="s">
        <v>228</v>
      </c>
      <c r="C127" s="227">
        <v>1</v>
      </c>
      <c r="D127" s="201"/>
      <c r="E127" s="201"/>
      <c r="F127" s="202">
        <f t="shared" si="29"/>
        <v>1</v>
      </c>
      <c r="G127" s="203">
        <v>50000</v>
      </c>
      <c r="H127" s="203">
        <v>54000</v>
      </c>
      <c r="I127" s="224"/>
      <c r="J127" s="205">
        <f t="shared" si="30"/>
        <v>0</v>
      </c>
      <c r="K127" s="205">
        <f t="shared" si="31"/>
        <v>0</v>
      </c>
      <c r="L127" s="262">
        <f t="shared" si="32"/>
        <v>50000</v>
      </c>
      <c r="M127" s="263">
        <f t="shared" si="33"/>
        <v>54000</v>
      </c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spans="1:26" ht="14.4">
      <c r="A128" s="690"/>
      <c r="B128" s="230" t="s">
        <v>229</v>
      </c>
      <c r="C128" s="261">
        <v>1</v>
      </c>
      <c r="D128" s="201"/>
      <c r="E128" s="201"/>
      <c r="F128" s="202">
        <f t="shared" si="29"/>
        <v>1</v>
      </c>
      <c r="G128" s="203">
        <v>57000</v>
      </c>
      <c r="H128" s="203">
        <v>59000</v>
      </c>
      <c r="I128" s="224"/>
      <c r="J128" s="205">
        <f t="shared" si="30"/>
        <v>0</v>
      </c>
      <c r="K128" s="205">
        <f t="shared" si="31"/>
        <v>0</v>
      </c>
      <c r="L128" s="262">
        <f t="shared" si="32"/>
        <v>57000</v>
      </c>
      <c r="M128" s="263">
        <f t="shared" si="33"/>
        <v>59000</v>
      </c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spans="1:26" ht="14.4">
      <c r="A129" s="690"/>
      <c r="B129" s="230" t="s">
        <v>230</v>
      </c>
      <c r="C129" s="261">
        <v>5</v>
      </c>
      <c r="D129" s="201"/>
      <c r="E129" s="201"/>
      <c r="F129" s="202">
        <f t="shared" si="29"/>
        <v>5</v>
      </c>
      <c r="G129" s="203">
        <v>55500</v>
      </c>
      <c r="H129" s="203">
        <v>54000</v>
      </c>
      <c r="I129" s="204"/>
      <c r="J129" s="205">
        <f t="shared" si="30"/>
        <v>0</v>
      </c>
      <c r="K129" s="205">
        <f t="shared" si="31"/>
        <v>0</v>
      </c>
      <c r="L129" s="262">
        <f t="shared" si="32"/>
        <v>277500</v>
      </c>
      <c r="M129" s="263">
        <f t="shared" si="33"/>
        <v>270000</v>
      </c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spans="1:26" ht="14.4">
      <c r="A130" s="690"/>
      <c r="B130" s="230" t="s">
        <v>231</v>
      </c>
      <c r="C130" s="229">
        <v>22</v>
      </c>
      <c r="D130" s="201"/>
      <c r="E130" s="201"/>
      <c r="F130" s="202">
        <f t="shared" si="29"/>
        <v>22</v>
      </c>
      <c r="G130" s="203">
        <v>29000</v>
      </c>
      <c r="H130" s="203">
        <v>29200</v>
      </c>
      <c r="I130" s="204"/>
      <c r="J130" s="205">
        <f t="shared" si="30"/>
        <v>0</v>
      </c>
      <c r="K130" s="205">
        <f t="shared" si="31"/>
        <v>0</v>
      </c>
      <c r="L130" s="262">
        <f t="shared" si="32"/>
        <v>638000</v>
      </c>
      <c r="M130" s="263">
        <f t="shared" si="33"/>
        <v>642400</v>
      </c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spans="1:26" ht="14.4">
      <c r="A131" s="690"/>
      <c r="B131" s="230" t="s">
        <v>232</v>
      </c>
      <c r="C131" s="261"/>
      <c r="D131" s="201"/>
      <c r="E131" s="201"/>
      <c r="F131" s="202">
        <f t="shared" si="29"/>
        <v>0</v>
      </c>
      <c r="G131" s="203">
        <v>17000</v>
      </c>
      <c r="H131" s="203">
        <v>19000</v>
      </c>
      <c r="I131" s="204"/>
      <c r="J131" s="205">
        <f t="shared" si="30"/>
        <v>0</v>
      </c>
      <c r="K131" s="205">
        <f t="shared" si="31"/>
        <v>0</v>
      </c>
      <c r="L131" s="262">
        <f t="shared" si="32"/>
        <v>0</v>
      </c>
      <c r="M131" s="263">
        <f t="shared" si="33"/>
        <v>0</v>
      </c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spans="1:26" ht="14.4">
      <c r="A132" s="690"/>
      <c r="B132" s="230" t="s">
        <v>233</v>
      </c>
      <c r="C132" s="227">
        <v>1</v>
      </c>
      <c r="D132" s="201"/>
      <c r="E132" s="201"/>
      <c r="F132" s="202">
        <f t="shared" si="29"/>
        <v>1</v>
      </c>
      <c r="G132" s="203">
        <v>54500</v>
      </c>
      <c r="H132" s="203">
        <v>58000</v>
      </c>
      <c r="I132" s="204"/>
      <c r="J132" s="205">
        <f t="shared" si="30"/>
        <v>0</v>
      </c>
      <c r="K132" s="205">
        <f t="shared" si="31"/>
        <v>0</v>
      </c>
      <c r="L132" s="262">
        <f t="shared" si="32"/>
        <v>54500</v>
      </c>
      <c r="M132" s="263">
        <f t="shared" si="33"/>
        <v>58000</v>
      </c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spans="1:26" ht="14.4">
      <c r="A133" s="690"/>
      <c r="B133" s="230" t="s">
        <v>234</v>
      </c>
      <c r="C133" s="261">
        <v>3</v>
      </c>
      <c r="D133" s="201"/>
      <c r="E133" s="201"/>
      <c r="F133" s="202">
        <f t="shared" si="29"/>
        <v>3</v>
      </c>
      <c r="G133" s="203">
        <v>29000</v>
      </c>
      <c r="H133" s="203">
        <v>32000</v>
      </c>
      <c r="I133" s="204"/>
      <c r="J133" s="205">
        <f t="shared" si="30"/>
        <v>0</v>
      </c>
      <c r="K133" s="205">
        <f t="shared" si="31"/>
        <v>0</v>
      </c>
      <c r="L133" s="262">
        <f t="shared" si="32"/>
        <v>87000</v>
      </c>
      <c r="M133" s="263">
        <f t="shared" si="33"/>
        <v>96000</v>
      </c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spans="1:26" ht="14.4">
      <c r="A134" s="690"/>
      <c r="B134" s="230" t="s">
        <v>235</v>
      </c>
      <c r="C134" s="227">
        <v>1</v>
      </c>
      <c r="D134" s="201"/>
      <c r="E134" s="201"/>
      <c r="F134" s="202">
        <f t="shared" si="29"/>
        <v>1</v>
      </c>
      <c r="G134" s="203">
        <v>80000</v>
      </c>
      <c r="H134" s="203">
        <v>86000</v>
      </c>
      <c r="I134" s="204"/>
      <c r="J134" s="205">
        <f t="shared" si="30"/>
        <v>0</v>
      </c>
      <c r="K134" s="205">
        <f t="shared" si="31"/>
        <v>0</v>
      </c>
      <c r="L134" s="262">
        <f t="shared" si="32"/>
        <v>80000</v>
      </c>
      <c r="M134" s="263">
        <f t="shared" si="33"/>
        <v>86000</v>
      </c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spans="1:26" ht="14.4">
      <c r="A135" s="690"/>
      <c r="B135" s="230" t="s">
        <v>236</v>
      </c>
      <c r="C135" s="227">
        <v>2</v>
      </c>
      <c r="D135" s="201"/>
      <c r="E135" s="201"/>
      <c r="F135" s="202">
        <f t="shared" si="29"/>
        <v>2</v>
      </c>
      <c r="G135" s="203">
        <v>40500</v>
      </c>
      <c r="H135" s="203">
        <v>45000</v>
      </c>
      <c r="I135" s="204"/>
      <c r="J135" s="205">
        <f t="shared" si="30"/>
        <v>0</v>
      </c>
      <c r="K135" s="205">
        <f t="shared" si="31"/>
        <v>0</v>
      </c>
      <c r="L135" s="262">
        <f t="shared" si="32"/>
        <v>81000</v>
      </c>
      <c r="M135" s="263">
        <f t="shared" si="33"/>
        <v>90000</v>
      </c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spans="1:26" ht="14.4">
      <c r="A136" s="690"/>
      <c r="B136" s="230" t="s">
        <v>237</v>
      </c>
      <c r="C136" s="261"/>
      <c r="D136" s="201"/>
      <c r="E136" s="201"/>
      <c r="F136" s="202">
        <f t="shared" si="29"/>
        <v>0</v>
      </c>
      <c r="G136" s="203">
        <v>45100</v>
      </c>
      <c r="H136" s="203">
        <v>48000</v>
      </c>
      <c r="I136" s="204"/>
      <c r="J136" s="205">
        <f t="shared" si="30"/>
        <v>0</v>
      </c>
      <c r="K136" s="205">
        <f t="shared" si="31"/>
        <v>0</v>
      </c>
      <c r="L136" s="262">
        <f t="shared" si="32"/>
        <v>0</v>
      </c>
      <c r="M136" s="263">
        <f t="shared" si="33"/>
        <v>0</v>
      </c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spans="1:26" ht="14.4">
      <c r="A137" s="690"/>
      <c r="B137" s="230" t="s">
        <v>238</v>
      </c>
      <c r="C137" s="261"/>
      <c r="D137" s="201"/>
      <c r="E137" s="201"/>
      <c r="F137" s="202">
        <f t="shared" si="29"/>
        <v>0</v>
      </c>
      <c r="G137" s="203">
        <v>54600</v>
      </c>
      <c r="H137" s="203">
        <v>59000</v>
      </c>
      <c r="I137" s="204"/>
      <c r="J137" s="205">
        <f t="shared" si="30"/>
        <v>0</v>
      </c>
      <c r="K137" s="205">
        <f t="shared" si="31"/>
        <v>0</v>
      </c>
      <c r="L137" s="262">
        <f t="shared" si="32"/>
        <v>0</v>
      </c>
      <c r="M137" s="263">
        <f t="shared" si="33"/>
        <v>0</v>
      </c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spans="1:26" ht="14.4">
      <c r="A138" s="690"/>
      <c r="B138" s="230" t="s">
        <v>239</v>
      </c>
      <c r="C138" s="227">
        <v>1</v>
      </c>
      <c r="D138" s="201"/>
      <c r="E138" s="201"/>
      <c r="F138" s="202">
        <f t="shared" si="29"/>
        <v>1</v>
      </c>
      <c r="G138" s="203">
        <v>102000</v>
      </c>
      <c r="H138" s="203">
        <v>110000</v>
      </c>
      <c r="I138" s="204"/>
      <c r="J138" s="205">
        <f t="shared" si="30"/>
        <v>0</v>
      </c>
      <c r="K138" s="205">
        <f t="shared" si="31"/>
        <v>0</v>
      </c>
      <c r="L138" s="262">
        <f t="shared" si="32"/>
        <v>102000</v>
      </c>
      <c r="M138" s="263">
        <f t="shared" si="33"/>
        <v>110000</v>
      </c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spans="1:26" ht="14.4">
      <c r="A139" s="690"/>
      <c r="B139" s="230" t="s">
        <v>240</v>
      </c>
      <c r="C139" s="227">
        <v>1</v>
      </c>
      <c r="D139" s="201"/>
      <c r="E139" s="201"/>
      <c r="F139" s="202">
        <f t="shared" si="29"/>
        <v>1</v>
      </c>
      <c r="G139" s="203">
        <v>45000</v>
      </c>
      <c r="H139" s="203">
        <v>48000</v>
      </c>
      <c r="I139" s="204"/>
      <c r="J139" s="205">
        <f t="shared" si="30"/>
        <v>0</v>
      </c>
      <c r="K139" s="205">
        <f t="shared" si="31"/>
        <v>0</v>
      </c>
      <c r="L139" s="262">
        <f t="shared" si="32"/>
        <v>45000</v>
      </c>
      <c r="M139" s="263">
        <f t="shared" si="33"/>
        <v>48000</v>
      </c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spans="1:26" ht="14.4">
      <c r="A140" s="690"/>
      <c r="B140" s="230" t="s">
        <v>241</v>
      </c>
      <c r="C140" s="227">
        <v>2</v>
      </c>
      <c r="D140" s="201"/>
      <c r="E140" s="201"/>
      <c r="F140" s="202">
        <f t="shared" si="29"/>
        <v>2</v>
      </c>
      <c r="G140" s="203">
        <v>24000</v>
      </c>
      <c r="H140" s="203">
        <v>26000</v>
      </c>
      <c r="I140" s="204"/>
      <c r="J140" s="205">
        <f t="shared" si="30"/>
        <v>0</v>
      </c>
      <c r="K140" s="205">
        <f t="shared" si="31"/>
        <v>0</v>
      </c>
      <c r="L140" s="262">
        <f t="shared" si="32"/>
        <v>48000</v>
      </c>
      <c r="M140" s="263">
        <f t="shared" si="33"/>
        <v>52000</v>
      </c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spans="1:26" ht="14.4">
      <c r="A141" s="690"/>
      <c r="B141" s="264" t="s">
        <v>242</v>
      </c>
      <c r="C141" s="261">
        <v>9</v>
      </c>
      <c r="D141" s="201"/>
      <c r="E141" s="201"/>
      <c r="F141" s="202">
        <f t="shared" si="29"/>
        <v>9</v>
      </c>
      <c r="G141" s="210">
        <v>36000</v>
      </c>
      <c r="H141" s="210">
        <v>39500</v>
      </c>
      <c r="I141" s="204"/>
      <c r="J141" s="205">
        <f t="shared" si="30"/>
        <v>0</v>
      </c>
      <c r="K141" s="205">
        <f t="shared" si="31"/>
        <v>0</v>
      </c>
      <c r="L141" s="262">
        <f t="shared" si="32"/>
        <v>324000</v>
      </c>
      <c r="M141" s="263">
        <f t="shared" si="33"/>
        <v>355500</v>
      </c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spans="1:26" ht="14.4">
      <c r="A142" s="690"/>
      <c r="B142" s="230" t="s">
        <v>243</v>
      </c>
      <c r="C142" s="227">
        <v>4</v>
      </c>
      <c r="D142" s="201"/>
      <c r="E142" s="201"/>
      <c r="F142" s="202">
        <f t="shared" si="29"/>
        <v>4</v>
      </c>
      <c r="G142" s="210">
        <v>9000</v>
      </c>
      <c r="H142" s="210">
        <v>9500</v>
      </c>
      <c r="I142" s="204"/>
      <c r="J142" s="205">
        <f t="shared" si="30"/>
        <v>0</v>
      </c>
      <c r="K142" s="205">
        <f t="shared" si="31"/>
        <v>0</v>
      </c>
      <c r="L142" s="262">
        <f t="shared" si="32"/>
        <v>36000</v>
      </c>
      <c r="M142" s="263">
        <f t="shared" si="33"/>
        <v>38000</v>
      </c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spans="1:26" ht="14.4">
      <c r="A143" s="690"/>
      <c r="B143" s="230" t="s">
        <v>244</v>
      </c>
      <c r="C143" s="227">
        <v>2</v>
      </c>
      <c r="D143" s="201"/>
      <c r="E143" s="201"/>
      <c r="F143" s="202">
        <f t="shared" si="29"/>
        <v>2</v>
      </c>
      <c r="G143" s="212">
        <v>72000</v>
      </c>
      <c r="H143" s="212">
        <v>78000</v>
      </c>
      <c r="I143" s="213"/>
      <c r="J143" s="205">
        <f t="shared" si="30"/>
        <v>0</v>
      </c>
      <c r="K143" s="205">
        <f t="shared" si="31"/>
        <v>0</v>
      </c>
      <c r="L143" s="262">
        <f t="shared" si="32"/>
        <v>144000</v>
      </c>
      <c r="M143" s="263">
        <f t="shared" si="33"/>
        <v>156000</v>
      </c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spans="1:26" ht="14.4">
      <c r="A144" s="690"/>
      <c r="B144" s="268" t="s">
        <v>245</v>
      </c>
      <c r="C144" s="227"/>
      <c r="D144" s="201"/>
      <c r="E144" s="201"/>
      <c r="F144" s="202">
        <f t="shared" si="29"/>
        <v>0</v>
      </c>
      <c r="G144" s="212">
        <v>46000</v>
      </c>
      <c r="H144" s="212">
        <v>50000</v>
      </c>
      <c r="I144" s="213"/>
      <c r="J144" s="205">
        <f t="shared" si="30"/>
        <v>0</v>
      </c>
      <c r="K144" s="205">
        <f t="shared" si="31"/>
        <v>0</v>
      </c>
      <c r="L144" s="262">
        <f t="shared" si="32"/>
        <v>0</v>
      </c>
      <c r="M144" s="263">
        <f t="shared" si="33"/>
        <v>0</v>
      </c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spans="1:26" ht="14.4">
      <c r="A145" s="690"/>
      <c r="B145" s="268" t="s">
        <v>246</v>
      </c>
      <c r="C145" s="227"/>
      <c r="D145" s="201"/>
      <c r="E145" s="201"/>
      <c r="F145" s="202">
        <f t="shared" si="29"/>
        <v>0</v>
      </c>
      <c r="G145" s="212">
        <v>26000</v>
      </c>
      <c r="H145" s="212">
        <v>28000</v>
      </c>
      <c r="I145" s="213"/>
      <c r="J145" s="205">
        <f t="shared" si="30"/>
        <v>0</v>
      </c>
      <c r="K145" s="205">
        <f t="shared" si="31"/>
        <v>0</v>
      </c>
      <c r="L145" s="262">
        <f t="shared" si="32"/>
        <v>0</v>
      </c>
      <c r="M145" s="263">
        <f t="shared" si="33"/>
        <v>0</v>
      </c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spans="1:26" ht="14.4">
      <c r="A146" s="690"/>
      <c r="B146" s="268" t="s">
        <v>247</v>
      </c>
      <c r="C146" s="227"/>
      <c r="D146" s="201"/>
      <c r="E146" s="201"/>
      <c r="F146" s="202">
        <f t="shared" si="29"/>
        <v>0</v>
      </c>
      <c r="G146" s="212">
        <v>39000</v>
      </c>
      <c r="H146" s="212">
        <v>42000</v>
      </c>
      <c r="I146" s="213"/>
      <c r="J146" s="205">
        <f t="shared" si="30"/>
        <v>0</v>
      </c>
      <c r="K146" s="205">
        <f t="shared" si="31"/>
        <v>0</v>
      </c>
      <c r="L146" s="262">
        <f t="shared" si="32"/>
        <v>0</v>
      </c>
      <c r="M146" s="263">
        <f t="shared" si="33"/>
        <v>0</v>
      </c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spans="1:26" ht="14.4">
      <c r="A147" s="690"/>
      <c r="B147" s="268" t="s">
        <v>248</v>
      </c>
      <c r="C147" s="227">
        <v>3</v>
      </c>
      <c r="D147" s="201"/>
      <c r="E147" s="201"/>
      <c r="F147" s="202">
        <f t="shared" si="29"/>
        <v>3</v>
      </c>
      <c r="G147" s="212">
        <v>21000</v>
      </c>
      <c r="H147" s="212">
        <v>23000</v>
      </c>
      <c r="I147" s="213"/>
      <c r="J147" s="205">
        <f t="shared" si="30"/>
        <v>0</v>
      </c>
      <c r="K147" s="205">
        <f t="shared" si="31"/>
        <v>0</v>
      </c>
      <c r="L147" s="262">
        <f t="shared" si="32"/>
        <v>63000</v>
      </c>
      <c r="M147" s="263">
        <f t="shared" si="33"/>
        <v>69000</v>
      </c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spans="1:26" ht="14.4">
      <c r="A148" s="690"/>
      <c r="B148" s="269" t="s">
        <v>249</v>
      </c>
      <c r="C148" s="270"/>
      <c r="D148" s="271"/>
      <c r="E148" s="271"/>
      <c r="F148" s="272">
        <f t="shared" si="29"/>
        <v>0</v>
      </c>
      <c r="G148" s="212">
        <v>38500</v>
      </c>
      <c r="H148" s="212">
        <v>42000</v>
      </c>
      <c r="I148" s="240"/>
      <c r="J148" s="273">
        <f t="shared" si="30"/>
        <v>0</v>
      </c>
      <c r="K148" s="273">
        <f t="shared" si="31"/>
        <v>0</v>
      </c>
      <c r="L148" s="274">
        <f t="shared" si="32"/>
        <v>0</v>
      </c>
      <c r="M148" s="263">
        <f t="shared" si="33"/>
        <v>0</v>
      </c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spans="1:26" ht="14.4">
      <c r="A149" s="691"/>
      <c r="B149" s="275"/>
      <c r="C149" s="276"/>
      <c r="D149" s="276"/>
      <c r="E149" s="277"/>
      <c r="F149" s="278">
        <f>SUM(F90:F141)</f>
        <v>205</v>
      </c>
      <c r="G149" s="279">
        <f t="shared" ref="G149:H149" si="34">SUM(G90:G143)</f>
        <v>2628231</v>
      </c>
      <c r="H149" s="279">
        <f t="shared" si="34"/>
        <v>2739700</v>
      </c>
      <c r="I149" s="280">
        <f>SUM(I90:I141)</f>
        <v>0</v>
      </c>
      <c r="J149" s="281">
        <f t="shared" ref="J149:K149" si="35">SUM(J90:J143)</f>
        <v>0</v>
      </c>
      <c r="K149" s="281">
        <f t="shared" si="35"/>
        <v>0</v>
      </c>
      <c r="L149" s="281">
        <f>SUM(L90:L148)</f>
        <v>8099895</v>
      </c>
      <c r="M149" s="281">
        <f>SUM(M90:M143)</f>
        <v>8408900</v>
      </c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spans="1:26" ht="14.4">
      <c r="A150" s="692"/>
      <c r="B150" s="282" t="s">
        <v>250</v>
      </c>
      <c r="C150" s="283">
        <v>2.5</v>
      </c>
      <c r="D150" s="284"/>
      <c r="E150" s="284"/>
      <c r="F150" s="285">
        <f t="shared" ref="F150:F160" si="36">+C150+D150-E150</f>
        <v>2.5</v>
      </c>
      <c r="G150" s="286">
        <v>37000</v>
      </c>
      <c r="H150" s="286">
        <v>40000</v>
      </c>
      <c r="I150" s="287"/>
      <c r="J150" s="288">
        <f t="shared" ref="J150:J160" si="37">+I150*H150</f>
        <v>0</v>
      </c>
      <c r="K150" s="288">
        <f t="shared" ref="K150:K160" si="38">+(H150-G150)*I150</f>
        <v>0</v>
      </c>
      <c r="L150" s="289">
        <f t="shared" ref="L150:L160" si="39">+G150*F150</f>
        <v>92500</v>
      </c>
      <c r="M150" s="290">
        <f t="shared" ref="M150:M160" si="40">F150*H150</f>
        <v>100000</v>
      </c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spans="1:26" ht="14.4">
      <c r="A151" s="693"/>
      <c r="B151" s="291" t="s">
        <v>251</v>
      </c>
      <c r="C151" s="227"/>
      <c r="D151" s="201"/>
      <c r="E151" s="201"/>
      <c r="F151" s="202">
        <f t="shared" si="36"/>
        <v>0</v>
      </c>
      <c r="G151" s="203">
        <v>6000</v>
      </c>
      <c r="H151" s="203">
        <v>7000</v>
      </c>
      <c r="I151" s="204"/>
      <c r="J151" s="205">
        <f t="shared" si="37"/>
        <v>0</v>
      </c>
      <c r="K151" s="205">
        <f t="shared" si="38"/>
        <v>0</v>
      </c>
      <c r="L151" s="250">
        <f t="shared" si="39"/>
        <v>0</v>
      </c>
      <c r="M151" s="292">
        <f t="shared" si="40"/>
        <v>0</v>
      </c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spans="1:26" ht="14.4">
      <c r="A152" s="693"/>
      <c r="B152" s="291" t="s">
        <v>252</v>
      </c>
      <c r="C152" s="227">
        <v>110</v>
      </c>
      <c r="D152" s="201"/>
      <c r="E152" s="201"/>
      <c r="F152" s="202">
        <f t="shared" si="36"/>
        <v>110</v>
      </c>
      <c r="G152" s="203">
        <v>45800</v>
      </c>
      <c r="H152" s="203">
        <v>54000</v>
      </c>
      <c r="I152" s="204"/>
      <c r="J152" s="205">
        <f t="shared" si="37"/>
        <v>0</v>
      </c>
      <c r="K152" s="205">
        <f t="shared" si="38"/>
        <v>0</v>
      </c>
      <c r="L152" s="250">
        <f t="shared" si="39"/>
        <v>5038000</v>
      </c>
      <c r="M152" s="292">
        <f t="shared" si="40"/>
        <v>5940000</v>
      </c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spans="1:26" ht="14.4">
      <c r="A153" s="693"/>
      <c r="B153" s="291" t="s">
        <v>253</v>
      </c>
      <c r="C153" s="238">
        <v>7</v>
      </c>
      <c r="D153" s="201"/>
      <c r="E153" s="201"/>
      <c r="F153" s="202">
        <f t="shared" si="36"/>
        <v>7</v>
      </c>
      <c r="G153" s="203">
        <v>28500</v>
      </c>
      <c r="H153" s="203">
        <v>31700</v>
      </c>
      <c r="I153" s="204"/>
      <c r="J153" s="205">
        <f t="shared" si="37"/>
        <v>0</v>
      </c>
      <c r="K153" s="205">
        <f t="shared" si="38"/>
        <v>0</v>
      </c>
      <c r="L153" s="250">
        <f t="shared" si="39"/>
        <v>199500</v>
      </c>
      <c r="M153" s="292">
        <f t="shared" si="40"/>
        <v>221900</v>
      </c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spans="1:26" ht="14.4">
      <c r="A154" s="693"/>
      <c r="B154" s="291" t="s">
        <v>254</v>
      </c>
      <c r="C154" s="229"/>
      <c r="D154" s="201"/>
      <c r="E154" s="201"/>
      <c r="F154" s="202">
        <f t="shared" si="36"/>
        <v>0</v>
      </c>
      <c r="G154" s="203">
        <v>32000</v>
      </c>
      <c r="H154" s="203">
        <v>33700</v>
      </c>
      <c r="I154" s="204"/>
      <c r="J154" s="205">
        <f t="shared" si="37"/>
        <v>0</v>
      </c>
      <c r="K154" s="205">
        <f t="shared" si="38"/>
        <v>0</v>
      </c>
      <c r="L154" s="250">
        <f t="shared" si="39"/>
        <v>0</v>
      </c>
      <c r="M154" s="292">
        <f t="shared" si="40"/>
        <v>0</v>
      </c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spans="1:26" ht="14.4">
      <c r="A155" s="693"/>
      <c r="B155" s="291" t="s">
        <v>255</v>
      </c>
      <c r="C155" s="227">
        <v>2</v>
      </c>
      <c r="D155" s="201"/>
      <c r="E155" s="201"/>
      <c r="F155" s="202">
        <f t="shared" si="36"/>
        <v>2</v>
      </c>
      <c r="G155" s="203">
        <v>10500</v>
      </c>
      <c r="H155" s="203">
        <v>12500</v>
      </c>
      <c r="I155" s="204"/>
      <c r="J155" s="205">
        <f t="shared" si="37"/>
        <v>0</v>
      </c>
      <c r="K155" s="205">
        <f t="shared" si="38"/>
        <v>0</v>
      </c>
      <c r="L155" s="250">
        <f t="shared" si="39"/>
        <v>21000</v>
      </c>
      <c r="M155" s="292">
        <f t="shared" si="40"/>
        <v>25000</v>
      </c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spans="1:26" ht="14.4">
      <c r="A156" s="693"/>
      <c r="B156" s="291" t="s">
        <v>256</v>
      </c>
      <c r="C156" s="227"/>
      <c r="D156" s="201"/>
      <c r="E156" s="201"/>
      <c r="F156" s="202">
        <f t="shared" si="36"/>
        <v>0</v>
      </c>
      <c r="G156" s="203">
        <v>46000</v>
      </c>
      <c r="H156" s="203">
        <v>52000</v>
      </c>
      <c r="I156" s="204"/>
      <c r="J156" s="205">
        <f t="shared" si="37"/>
        <v>0</v>
      </c>
      <c r="K156" s="205">
        <f t="shared" si="38"/>
        <v>0</v>
      </c>
      <c r="L156" s="250">
        <f t="shared" si="39"/>
        <v>0</v>
      </c>
      <c r="M156" s="292">
        <f t="shared" si="40"/>
        <v>0</v>
      </c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spans="1:26" ht="14.4">
      <c r="A157" s="693"/>
      <c r="B157" s="291" t="s">
        <v>257</v>
      </c>
      <c r="C157" s="227">
        <v>138.5</v>
      </c>
      <c r="D157" s="201"/>
      <c r="E157" s="201"/>
      <c r="F157" s="202">
        <f t="shared" si="36"/>
        <v>138.5</v>
      </c>
      <c r="G157" s="203">
        <v>51900</v>
      </c>
      <c r="H157" s="203">
        <v>61000</v>
      </c>
      <c r="I157" s="204"/>
      <c r="J157" s="205">
        <f t="shared" si="37"/>
        <v>0</v>
      </c>
      <c r="K157" s="205">
        <f t="shared" si="38"/>
        <v>0</v>
      </c>
      <c r="L157" s="250">
        <f t="shared" si="39"/>
        <v>7188150</v>
      </c>
      <c r="M157" s="292">
        <f t="shared" si="40"/>
        <v>8448500</v>
      </c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spans="1:26" ht="14.4">
      <c r="A158" s="693"/>
      <c r="B158" s="291" t="s">
        <v>258</v>
      </c>
      <c r="C158" s="227">
        <v>17</v>
      </c>
      <c r="D158" s="293"/>
      <c r="E158" s="201"/>
      <c r="F158" s="202">
        <f t="shared" si="36"/>
        <v>17</v>
      </c>
      <c r="G158" s="203">
        <v>36400</v>
      </c>
      <c r="H158" s="203">
        <v>44000</v>
      </c>
      <c r="I158" s="204"/>
      <c r="J158" s="205">
        <f t="shared" si="37"/>
        <v>0</v>
      </c>
      <c r="K158" s="205">
        <f t="shared" si="38"/>
        <v>0</v>
      </c>
      <c r="L158" s="250">
        <f t="shared" si="39"/>
        <v>618800</v>
      </c>
      <c r="M158" s="292">
        <f t="shared" si="40"/>
        <v>748000</v>
      </c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spans="1:26" ht="14.4">
      <c r="A159" s="693"/>
      <c r="B159" s="291" t="s">
        <v>259</v>
      </c>
      <c r="C159" s="229">
        <v>6</v>
      </c>
      <c r="D159" s="201"/>
      <c r="E159" s="201"/>
      <c r="F159" s="202">
        <f t="shared" si="36"/>
        <v>6</v>
      </c>
      <c r="G159" s="203">
        <v>7223</v>
      </c>
      <c r="H159" s="203">
        <v>8000</v>
      </c>
      <c r="I159" s="204"/>
      <c r="J159" s="205">
        <f t="shared" si="37"/>
        <v>0</v>
      </c>
      <c r="K159" s="205">
        <f t="shared" si="38"/>
        <v>0</v>
      </c>
      <c r="L159" s="250">
        <f t="shared" si="39"/>
        <v>43338</v>
      </c>
      <c r="M159" s="292">
        <f t="shared" si="40"/>
        <v>48000</v>
      </c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spans="1:26" ht="14.4">
      <c r="A160" s="693"/>
      <c r="B160" s="294" t="s">
        <v>260</v>
      </c>
      <c r="C160" s="295"/>
      <c r="D160" s="296"/>
      <c r="E160" s="296"/>
      <c r="F160" s="297">
        <f t="shared" si="36"/>
        <v>0</v>
      </c>
      <c r="G160" s="298">
        <v>10200</v>
      </c>
      <c r="H160" s="298">
        <v>12000</v>
      </c>
      <c r="I160" s="299"/>
      <c r="J160" s="300">
        <f t="shared" si="37"/>
        <v>0</v>
      </c>
      <c r="K160" s="300">
        <f t="shared" si="38"/>
        <v>0</v>
      </c>
      <c r="L160" s="301">
        <f t="shared" si="39"/>
        <v>0</v>
      </c>
      <c r="M160" s="302">
        <f t="shared" si="40"/>
        <v>0</v>
      </c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spans="1:26" ht="14.4">
      <c r="A161" s="694"/>
      <c r="B161" s="303"/>
      <c r="C161" s="304">
        <f t="shared" ref="C161:M161" si="41">SUM(C150:C160)</f>
        <v>283</v>
      </c>
      <c r="D161" s="304">
        <f t="shared" si="41"/>
        <v>0</v>
      </c>
      <c r="E161" s="304">
        <f t="shared" si="41"/>
        <v>0</v>
      </c>
      <c r="F161" s="305">
        <f t="shared" si="41"/>
        <v>283</v>
      </c>
      <c r="G161" s="306">
        <f t="shared" si="41"/>
        <v>311523</v>
      </c>
      <c r="H161" s="306">
        <f t="shared" si="41"/>
        <v>355900</v>
      </c>
      <c r="I161" s="307">
        <f t="shared" si="41"/>
        <v>0</v>
      </c>
      <c r="J161" s="307">
        <f t="shared" si="41"/>
        <v>0</v>
      </c>
      <c r="K161" s="307">
        <f t="shared" si="41"/>
        <v>0</v>
      </c>
      <c r="L161" s="307">
        <f t="shared" si="41"/>
        <v>13201288</v>
      </c>
      <c r="M161" s="308">
        <f t="shared" si="41"/>
        <v>15531400</v>
      </c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spans="1:26" ht="14.4">
      <c r="A162" s="695"/>
      <c r="B162" s="309" t="s">
        <v>261</v>
      </c>
      <c r="C162" s="310"/>
      <c r="D162" s="311"/>
      <c r="E162" s="311"/>
      <c r="F162" s="312">
        <f t="shared" ref="F162:F187" si="42">+C162+D162-E162</f>
        <v>0</v>
      </c>
      <c r="G162" s="313">
        <v>10000</v>
      </c>
      <c r="H162" s="313">
        <v>10500</v>
      </c>
      <c r="I162" s="314"/>
      <c r="J162" s="315">
        <f t="shared" ref="J162:J187" si="43">+I162*H162</f>
        <v>0</v>
      </c>
      <c r="K162" s="315">
        <f t="shared" ref="K162:K187" si="44">+(H162-G162)*I162</f>
        <v>0</v>
      </c>
      <c r="L162" s="316">
        <f t="shared" ref="L162:L187" si="45">+G162*F162</f>
        <v>0</v>
      </c>
      <c r="M162" s="317">
        <f t="shared" ref="M162:M187" si="46">F162*H162</f>
        <v>0</v>
      </c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spans="1:26" ht="14.4">
      <c r="A163" s="696"/>
      <c r="B163" s="318" t="s">
        <v>262</v>
      </c>
      <c r="C163" s="227"/>
      <c r="D163" s="201"/>
      <c r="E163" s="201"/>
      <c r="F163" s="202">
        <f t="shared" si="42"/>
        <v>0</v>
      </c>
      <c r="G163" s="203">
        <v>12000</v>
      </c>
      <c r="H163" s="203">
        <v>15000</v>
      </c>
      <c r="I163" s="224"/>
      <c r="J163" s="205">
        <f t="shared" si="43"/>
        <v>0</v>
      </c>
      <c r="K163" s="205">
        <f t="shared" si="44"/>
        <v>0</v>
      </c>
      <c r="L163" s="319">
        <f t="shared" si="45"/>
        <v>0</v>
      </c>
      <c r="M163" s="320">
        <f t="shared" si="46"/>
        <v>0</v>
      </c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spans="1:26" ht="14.4">
      <c r="A164" s="696"/>
      <c r="B164" s="318" t="s">
        <v>263</v>
      </c>
      <c r="C164" s="227">
        <v>1</v>
      </c>
      <c r="D164" s="201"/>
      <c r="E164" s="201"/>
      <c r="F164" s="202">
        <f t="shared" si="42"/>
        <v>1</v>
      </c>
      <c r="G164" s="203">
        <v>14000</v>
      </c>
      <c r="H164" s="203">
        <v>17000</v>
      </c>
      <c r="I164" s="224"/>
      <c r="J164" s="205">
        <f t="shared" si="43"/>
        <v>0</v>
      </c>
      <c r="K164" s="205">
        <f t="shared" si="44"/>
        <v>0</v>
      </c>
      <c r="L164" s="319">
        <f t="shared" si="45"/>
        <v>14000</v>
      </c>
      <c r="M164" s="320">
        <f t="shared" si="46"/>
        <v>17000</v>
      </c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spans="1:26" ht="14.4">
      <c r="A165" s="696"/>
      <c r="B165" s="318" t="s">
        <v>264</v>
      </c>
      <c r="C165" s="227">
        <v>4</v>
      </c>
      <c r="D165" s="201"/>
      <c r="E165" s="201"/>
      <c r="F165" s="202">
        <f t="shared" si="42"/>
        <v>4</v>
      </c>
      <c r="G165" s="203">
        <v>7200</v>
      </c>
      <c r="H165" s="203">
        <v>8000</v>
      </c>
      <c r="I165" s="224"/>
      <c r="J165" s="205">
        <f t="shared" si="43"/>
        <v>0</v>
      </c>
      <c r="K165" s="205">
        <f t="shared" si="44"/>
        <v>0</v>
      </c>
      <c r="L165" s="319">
        <f t="shared" si="45"/>
        <v>28800</v>
      </c>
      <c r="M165" s="320">
        <f t="shared" si="46"/>
        <v>32000</v>
      </c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spans="1:26" ht="14.4">
      <c r="A166" s="696"/>
      <c r="B166" s="318" t="s">
        <v>265</v>
      </c>
      <c r="C166" s="227">
        <v>4</v>
      </c>
      <c r="D166" s="201"/>
      <c r="E166" s="321"/>
      <c r="F166" s="202">
        <f t="shared" si="42"/>
        <v>4</v>
      </c>
      <c r="G166" s="203">
        <v>10000</v>
      </c>
      <c r="H166" s="203">
        <v>12000</v>
      </c>
      <c r="I166" s="224"/>
      <c r="J166" s="205">
        <f t="shared" si="43"/>
        <v>0</v>
      </c>
      <c r="K166" s="205">
        <f t="shared" si="44"/>
        <v>0</v>
      </c>
      <c r="L166" s="319">
        <f t="shared" si="45"/>
        <v>40000</v>
      </c>
      <c r="M166" s="320">
        <f t="shared" si="46"/>
        <v>48000</v>
      </c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spans="1:26" ht="14.4">
      <c r="A167" s="696"/>
      <c r="B167" s="322" t="s">
        <v>266</v>
      </c>
      <c r="C167" s="227">
        <v>4</v>
      </c>
      <c r="D167" s="201"/>
      <c r="E167" s="321"/>
      <c r="F167" s="202">
        <f t="shared" si="42"/>
        <v>4</v>
      </c>
      <c r="G167" s="203">
        <v>11000</v>
      </c>
      <c r="H167" s="203">
        <v>12500</v>
      </c>
      <c r="I167" s="204"/>
      <c r="J167" s="205">
        <f t="shared" si="43"/>
        <v>0</v>
      </c>
      <c r="K167" s="205">
        <f t="shared" si="44"/>
        <v>0</v>
      </c>
      <c r="L167" s="323">
        <f t="shared" si="45"/>
        <v>44000</v>
      </c>
      <c r="M167" s="320">
        <f t="shared" si="46"/>
        <v>50000</v>
      </c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spans="1:26" ht="14.4">
      <c r="A168" s="696"/>
      <c r="B168" s="322" t="s">
        <v>267</v>
      </c>
      <c r="C168" s="227"/>
      <c r="D168" s="201"/>
      <c r="E168" s="321"/>
      <c r="F168" s="202">
        <f t="shared" si="42"/>
        <v>0</v>
      </c>
      <c r="G168" s="203">
        <v>2500</v>
      </c>
      <c r="H168" s="203">
        <v>3000</v>
      </c>
      <c r="I168" s="204"/>
      <c r="J168" s="205">
        <f t="shared" si="43"/>
        <v>0</v>
      </c>
      <c r="K168" s="205">
        <f t="shared" si="44"/>
        <v>0</v>
      </c>
      <c r="L168" s="323">
        <f t="shared" si="45"/>
        <v>0</v>
      </c>
      <c r="M168" s="320">
        <f t="shared" si="46"/>
        <v>0</v>
      </c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spans="1:26" ht="14.4">
      <c r="A169" s="696"/>
      <c r="B169" s="322" t="s">
        <v>268</v>
      </c>
      <c r="C169" s="227"/>
      <c r="D169" s="201"/>
      <c r="E169" s="321"/>
      <c r="F169" s="202">
        <f t="shared" si="42"/>
        <v>0</v>
      </c>
      <c r="G169" s="203">
        <v>13000</v>
      </c>
      <c r="H169" s="203">
        <v>15000</v>
      </c>
      <c r="I169" s="204"/>
      <c r="J169" s="205">
        <f t="shared" si="43"/>
        <v>0</v>
      </c>
      <c r="K169" s="205">
        <f t="shared" si="44"/>
        <v>0</v>
      </c>
      <c r="L169" s="323">
        <f t="shared" si="45"/>
        <v>0</v>
      </c>
      <c r="M169" s="320">
        <f t="shared" si="46"/>
        <v>0</v>
      </c>
      <c r="N169" s="191"/>
      <c r="O169" s="191"/>
      <c r="P169" s="324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spans="1:26" ht="14.4">
      <c r="A170" s="696"/>
      <c r="B170" s="318" t="s">
        <v>269</v>
      </c>
      <c r="C170" s="229">
        <v>5</v>
      </c>
      <c r="D170" s="201"/>
      <c r="E170" s="321"/>
      <c r="F170" s="202">
        <f t="shared" si="42"/>
        <v>5</v>
      </c>
      <c r="G170" s="203">
        <v>26000</v>
      </c>
      <c r="H170" s="203">
        <v>28000</v>
      </c>
      <c r="I170" s="204"/>
      <c r="J170" s="205">
        <f t="shared" si="43"/>
        <v>0</v>
      </c>
      <c r="K170" s="205">
        <f t="shared" si="44"/>
        <v>0</v>
      </c>
      <c r="L170" s="323">
        <f t="shared" si="45"/>
        <v>130000</v>
      </c>
      <c r="M170" s="320">
        <f t="shared" si="46"/>
        <v>140000</v>
      </c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spans="1:26" ht="14.4">
      <c r="A171" s="696"/>
      <c r="B171" s="318" t="s">
        <v>270</v>
      </c>
      <c r="C171" s="229">
        <v>13</v>
      </c>
      <c r="D171" s="201"/>
      <c r="E171" s="321"/>
      <c r="F171" s="202">
        <f t="shared" si="42"/>
        <v>13</v>
      </c>
      <c r="G171" s="203">
        <v>13600</v>
      </c>
      <c r="H171" s="203">
        <v>15000</v>
      </c>
      <c r="I171" s="204"/>
      <c r="J171" s="205">
        <f t="shared" si="43"/>
        <v>0</v>
      </c>
      <c r="K171" s="205">
        <f t="shared" si="44"/>
        <v>0</v>
      </c>
      <c r="L171" s="323">
        <f t="shared" si="45"/>
        <v>176800</v>
      </c>
      <c r="M171" s="320">
        <f t="shared" si="46"/>
        <v>195000</v>
      </c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spans="1:26" ht="14.4">
      <c r="A172" s="696"/>
      <c r="B172" s="318" t="s">
        <v>271</v>
      </c>
      <c r="C172" s="227">
        <v>1</v>
      </c>
      <c r="D172" s="201"/>
      <c r="E172" s="321"/>
      <c r="F172" s="202">
        <f t="shared" si="42"/>
        <v>1</v>
      </c>
      <c r="G172" s="203">
        <v>30000</v>
      </c>
      <c r="H172" s="203">
        <v>36000</v>
      </c>
      <c r="I172" s="204"/>
      <c r="J172" s="205">
        <f t="shared" si="43"/>
        <v>0</v>
      </c>
      <c r="K172" s="205">
        <f t="shared" si="44"/>
        <v>0</v>
      </c>
      <c r="L172" s="323">
        <f t="shared" si="45"/>
        <v>30000</v>
      </c>
      <c r="M172" s="320">
        <f t="shared" si="46"/>
        <v>36000</v>
      </c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spans="1:26" ht="14.4">
      <c r="A173" s="696"/>
      <c r="B173" s="322" t="s">
        <v>272</v>
      </c>
      <c r="C173" s="227">
        <v>3</v>
      </c>
      <c r="D173" s="201"/>
      <c r="E173" s="321"/>
      <c r="F173" s="202">
        <f t="shared" si="42"/>
        <v>3</v>
      </c>
      <c r="G173" s="203">
        <v>20400</v>
      </c>
      <c r="H173" s="203">
        <v>24000</v>
      </c>
      <c r="I173" s="204"/>
      <c r="J173" s="205">
        <f t="shared" si="43"/>
        <v>0</v>
      </c>
      <c r="K173" s="205">
        <f t="shared" si="44"/>
        <v>0</v>
      </c>
      <c r="L173" s="323">
        <f t="shared" si="45"/>
        <v>61200</v>
      </c>
      <c r="M173" s="320">
        <f t="shared" si="46"/>
        <v>72000</v>
      </c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spans="1:26" ht="14.4">
      <c r="A174" s="696"/>
      <c r="B174" s="322" t="s">
        <v>273</v>
      </c>
      <c r="C174" s="227">
        <v>4</v>
      </c>
      <c r="D174" s="201"/>
      <c r="E174" s="321"/>
      <c r="F174" s="202">
        <f t="shared" si="42"/>
        <v>4</v>
      </c>
      <c r="G174" s="203">
        <v>18700</v>
      </c>
      <c r="H174" s="203">
        <v>22000</v>
      </c>
      <c r="I174" s="204"/>
      <c r="J174" s="205">
        <f t="shared" si="43"/>
        <v>0</v>
      </c>
      <c r="K174" s="205">
        <f t="shared" si="44"/>
        <v>0</v>
      </c>
      <c r="L174" s="323">
        <f t="shared" si="45"/>
        <v>74800</v>
      </c>
      <c r="M174" s="320">
        <f t="shared" si="46"/>
        <v>88000</v>
      </c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spans="1:26" ht="14.4">
      <c r="A175" s="696"/>
      <c r="B175" s="322" t="s">
        <v>274</v>
      </c>
      <c r="C175" s="227">
        <v>32</v>
      </c>
      <c r="D175" s="201"/>
      <c r="E175" s="321"/>
      <c r="F175" s="202">
        <f t="shared" si="42"/>
        <v>32</v>
      </c>
      <c r="G175" s="203">
        <v>10800</v>
      </c>
      <c r="H175" s="203">
        <v>13500</v>
      </c>
      <c r="I175" s="204"/>
      <c r="J175" s="205">
        <f t="shared" si="43"/>
        <v>0</v>
      </c>
      <c r="K175" s="205">
        <f t="shared" si="44"/>
        <v>0</v>
      </c>
      <c r="L175" s="323">
        <f t="shared" si="45"/>
        <v>345600</v>
      </c>
      <c r="M175" s="320">
        <f t="shared" si="46"/>
        <v>432000</v>
      </c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spans="1:26" ht="14.4">
      <c r="A176" s="696"/>
      <c r="B176" s="322" t="s">
        <v>275</v>
      </c>
      <c r="C176" s="227">
        <v>14.5</v>
      </c>
      <c r="D176" s="201"/>
      <c r="E176" s="321"/>
      <c r="F176" s="202">
        <f t="shared" si="42"/>
        <v>14.5</v>
      </c>
      <c r="G176" s="203">
        <v>13300</v>
      </c>
      <c r="H176" s="203">
        <v>15000</v>
      </c>
      <c r="I176" s="204"/>
      <c r="J176" s="205">
        <f t="shared" si="43"/>
        <v>0</v>
      </c>
      <c r="K176" s="205">
        <f t="shared" si="44"/>
        <v>0</v>
      </c>
      <c r="L176" s="323">
        <f t="shared" si="45"/>
        <v>192850</v>
      </c>
      <c r="M176" s="320">
        <f t="shared" si="46"/>
        <v>217500</v>
      </c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spans="1:26" ht="14.4">
      <c r="A177" s="696"/>
      <c r="B177" s="322" t="s">
        <v>276</v>
      </c>
      <c r="C177" s="227">
        <v>4</v>
      </c>
      <c r="D177" s="201"/>
      <c r="E177" s="321"/>
      <c r="F177" s="202">
        <f t="shared" si="42"/>
        <v>4</v>
      </c>
      <c r="G177" s="203">
        <v>22000</v>
      </c>
      <c r="H177" s="203">
        <v>25000</v>
      </c>
      <c r="I177" s="204"/>
      <c r="J177" s="205">
        <f t="shared" si="43"/>
        <v>0</v>
      </c>
      <c r="K177" s="205">
        <f t="shared" si="44"/>
        <v>0</v>
      </c>
      <c r="L177" s="323">
        <f t="shared" si="45"/>
        <v>88000</v>
      </c>
      <c r="M177" s="320">
        <f t="shared" si="46"/>
        <v>100000</v>
      </c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spans="1:26" ht="14.4">
      <c r="A178" s="696"/>
      <c r="B178" s="322" t="s">
        <v>685</v>
      </c>
      <c r="C178" s="227">
        <v>9</v>
      </c>
      <c r="D178" s="201"/>
      <c r="E178" s="321"/>
      <c r="F178" s="202">
        <f t="shared" si="42"/>
        <v>9</v>
      </c>
      <c r="G178" s="203"/>
      <c r="H178" s="203"/>
      <c r="I178" s="204"/>
      <c r="J178" s="205">
        <f t="shared" si="43"/>
        <v>0</v>
      </c>
      <c r="K178" s="205">
        <f t="shared" si="44"/>
        <v>0</v>
      </c>
      <c r="L178" s="323">
        <f t="shared" si="45"/>
        <v>0</v>
      </c>
      <c r="M178" s="320">
        <f t="shared" si="46"/>
        <v>0</v>
      </c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spans="1:26" ht="14.4">
      <c r="A179" s="696"/>
      <c r="B179" s="322" t="s">
        <v>277</v>
      </c>
      <c r="C179" s="227">
        <v>5</v>
      </c>
      <c r="D179" s="201"/>
      <c r="E179" s="321"/>
      <c r="F179" s="202">
        <f t="shared" si="42"/>
        <v>5</v>
      </c>
      <c r="G179" s="203">
        <v>2500</v>
      </c>
      <c r="H179" s="203">
        <v>3000</v>
      </c>
      <c r="I179" s="204"/>
      <c r="J179" s="205">
        <f t="shared" si="43"/>
        <v>0</v>
      </c>
      <c r="K179" s="205">
        <f t="shared" si="44"/>
        <v>0</v>
      </c>
      <c r="L179" s="323">
        <f t="shared" si="45"/>
        <v>12500</v>
      </c>
      <c r="M179" s="320">
        <f t="shared" si="46"/>
        <v>15000</v>
      </c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spans="1:26" ht="14.4">
      <c r="A180" s="696"/>
      <c r="B180" s="318" t="s">
        <v>278</v>
      </c>
      <c r="C180" s="227">
        <v>9</v>
      </c>
      <c r="D180" s="201"/>
      <c r="E180" s="321"/>
      <c r="F180" s="202">
        <f t="shared" si="42"/>
        <v>9</v>
      </c>
      <c r="G180" s="203">
        <v>12500</v>
      </c>
      <c r="H180" s="203">
        <v>13500</v>
      </c>
      <c r="I180" s="204"/>
      <c r="J180" s="205">
        <f t="shared" si="43"/>
        <v>0</v>
      </c>
      <c r="K180" s="205">
        <f t="shared" si="44"/>
        <v>0</v>
      </c>
      <c r="L180" s="323">
        <f t="shared" si="45"/>
        <v>112500</v>
      </c>
      <c r="M180" s="320">
        <f t="shared" si="46"/>
        <v>121500</v>
      </c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spans="1:26" ht="14.4">
      <c r="A181" s="696"/>
      <c r="B181" s="318" t="s">
        <v>279</v>
      </c>
      <c r="C181" s="227">
        <v>4</v>
      </c>
      <c r="D181" s="201"/>
      <c r="E181" s="321"/>
      <c r="F181" s="202">
        <f t="shared" si="42"/>
        <v>4</v>
      </c>
      <c r="G181" s="203">
        <v>15000</v>
      </c>
      <c r="H181" s="203">
        <v>16500</v>
      </c>
      <c r="I181" s="204"/>
      <c r="J181" s="205">
        <f t="shared" si="43"/>
        <v>0</v>
      </c>
      <c r="K181" s="205">
        <f t="shared" si="44"/>
        <v>0</v>
      </c>
      <c r="L181" s="323">
        <f t="shared" si="45"/>
        <v>60000</v>
      </c>
      <c r="M181" s="320">
        <f t="shared" si="46"/>
        <v>66000</v>
      </c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spans="1:26" ht="14.4">
      <c r="A182" s="696"/>
      <c r="B182" s="322" t="s">
        <v>280</v>
      </c>
      <c r="C182" s="229">
        <v>8</v>
      </c>
      <c r="D182" s="201"/>
      <c r="E182" s="321"/>
      <c r="F182" s="202">
        <f t="shared" si="42"/>
        <v>8</v>
      </c>
      <c r="G182" s="203">
        <v>24000</v>
      </c>
      <c r="H182" s="203">
        <v>25000</v>
      </c>
      <c r="I182" s="204"/>
      <c r="J182" s="205">
        <f t="shared" si="43"/>
        <v>0</v>
      </c>
      <c r="K182" s="205">
        <f t="shared" si="44"/>
        <v>0</v>
      </c>
      <c r="L182" s="323">
        <f t="shared" si="45"/>
        <v>192000</v>
      </c>
      <c r="M182" s="320">
        <f t="shared" si="46"/>
        <v>200000</v>
      </c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spans="1:26" ht="14.4">
      <c r="A183" s="696"/>
      <c r="B183" s="322" t="s">
        <v>660</v>
      </c>
      <c r="C183" s="227">
        <v>2</v>
      </c>
      <c r="D183" s="201"/>
      <c r="E183" s="321"/>
      <c r="F183" s="202">
        <f t="shared" si="42"/>
        <v>2</v>
      </c>
      <c r="G183" s="203">
        <v>13000</v>
      </c>
      <c r="H183" s="203">
        <v>15000</v>
      </c>
      <c r="I183" s="204"/>
      <c r="J183" s="205">
        <f t="shared" si="43"/>
        <v>0</v>
      </c>
      <c r="K183" s="205">
        <f t="shared" si="44"/>
        <v>0</v>
      </c>
      <c r="L183" s="323">
        <f t="shared" si="45"/>
        <v>26000</v>
      </c>
      <c r="M183" s="320">
        <f t="shared" si="46"/>
        <v>30000</v>
      </c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spans="1:26" ht="14.4">
      <c r="A184" s="696"/>
      <c r="B184" s="318" t="s">
        <v>686</v>
      </c>
      <c r="C184" s="227">
        <v>6</v>
      </c>
      <c r="D184" s="201"/>
      <c r="E184" s="321"/>
      <c r="F184" s="202">
        <f t="shared" si="42"/>
        <v>6</v>
      </c>
      <c r="G184" s="203">
        <v>7800</v>
      </c>
      <c r="H184" s="203">
        <v>9000</v>
      </c>
      <c r="I184" s="204"/>
      <c r="J184" s="205">
        <f t="shared" si="43"/>
        <v>0</v>
      </c>
      <c r="K184" s="205">
        <f t="shared" si="44"/>
        <v>0</v>
      </c>
      <c r="L184" s="323">
        <f t="shared" si="45"/>
        <v>46800</v>
      </c>
      <c r="M184" s="320">
        <f t="shared" si="46"/>
        <v>54000</v>
      </c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spans="1:26" ht="14.4">
      <c r="A185" s="696"/>
      <c r="B185" s="318" t="s">
        <v>281</v>
      </c>
      <c r="C185" s="227">
        <v>5</v>
      </c>
      <c r="D185" s="201"/>
      <c r="E185" s="321"/>
      <c r="F185" s="202">
        <f t="shared" si="42"/>
        <v>5</v>
      </c>
      <c r="G185" s="203">
        <v>7800</v>
      </c>
      <c r="H185" s="203">
        <v>9000</v>
      </c>
      <c r="I185" s="204"/>
      <c r="J185" s="205">
        <f t="shared" si="43"/>
        <v>0</v>
      </c>
      <c r="K185" s="205">
        <f t="shared" si="44"/>
        <v>0</v>
      </c>
      <c r="L185" s="323">
        <f t="shared" si="45"/>
        <v>39000</v>
      </c>
      <c r="M185" s="320">
        <f t="shared" si="46"/>
        <v>45000</v>
      </c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spans="1:26" ht="14.4">
      <c r="A186" s="696"/>
      <c r="B186" s="318" t="s">
        <v>687</v>
      </c>
      <c r="C186" s="325">
        <v>2</v>
      </c>
      <c r="D186" s="201"/>
      <c r="E186" s="321"/>
      <c r="F186" s="202">
        <f t="shared" si="42"/>
        <v>2</v>
      </c>
      <c r="G186" s="239">
        <v>11300</v>
      </c>
      <c r="H186" s="239">
        <v>13500</v>
      </c>
      <c r="I186" s="213"/>
      <c r="J186" s="205">
        <f t="shared" si="43"/>
        <v>0</v>
      </c>
      <c r="K186" s="205">
        <f t="shared" si="44"/>
        <v>0</v>
      </c>
      <c r="L186" s="323">
        <f t="shared" si="45"/>
        <v>22600</v>
      </c>
      <c r="M186" s="320">
        <f t="shared" si="46"/>
        <v>27000</v>
      </c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spans="1:26" ht="14.4">
      <c r="A187" s="697"/>
      <c r="B187" s="318" t="s">
        <v>282</v>
      </c>
      <c r="C187" s="325">
        <v>11</v>
      </c>
      <c r="D187" s="201"/>
      <c r="E187" s="321"/>
      <c r="F187" s="202">
        <f t="shared" si="42"/>
        <v>11</v>
      </c>
      <c r="G187" s="239">
        <v>11300</v>
      </c>
      <c r="H187" s="239">
        <v>13500</v>
      </c>
      <c r="I187" s="213"/>
      <c r="J187" s="205">
        <f t="shared" si="43"/>
        <v>0</v>
      </c>
      <c r="K187" s="205">
        <f t="shared" si="44"/>
        <v>0</v>
      </c>
      <c r="L187" s="323">
        <f t="shared" si="45"/>
        <v>124300</v>
      </c>
      <c r="M187" s="320">
        <f t="shared" si="46"/>
        <v>148500</v>
      </c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spans="1:26" ht="14.4">
      <c r="A188" s="326"/>
      <c r="B188" s="327"/>
      <c r="C188" s="328"/>
      <c r="D188" s="329"/>
      <c r="E188" s="329"/>
      <c r="F188" s="330"/>
      <c r="G188" s="331"/>
      <c r="H188" s="331"/>
      <c r="I188" s="332"/>
      <c r="J188" s="333"/>
      <c r="K188" s="333"/>
      <c r="L188" s="334">
        <f t="shared" ref="L188:M188" si="47">SUM(L162:L187)</f>
        <v>1861750</v>
      </c>
      <c r="M188" s="334">
        <f t="shared" si="47"/>
        <v>2134500</v>
      </c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spans="1:26" ht="14.4">
      <c r="A189" s="326"/>
      <c r="B189" s="230" t="s">
        <v>283</v>
      </c>
      <c r="C189" s="335">
        <v>22</v>
      </c>
      <c r="D189" s="201"/>
      <c r="E189" s="201"/>
      <c r="F189" s="202">
        <f t="shared" ref="F189:F248" si="48">+C189+D189-E189</f>
        <v>22</v>
      </c>
      <c r="G189" s="203">
        <v>13100</v>
      </c>
      <c r="H189" s="203">
        <v>14500</v>
      </c>
      <c r="I189" s="224"/>
      <c r="J189" s="205">
        <f t="shared" ref="J189:J248" si="49">+I189*H189</f>
        <v>0</v>
      </c>
      <c r="K189" s="205">
        <f t="shared" ref="K189:K248" si="50">+(H189-G189)*I189</f>
        <v>0</v>
      </c>
      <c r="L189" s="319">
        <f t="shared" ref="L189:L248" si="51">+G189*F189</f>
        <v>288200</v>
      </c>
      <c r="M189" s="336">
        <f t="shared" ref="M189:M248" si="52">F189*H189</f>
        <v>319000</v>
      </c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spans="1:26" ht="14.4">
      <c r="A190" s="326"/>
      <c r="B190" s="230" t="s">
        <v>284</v>
      </c>
      <c r="C190" s="229">
        <v>2</v>
      </c>
      <c r="D190" s="201"/>
      <c r="E190" s="191"/>
      <c r="F190" s="202">
        <f t="shared" si="48"/>
        <v>2</v>
      </c>
      <c r="G190" s="203">
        <v>27200</v>
      </c>
      <c r="H190" s="203">
        <v>32000</v>
      </c>
      <c r="I190" s="204"/>
      <c r="J190" s="205">
        <f t="shared" si="49"/>
        <v>0</v>
      </c>
      <c r="K190" s="205">
        <f t="shared" si="50"/>
        <v>0</v>
      </c>
      <c r="L190" s="319">
        <f t="shared" si="51"/>
        <v>54400</v>
      </c>
      <c r="M190" s="336">
        <f t="shared" si="52"/>
        <v>64000</v>
      </c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spans="1:26" ht="14.4">
      <c r="A191" s="326"/>
      <c r="B191" s="230" t="s">
        <v>285</v>
      </c>
      <c r="C191" s="229">
        <v>4</v>
      </c>
      <c r="D191" s="201"/>
      <c r="E191" s="201"/>
      <c r="F191" s="202">
        <f t="shared" si="48"/>
        <v>4</v>
      </c>
      <c r="G191" s="203">
        <v>15100</v>
      </c>
      <c r="H191" s="203">
        <v>23200</v>
      </c>
      <c r="I191" s="204"/>
      <c r="J191" s="205">
        <f t="shared" si="49"/>
        <v>0</v>
      </c>
      <c r="K191" s="205">
        <f t="shared" si="50"/>
        <v>0</v>
      </c>
      <c r="L191" s="319">
        <f t="shared" si="51"/>
        <v>60400</v>
      </c>
      <c r="M191" s="336">
        <f t="shared" si="52"/>
        <v>92800</v>
      </c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spans="1:26" ht="14.4">
      <c r="A192" s="326"/>
      <c r="B192" s="230" t="s">
        <v>286</v>
      </c>
      <c r="C192" s="227"/>
      <c r="D192" s="201"/>
      <c r="E192" s="201"/>
      <c r="F192" s="202">
        <f t="shared" si="48"/>
        <v>0</v>
      </c>
      <c r="G192" s="203">
        <v>17400</v>
      </c>
      <c r="H192" s="203">
        <v>28800</v>
      </c>
      <c r="I192" s="204"/>
      <c r="J192" s="205">
        <f t="shared" si="49"/>
        <v>0</v>
      </c>
      <c r="K192" s="205">
        <f t="shared" si="50"/>
        <v>0</v>
      </c>
      <c r="L192" s="319">
        <f t="shared" si="51"/>
        <v>0</v>
      </c>
      <c r="M192" s="336">
        <f t="shared" si="52"/>
        <v>0</v>
      </c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spans="1:26" ht="14.4">
      <c r="A193" s="326"/>
      <c r="B193" s="230" t="s">
        <v>287</v>
      </c>
      <c r="C193" s="227">
        <v>1</v>
      </c>
      <c r="D193" s="201"/>
      <c r="E193" s="201"/>
      <c r="F193" s="202">
        <f t="shared" si="48"/>
        <v>1</v>
      </c>
      <c r="G193" s="203">
        <v>13600</v>
      </c>
      <c r="H193" s="203">
        <v>15000</v>
      </c>
      <c r="I193" s="204"/>
      <c r="J193" s="205">
        <f t="shared" si="49"/>
        <v>0</v>
      </c>
      <c r="K193" s="205">
        <f t="shared" si="50"/>
        <v>0</v>
      </c>
      <c r="L193" s="319">
        <f t="shared" si="51"/>
        <v>13600</v>
      </c>
      <c r="M193" s="336">
        <f t="shared" si="52"/>
        <v>15000</v>
      </c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spans="1:26" ht="14.4">
      <c r="A194" s="326"/>
      <c r="B194" s="230" t="s">
        <v>288</v>
      </c>
      <c r="C194" s="227"/>
      <c r="D194" s="201"/>
      <c r="E194" s="201"/>
      <c r="F194" s="202">
        <f t="shared" si="48"/>
        <v>0</v>
      </c>
      <c r="G194" s="203">
        <v>11000</v>
      </c>
      <c r="H194" s="203">
        <v>12000</v>
      </c>
      <c r="I194" s="204"/>
      <c r="J194" s="205">
        <f t="shared" si="49"/>
        <v>0</v>
      </c>
      <c r="K194" s="205">
        <f t="shared" si="50"/>
        <v>0</v>
      </c>
      <c r="L194" s="319">
        <f t="shared" si="51"/>
        <v>0</v>
      </c>
      <c r="M194" s="336">
        <f t="shared" si="52"/>
        <v>0</v>
      </c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spans="1:26" ht="14.4">
      <c r="A195" s="326"/>
      <c r="B195" s="230" t="s">
        <v>289</v>
      </c>
      <c r="C195" s="229"/>
      <c r="D195" s="201"/>
      <c r="E195" s="201"/>
      <c r="F195" s="202">
        <f t="shared" si="48"/>
        <v>0</v>
      </c>
      <c r="G195" s="203">
        <v>24100</v>
      </c>
      <c r="H195" s="203">
        <v>35000</v>
      </c>
      <c r="I195" s="204"/>
      <c r="J195" s="205">
        <f t="shared" si="49"/>
        <v>0</v>
      </c>
      <c r="K195" s="205">
        <f t="shared" si="50"/>
        <v>0</v>
      </c>
      <c r="L195" s="319">
        <f t="shared" si="51"/>
        <v>0</v>
      </c>
      <c r="M195" s="336">
        <f t="shared" si="52"/>
        <v>0</v>
      </c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spans="1:26" ht="14.4">
      <c r="A196" s="326"/>
      <c r="B196" s="230" t="s">
        <v>290</v>
      </c>
      <c r="C196" s="229">
        <v>5</v>
      </c>
      <c r="D196" s="201"/>
      <c r="E196" s="201"/>
      <c r="F196" s="202">
        <f t="shared" si="48"/>
        <v>5</v>
      </c>
      <c r="G196" s="203">
        <v>7500</v>
      </c>
      <c r="H196" s="203">
        <v>12500</v>
      </c>
      <c r="I196" s="204"/>
      <c r="J196" s="205">
        <f t="shared" si="49"/>
        <v>0</v>
      </c>
      <c r="K196" s="205">
        <f t="shared" si="50"/>
        <v>0</v>
      </c>
      <c r="L196" s="319">
        <f t="shared" si="51"/>
        <v>37500</v>
      </c>
      <c r="M196" s="336">
        <f t="shared" si="52"/>
        <v>62500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spans="1:26" ht="14.4">
      <c r="A197" s="326"/>
      <c r="B197" s="230" t="s">
        <v>291</v>
      </c>
      <c r="C197" s="227">
        <v>5</v>
      </c>
      <c r="D197" s="201"/>
      <c r="E197" s="201"/>
      <c r="F197" s="202">
        <f t="shared" si="48"/>
        <v>5</v>
      </c>
      <c r="G197" s="203">
        <v>27200</v>
      </c>
      <c r="H197" s="203">
        <v>32000</v>
      </c>
      <c r="I197" s="204"/>
      <c r="J197" s="205">
        <f t="shared" si="49"/>
        <v>0</v>
      </c>
      <c r="K197" s="205">
        <f t="shared" si="50"/>
        <v>0</v>
      </c>
      <c r="L197" s="319">
        <f t="shared" si="51"/>
        <v>136000</v>
      </c>
      <c r="M197" s="336">
        <f t="shared" si="52"/>
        <v>160000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spans="1:26" ht="14.4">
      <c r="A198" s="326"/>
      <c r="B198" s="337" t="s">
        <v>64</v>
      </c>
      <c r="C198" s="227">
        <v>6</v>
      </c>
      <c r="D198" s="201"/>
      <c r="E198" s="201"/>
      <c r="F198" s="202">
        <f t="shared" si="48"/>
        <v>6</v>
      </c>
      <c r="G198" s="203">
        <v>31300</v>
      </c>
      <c r="H198" s="203">
        <v>36000</v>
      </c>
      <c r="I198" s="204"/>
      <c r="J198" s="205">
        <f t="shared" si="49"/>
        <v>0</v>
      </c>
      <c r="K198" s="205">
        <f t="shared" si="50"/>
        <v>0</v>
      </c>
      <c r="L198" s="319">
        <f t="shared" si="51"/>
        <v>187800</v>
      </c>
      <c r="M198" s="336">
        <f t="shared" si="52"/>
        <v>216000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spans="1:26" ht="14.4">
      <c r="A199" s="326"/>
      <c r="B199" s="337" t="s">
        <v>292</v>
      </c>
      <c r="C199" s="227"/>
      <c r="D199" s="201"/>
      <c r="E199" s="201"/>
      <c r="F199" s="202">
        <f t="shared" si="48"/>
        <v>0</v>
      </c>
      <c r="G199" s="203">
        <v>30600</v>
      </c>
      <c r="H199" s="203">
        <v>36000</v>
      </c>
      <c r="I199" s="204"/>
      <c r="J199" s="205">
        <f t="shared" si="49"/>
        <v>0</v>
      </c>
      <c r="K199" s="205">
        <f t="shared" si="50"/>
        <v>0</v>
      </c>
      <c r="L199" s="319">
        <f t="shared" si="51"/>
        <v>0</v>
      </c>
      <c r="M199" s="336">
        <f t="shared" si="52"/>
        <v>0</v>
      </c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spans="1:26" ht="14.4">
      <c r="A200" s="326"/>
      <c r="B200" s="337" t="s">
        <v>293</v>
      </c>
      <c r="C200" s="227">
        <v>1</v>
      </c>
      <c r="D200" s="201"/>
      <c r="E200" s="201"/>
      <c r="F200" s="202">
        <f t="shared" si="48"/>
        <v>1</v>
      </c>
      <c r="G200" s="203">
        <v>45000</v>
      </c>
      <c r="H200" s="203">
        <v>50000</v>
      </c>
      <c r="I200" s="204"/>
      <c r="J200" s="205">
        <f t="shared" si="49"/>
        <v>0</v>
      </c>
      <c r="K200" s="205">
        <f t="shared" si="50"/>
        <v>0</v>
      </c>
      <c r="L200" s="319">
        <f t="shared" si="51"/>
        <v>45000</v>
      </c>
      <c r="M200" s="336">
        <f t="shared" si="52"/>
        <v>50000</v>
      </c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spans="1:26" ht="14.4">
      <c r="A201" s="326"/>
      <c r="B201" s="337" t="s">
        <v>65</v>
      </c>
      <c r="C201" s="227">
        <v>13.5</v>
      </c>
      <c r="D201" s="201"/>
      <c r="E201" s="201"/>
      <c r="F201" s="202">
        <f t="shared" si="48"/>
        <v>13.5</v>
      </c>
      <c r="G201" s="203">
        <v>54200</v>
      </c>
      <c r="H201" s="203">
        <v>62500</v>
      </c>
      <c r="I201" s="204"/>
      <c r="J201" s="205">
        <f t="shared" si="49"/>
        <v>0</v>
      </c>
      <c r="K201" s="205">
        <f t="shared" si="50"/>
        <v>0</v>
      </c>
      <c r="L201" s="319">
        <f t="shared" si="51"/>
        <v>731700</v>
      </c>
      <c r="M201" s="336">
        <f t="shared" si="52"/>
        <v>843750</v>
      </c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spans="1:26" ht="14.4">
      <c r="A202" s="326"/>
      <c r="B202" s="337" t="s">
        <v>294</v>
      </c>
      <c r="C202" s="227">
        <v>2</v>
      </c>
      <c r="D202" s="201"/>
      <c r="E202" s="201"/>
      <c r="F202" s="202">
        <f t="shared" si="48"/>
        <v>2</v>
      </c>
      <c r="G202" s="203">
        <v>36000</v>
      </c>
      <c r="H202" s="203">
        <v>42000</v>
      </c>
      <c r="I202" s="204"/>
      <c r="J202" s="205">
        <f t="shared" si="49"/>
        <v>0</v>
      </c>
      <c r="K202" s="205">
        <f t="shared" si="50"/>
        <v>0</v>
      </c>
      <c r="L202" s="319">
        <f t="shared" si="51"/>
        <v>72000</v>
      </c>
      <c r="M202" s="336">
        <f t="shared" si="52"/>
        <v>84000</v>
      </c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spans="1:26" ht="14.4">
      <c r="A203" s="326"/>
      <c r="B203" s="337" t="s">
        <v>295</v>
      </c>
      <c r="C203" s="227">
        <v>18</v>
      </c>
      <c r="D203" s="201"/>
      <c r="E203" s="201"/>
      <c r="F203" s="202">
        <f t="shared" si="48"/>
        <v>18</v>
      </c>
      <c r="G203" s="203">
        <v>8700</v>
      </c>
      <c r="H203" s="203">
        <v>10000</v>
      </c>
      <c r="I203" s="204"/>
      <c r="J203" s="205">
        <f t="shared" si="49"/>
        <v>0</v>
      </c>
      <c r="K203" s="205">
        <f t="shared" si="50"/>
        <v>0</v>
      </c>
      <c r="L203" s="319">
        <f t="shared" si="51"/>
        <v>156600</v>
      </c>
      <c r="M203" s="336">
        <f t="shared" si="52"/>
        <v>180000</v>
      </c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spans="1:26" ht="14.4">
      <c r="A204" s="326"/>
      <c r="B204" s="337" t="s">
        <v>296</v>
      </c>
      <c r="C204" s="227"/>
      <c r="D204" s="201"/>
      <c r="E204" s="201"/>
      <c r="F204" s="202">
        <f t="shared" si="48"/>
        <v>0</v>
      </c>
      <c r="G204" s="203">
        <v>52200</v>
      </c>
      <c r="H204" s="203">
        <v>62500</v>
      </c>
      <c r="I204" s="204"/>
      <c r="J204" s="205">
        <f t="shared" si="49"/>
        <v>0</v>
      </c>
      <c r="K204" s="205">
        <f t="shared" si="50"/>
        <v>0</v>
      </c>
      <c r="L204" s="319">
        <f t="shared" si="51"/>
        <v>0</v>
      </c>
      <c r="M204" s="336">
        <f t="shared" si="52"/>
        <v>0</v>
      </c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spans="1:26" ht="14.4">
      <c r="A205" s="326"/>
      <c r="B205" s="337" t="s">
        <v>297</v>
      </c>
      <c r="C205" s="227"/>
      <c r="D205" s="201"/>
      <c r="E205" s="201"/>
      <c r="F205" s="202">
        <f t="shared" si="48"/>
        <v>0</v>
      </c>
      <c r="G205" s="203">
        <v>43400</v>
      </c>
      <c r="H205" s="203">
        <v>50000</v>
      </c>
      <c r="I205" s="204"/>
      <c r="J205" s="205">
        <f t="shared" si="49"/>
        <v>0</v>
      </c>
      <c r="K205" s="205">
        <f t="shared" si="50"/>
        <v>0</v>
      </c>
      <c r="L205" s="319">
        <f t="shared" si="51"/>
        <v>0</v>
      </c>
      <c r="M205" s="336">
        <f t="shared" si="52"/>
        <v>0</v>
      </c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spans="1:26" ht="14.4">
      <c r="A206" s="326"/>
      <c r="B206" s="337" t="s">
        <v>688</v>
      </c>
      <c r="C206" s="229">
        <v>3</v>
      </c>
      <c r="D206" s="201"/>
      <c r="E206" s="201"/>
      <c r="F206" s="202">
        <f t="shared" si="48"/>
        <v>3</v>
      </c>
      <c r="G206" s="203">
        <v>30000</v>
      </c>
      <c r="H206" s="203">
        <v>32000</v>
      </c>
      <c r="I206" s="204"/>
      <c r="J206" s="205">
        <f t="shared" si="49"/>
        <v>0</v>
      </c>
      <c r="K206" s="205">
        <f t="shared" si="50"/>
        <v>0</v>
      </c>
      <c r="L206" s="319">
        <f t="shared" si="51"/>
        <v>90000</v>
      </c>
      <c r="M206" s="336">
        <f t="shared" si="52"/>
        <v>96000</v>
      </c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spans="1:26" ht="14.4">
      <c r="A207" s="326"/>
      <c r="B207" s="337" t="s">
        <v>299</v>
      </c>
      <c r="C207" s="229">
        <v>3</v>
      </c>
      <c r="D207" s="201"/>
      <c r="E207" s="201"/>
      <c r="F207" s="202">
        <f t="shared" si="48"/>
        <v>3</v>
      </c>
      <c r="G207" s="203">
        <v>35000</v>
      </c>
      <c r="H207" s="203">
        <v>36500</v>
      </c>
      <c r="I207" s="204"/>
      <c r="J207" s="205">
        <f t="shared" si="49"/>
        <v>0</v>
      </c>
      <c r="K207" s="205">
        <f t="shared" si="50"/>
        <v>0</v>
      </c>
      <c r="L207" s="319">
        <f t="shared" si="51"/>
        <v>105000</v>
      </c>
      <c r="M207" s="336">
        <f t="shared" si="52"/>
        <v>109500</v>
      </c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spans="1:26" ht="14.4">
      <c r="A208" s="326"/>
      <c r="B208" s="337" t="s">
        <v>300</v>
      </c>
      <c r="C208" s="229">
        <v>1</v>
      </c>
      <c r="D208" s="201"/>
      <c r="E208" s="201"/>
      <c r="F208" s="202">
        <f t="shared" si="48"/>
        <v>1</v>
      </c>
      <c r="G208" s="203">
        <v>27000</v>
      </c>
      <c r="H208" s="203">
        <v>30000</v>
      </c>
      <c r="I208" s="204"/>
      <c r="J208" s="205">
        <f t="shared" si="49"/>
        <v>0</v>
      </c>
      <c r="K208" s="205">
        <f t="shared" si="50"/>
        <v>0</v>
      </c>
      <c r="L208" s="319">
        <f t="shared" si="51"/>
        <v>27000</v>
      </c>
      <c r="M208" s="336">
        <f t="shared" si="52"/>
        <v>30000</v>
      </c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spans="1:26" ht="14.4">
      <c r="A209" s="326"/>
      <c r="B209" s="337" t="s">
        <v>301</v>
      </c>
      <c r="C209" s="227">
        <v>52</v>
      </c>
      <c r="D209" s="201"/>
      <c r="E209" s="201"/>
      <c r="F209" s="202">
        <f t="shared" si="48"/>
        <v>52</v>
      </c>
      <c r="G209" s="203">
        <v>16700</v>
      </c>
      <c r="H209" s="203">
        <v>19200</v>
      </c>
      <c r="I209" s="204"/>
      <c r="J209" s="205">
        <f t="shared" si="49"/>
        <v>0</v>
      </c>
      <c r="K209" s="205">
        <f t="shared" si="50"/>
        <v>0</v>
      </c>
      <c r="L209" s="319">
        <f t="shared" si="51"/>
        <v>868400</v>
      </c>
      <c r="M209" s="336">
        <f t="shared" si="52"/>
        <v>998400</v>
      </c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spans="1:26" ht="14.4">
      <c r="A210" s="326"/>
      <c r="B210" s="337" t="s">
        <v>302</v>
      </c>
      <c r="C210" s="227">
        <v>74.5</v>
      </c>
      <c r="D210" s="201"/>
      <c r="E210" s="201"/>
      <c r="F210" s="202">
        <f t="shared" si="48"/>
        <v>74.5</v>
      </c>
      <c r="G210" s="203">
        <v>57000</v>
      </c>
      <c r="H210" s="203">
        <v>65000</v>
      </c>
      <c r="I210" s="204"/>
      <c r="J210" s="205">
        <f t="shared" si="49"/>
        <v>0</v>
      </c>
      <c r="K210" s="205">
        <f t="shared" si="50"/>
        <v>0</v>
      </c>
      <c r="L210" s="319">
        <f t="shared" si="51"/>
        <v>4246500</v>
      </c>
      <c r="M210" s="336">
        <f t="shared" si="52"/>
        <v>4842500</v>
      </c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spans="1:26" ht="14.4">
      <c r="A211" s="326"/>
      <c r="B211" s="337" t="s">
        <v>303</v>
      </c>
      <c r="C211" s="227">
        <v>16</v>
      </c>
      <c r="D211" s="201"/>
      <c r="E211" s="201"/>
      <c r="F211" s="202">
        <f t="shared" si="48"/>
        <v>16</v>
      </c>
      <c r="G211" s="203">
        <v>43000</v>
      </c>
      <c r="H211" s="203">
        <v>45000</v>
      </c>
      <c r="I211" s="204"/>
      <c r="J211" s="205">
        <f t="shared" si="49"/>
        <v>0</v>
      </c>
      <c r="K211" s="205">
        <f t="shared" si="50"/>
        <v>0</v>
      </c>
      <c r="L211" s="319">
        <f t="shared" si="51"/>
        <v>688000</v>
      </c>
      <c r="M211" s="336">
        <f t="shared" si="52"/>
        <v>720000</v>
      </c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spans="1:26" ht="14.4">
      <c r="A212" s="326"/>
      <c r="B212" s="337" t="s">
        <v>304</v>
      </c>
      <c r="C212" s="227">
        <v>14</v>
      </c>
      <c r="D212" s="201"/>
      <c r="E212" s="201"/>
      <c r="F212" s="202">
        <f t="shared" si="48"/>
        <v>14</v>
      </c>
      <c r="G212" s="203">
        <v>45700</v>
      </c>
      <c r="H212" s="203">
        <v>50000</v>
      </c>
      <c r="I212" s="204"/>
      <c r="J212" s="205">
        <f t="shared" si="49"/>
        <v>0</v>
      </c>
      <c r="K212" s="205">
        <f t="shared" si="50"/>
        <v>0</v>
      </c>
      <c r="L212" s="319">
        <f t="shared" si="51"/>
        <v>639800</v>
      </c>
      <c r="M212" s="336">
        <f t="shared" si="52"/>
        <v>700000</v>
      </c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spans="1:26" ht="14.4">
      <c r="A213" s="326"/>
      <c r="B213" s="337" t="s">
        <v>305</v>
      </c>
      <c r="C213" s="227">
        <v>8</v>
      </c>
      <c r="D213" s="201"/>
      <c r="E213" s="201"/>
      <c r="F213" s="202">
        <f t="shared" si="48"/>
        <v>8</v>
      </c>
      <c r="G213" s="203">
        <v>48000</v>
      </c>
      <c r="H213" s="203">
        <v>55000</v>
      </c>
      <c r="I213" s="204"/>
      <c r="J213" s="205">
        <f t="shared" si="49"/>
        <v>0</v>
      </c>
      <c r="K213" s="205">
        <f t="shared" si="50"/>
        <v>0</v>
      </c>
      <c r="L213" s="319">
        <f t="shared" si="51"/>
        <v>384000</v>
      </c>
      <c r="M213" s="336">
        <f t="shared" si="52"/>
        <v>440000</v>
      </c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spans="1:26" ht="14.4">
      <c r="A214" s="326"/>
      <c r="B214" s="337" t="s">
        <v>306</v>
      </c>
      <c r="C214" s="227">
        <v>30</v>
      </c>
      <c r="D214" s="201"/>
      <c r="E214" s="201"/>
      <c r="F214" s="202">
        <f t="shared" si="48"/>
        <v>30</v>
      </c>
      <c r="G214" s="203">
        <v>27000</v>
      </c>
      <c r="H214" s="203">
        <v>30000</v>
      </c>
      <c r="I214" s="204"/>
      <c r="J214" s="205">
        <f t="shared" si="49"/>
        <v>0</v>
      </c>
      <c r="K214" s="205">
        <f t="shared" si="50"/>
        <v>0</v>
      </c>
      <c r="L214" s="319">
        <f t="shared" si="51"/>
        <v>810000</v>
      </c>
      <c r="M214" s="336">
        <f t="shared" si="52"/>
        <v>900000</v>
      </c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spans="1:26" ht="14.4">
      <c r="A215" s="326"/>
      <c r="B215" s="337" t="s">
        <v>307</v>
      </c>
      <c r="C215" s="227">
        <v>3.5</v>
      </c>
      <c r="D215" s="201"/>
      <c r="E215" s="201"/>
      <c r="F215" s="202">
        <f t="shared" si="48"/>
        <v>3.5</v>
      </c>
      <c r="G215" s="203">
        <v>37000</v>
      </c>
      <c r="H215" s="203">
        <v>45000</v>
      </c>
      <c r="I215" s="204"/>
      <c r="J215" s="205">
        <f t="shared" si="49"/>
        <v>0</v>
      </c>
      <c r="K215" s="205">
        <f t="shared" si="50"/>
        <v>0</v>
      </c>
      <c r="L215" s="319">
        <f t="shared" si="51"/>
        <v>129500</v>
      </c>
      <c r="M215" s="336">
        <f t="shared" si="52"/>
        <v>157500</v>
      </c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spans="1:26" ht="14.4">
      <c r="A216" s="326"/>
      <c r="B216" s="337" t="s">
        <v>308</v>
      </c>
      <c r="C216" s="227">
        <v>19</v>
      </c>
      <c r="D216" s="201"/>
      <c r="E216" s="201"/>
      <c r="F216" s="202">
        <f t="shared" si="48"/>
        <v>19</v>
      </c>
      <c r="G216" s="203">
        <v>33000</v>
      </c>
      <c r="H216" s="203">
        <v>35000</v>
      </c>
      <c r="I216" s="204"/>
      <c r="J216" s="205">
        <f t="shared" si="49"/>
        <v>0</v>
      </c>
      <c r="K216" s="205">
        <f t="shared" si="50"/>
        <v>0</v>
      </c>
      <c r="L216" s="319">
        <f t="shared" si="51"/>
        <v>627000</v>
      </c>
      <c r="M216" s="336">
        <f t="shared" si="52"/>
        <v>665000</v>
      </c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spans="1:26" ht="14.4">
      <c r="A217" s="326"/>
      <c r="B217" s="337" t="s">
        <v>309</v>
      </c>
      <c r="C217" s="227">
        <v>16</v>
      </c>
      <c r="D217" s="201"/>
      <c r="E217" s="201"/>
      <c r="F217" s="202">
        <f t="shared" si="48"/>
        <v>16</v>
      </c>
      <c r="G217" s="203">
        <v>14000</v>
      </c>
      <c r="H217" s="203">
        <v>16000</v>
      </c>
      <c r="I217" s="204"/>
      <c r="J217" s="205">
        <f t="shared" si="49"/>
        <v>0</v>
      </c>
      <c r="K217" s="205">
        <f t="shared" si="50"/>
        <v>0</v>
      </c>
      <c r="L217" s="319">
        <f t="shared" si="51"/>
        <v>224000</v>
      </c>
      <c r="M217" s="336">
        <f t="shared" si="52"/>
        <v>256000</v>
      </c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spans="1:26" ht="14.4">
      <c r="A218" s="326"/>
      <c r="B218" s="337" t="s">
        <v>310</v>
      </c>
      <c r="C218" s="229"/>
      <c r="D218" s="201"/>
      <c r="E218" s="201"/>
      <c r="F218" s="202">
        <f t="shared" si="48"/>
        <v>0</v>
      </c>
      <c r="G218" s="203">
        <v>39300</v>
      </c>
      <c r="H218" s="203">
        <v>45000</v>
      </c>
      <c r="I218" s="204"/>
      <c r="J218" s="205">
        <f t="shared" si="49"/>
        <v>0</v>
      </c>
      <c r="K218" s="205">
        <f t="shared" si="50"/>
        <v>0</v>
      </c>
      <c r="L218" s="319">
        <f t="shared" si="51"/>
        <v>0</v>
      </c>
      <c r="M218" s="336">
        <f t="shared" si="52"/>
        <v>0</v>
      </c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spans="1:26" ht="14.4">
      <c r="A219" s="326"/>
      <c r="B219" s="337" t="s">
        <v>311</v>
      </c>
      <c r="C219" s="227"/>
      <c r="D219" s="201"/>
      <c r="E219" s="201"/>
      <c r="F219" s="202">
        <f t="shared" si="48"/>
        <v>0</v>
      </c>
      <c r="G219" s="203">
        <v>11800</v>
      </c>
      <c r="H219" s="203">
        <v>15500</v>
      </c>
      <c r="I219" s="204"/>
      <c r="J219" s="205">
        <f t="shared" si="49"/>
        <v>0</v>
      </c>
      <c r="K219" s="205">
        <f t="shared" si="50"/>
        <v>0</v>
      </c>
      <c r="L219" s="319">
        <f t="shared" si="51"/>
        <v>0</v>
      </c>
      <c r="M219" s="336">
        <f t="shared" si="52"/>
        <v>0</v>
      </c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spans="1:26" ht="14.4">
      <c r="A220" s="326"/>
      <c r="B220" s="230" t="s">
        <v>312</v>
      </c>
      <c r="C220" s="227">
        <v>2</v>
      </c>
      <c r="D220" s="201"/>
      <c r="E220" s="201"/>
      <c r="F220" s="202">
        <f t="shared" si="48"/>
        <v>2</v>
      </c>
      <c r="G220" s="203">
        <v>17000</v>
      </c>
      <c r="H220" s="203">
        <v>25000</v>
      </c>
      <c r="I220" s="204"/>
      <c r="J220" s="205">
        <f t="shared" si="49"/>
        <v>0</v>
      </c>
      <c r="K220" s="205">
        <f t="shared" si="50"/>
        <v>0</v>
      </c>
      <c r="L220" s="319">
        <f t="shared" si="51"/>
        <v>34000</v>
      </c>
      <c r="M220" s="336">
        <f t="shared" si="52"/>
        <v>50000</v>
      </c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spans="1:26" ht="14.4">
      <c r="A221" s="326"/>
      <c r="B221" s="337" t="s">
        <v>313</v>
      </c>
      <c r="C221" s="229"/>
      <c r="D221" s="201"/>
      <c r="E221" s="201"/>
      <c r="F221" s="202">
        <f t="shared" si="48"/>
        <v>0</v>
      </c>
      <c r="G221" s="203">
        <v>24500</v>
      </c>
      <c r="H221" s="203">
        <v>28000</v>
      </c>
      <c r="I221" s="204"/>
      <c r="J221" s="205">
        <f t="shared" si="49"/>
        <v>0</v>
      </c>
      <c r="K221" s="205">
        <f t="shared" si="50"/>
        <v>0</v>
      </c>
      <c r="L221" s="319">
        <f t="shared" si="51"/>
        <v>0</v>
      </c>
      <c r="M221" s="336">
        <f t="shared" si="52"/>
        <v>0</v>
      </c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spans="1:26" ht="14.4">
      <c r="A222" s="326"/>
      <c r="B222" s="337" t="s">
        <v>314</v>
      </c>
      <c r="C222" s="229">
        <v>3</v>
      </c>
      <c r="D222" s="201"/>
      <c r="E222" s="201"/>
      <c r="F222" s="202">
        <f t="shared" si="48"/>
        <v>3</v>
      </c>
      <c r="G222" s="203">
        <v>24500</v>
      </c>
      <c r="H222" s="203">
        <v>28000</v>
      </c>
      <c r="I222" s="204"/>
      <c r="J222" s="205">
        <f t="shared" si="49"/>
        <v>0</v>
      </c>
      <c r="K222" s="205">
        <f t="shared" si="50"/>
        <v>0</v>
      </c>
      <c r="L222" s="319">
        <f t="shared" si="51"/>
        <v>73500</v>
      </c>
      <c r="M222" s="336">
        <f t="shared" si="52"/>
        <v>84000</v>
      </c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spans="1:26" ht="14.4">
      <c r="A223" s="326"/>
      <c r="B223" s="337" t="s">
        <v>315</v>
      </c>
      <c r="C223" s="229">
        <v>20</v>
      </c>
      <c r="D223" s="201"/>
      <c r="E223" s="201"/>
      <c r="F223" s="202">
        <f t="shared" si="48"/>
        <v>20</v>
      </c>
      <c r="G223" s="203">
        <v>26200</v>
      </c>
      <c r="H223" s="203">
        <v>30000</v>
      </c>
      <c r="I223" s="204"/>
      <c r="J223" s="205">
        <f t="shared" si="49"/>
        <v>0</v>
      </c>
      <c r="K223" s="205">
        <f t="shared" si="50"/>
        <v>0</v>
      </c>
      <c r="L223" s="319">
        <f t="shared" si="51"/>
        <v>524000</v>
      </c>
      <c r="M223" s="336">
        <f t="shared" si="52"/>
        <v>600000</v>
      </c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spans="1:26" ht="14.4">
      <c r="A224" s="326"/>
      <c r="B224" s="337" t="s">
        <v>316</v>
      </c>
      <c r="C224" s="227">
        <v>68</v>
      </c>
      <c r="D224" s="201"/>
      <c r="E224" s="201"/>
      <c r="F224" s="202">
        <f t="shared" si="48"/>
        <v>68</v>
      </c>
      <c r="G224" s="203">
        <v>6600</v>
      </c>
      <c r="H224" s="203">
        <v>7000</v>
      </c>
      <c r="I224" s="204"/>
      <c r="J224" s="205">
        <f t="shared" si="49"/>
        <v>0</v>
      </c>
      <c r="K224" s="205">
        <f t="shared" si="50"/>
        <v>0</v>
      </c>
      <c r="L224" s="319">
        <f t="shared" si="51"/>
        <v>448800</v>
      </c>
      <c r="M224" s="336">
        <f t="shared" si="52"/>
        <v>476000</v>
      </c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spans="1:26" ht="14.4">
      <c r="A225" s="326"/>
      <c r="B225" s="337" t="s">
        <v>317</v>
      </c>
      <c r="C225" s="227">
        <v>19</v>
      </c>
      <c r="D225" s="201"/>
      <c r="E225" s="201"/>
      <c r="F225" s="202">
        <f t="shared" si="48"/>
        <v>19</v>
      </c>
      <c r="G225" s="203">
        <v>15200</v>
      </c>
      <c r="H225" s="203">
        <v>19000</v>
      </c>
      <c r="I225" s="204"/>
      <c r="J225" s="205">
        <f t="shared" si="49"/>
        <v>0</v>
      </c>
      <c r="K225" s="205">
        <f t="shared" si="50"/>
        <v>0</v>
      </c>
      <c r="L225" s="319">
        <f t="shared" si="51"/>
        <v>288800</v>
      </c>
      <c r="M225" s="336">
        <f t="shared" si="52"/>
        <v>361000</v>
      </c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spans="1:26" ht="14.4">
      <c r="A226" s="326"/>
      <c r="B226" s="337" t="s">
        <v>318</v>
      </c>
      <c r="C226" s="227">
        <v>1</v>
      </c>
      <c r="D226" s="201"/>
      <c r="E226" s="201"/>
      <c r="F226" s="202">
        <f t="shared" si="48"/>
        <v>1</v>
      </c>
      <c r="G226" s="203">
        <v>38300</v>
      </c>
      <c r="H226" s="203">
        <v>45000</v>
      </c>
      <c r="I226" s="204"/>
      <c r="J226" s="205">
        <f t="shared" si="49"/>
        <v>0</v>
      </c>
      <c r="K226" s="205">
        <f t="shared" si="50"/>
        <v>0</v>
      </c>
      <c r="L226" s="319">
        <f t="shared" si="51"/>
        <v>38300</v>
      </c>
      <c r="M226" s="336">
        <f t="shared" si="52"/>
        <v>45000</v>
      </c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spans="1:26" ht="14.4">
      <c r="A227" s="326"/>
      <c r="B227" s="337" t="s">
        <v>319</v>
      </c>
      <c r="C227" s="229">
        <v>1</v>
      </c>
      <c r="D227" s="201"/>
      <c r="E227" s="201"/>
      <c r="F227" s="202">
        <f t="shared" si="48"/>
        <v>1</v>
      </c>
      <c r="G227" s="203">
        <v>34900</v>
      </c>
      <c r="H227" s="203">
        <v>40000</v>
      </c>
      <c r="I227" s="204"/>
      <c r="J227" s="205">
        <f t="shared" si="49"/>
        <v>0</v>
      </c>
      <c r="K227" s="205">
        <f t="shared" si="50"/>
        <v>0</v>
      </c>
      <c r="L227" s="319">
        <f t="shared" si="51"/>
        <v>34900</v>
      </c>
      <c r="M227" s="336">
        <f t="shared" si="52"/>
        <v>40000</v>
      </c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spans="1:26" ht="14.4">
      <c r="A228" s="326"/>
      <c r="B228" s="337" t="s">
        <v>320</v>
      </c>
      <c r="C228" s="227"/>
      <c r="D228" s="201"/>
      <c r="E228" s="201"/>
      <c r="F228" s="202">
        <f t="shared" si="48"/>
        <v>0</v>
      </c>
      <c r="G228" s="203">
        <v>28800</v>
      </c>
      <c r="H228" s="203">
        <v>36000</v>
      </c>
      <c r="I228" s="204"/>
      <c r="J228" s="205">
        <f t="shared" si="49"/>
        <v>0</v>
      </c>
      <c r="K228" s="205">
        <f t="shared" si="50"/>
        <v>0</v>
      </c>
      <c r="L228" s="319">
        <f t="shared" si="51"/>
        <v>0</v>
      </c>
      <c r="M228" s="336">
        <f t="shared" si="52"/>
        <v>0</v>
      </c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spans="1:26" ht="14.4">
      <c r="A229" s="326"/>
      <c r="B229" s="337" t="s">
        <v>321</v>
      </c>
      <c r="C229" s="227"/>
      <c r="D229" s="201"/>
      <c r="E229" s="201"/>
      <c r="F229" s="202">
        <f t="shared" si="48"/>
        <v>0</v>
      </c>
      <c r="G229" s="203">
        <v>11600</v>
      </c>
      <c r="H229" s="203">
        <v>15500</v>
      </c>
      <c r="I229" s="204"/>
      <c r="J229" s="205">
        <f t="shared" si="49"/>
        <v>0</v>
      </c>
      <c r="K229" s="205">
        <f t="shared" si="50"/>
        <v>0</v>
      </c>
      <c r="L229" s="319">
        <f t="shared" si="51"/>
        <v>0</v>
      </c>
      <c r="M229" s="336">
        <f t="shared" si="52"/>
        <v>0</v>
      </c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spans="1:26" ht="14.4">
      <c r="A230" s="326"/>
      <c r="B230" s="337" t="s">
        <v>322</v>
      </c>
      <c r="C230" s="229">
        <v>1</v>
      </c>
      <c r="D230" s="201"/>
      <c r="E230" s="201"/>
      <c r="F230" s="202">
        <f t="shared" si="48"/>
        <v>1</v>
      </c>
      <c r="G230" s="203">
        <v>31900</v>
      </c>
      <c r="H230" s="203">
        <v>40000</v>
      </c>
      <c r="I230" s="204"/>
      <c r="J230" s="205">
        <f t="shared" si="49"/>
        <v>0</v>
      </c>
      <c r="K230" s="205">
        <f t="shared" si="50"/>
        <v>0</v>
      </c>
      <c r="L230" s="319">
        <f t="shared" si="51"/>
        <v>31900</v>
      </c>
      <c r="M230" s="336">
        <f t="shared" si="52"/>
        <v>40000</v>
      </c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spans="1:26" ht="14.4">
      <c r="A231" s="326"/>
      <c r="B231" s="337" t="s">
        <v>323</v>
      </c>
      <c r="C231" s="227"/>
      <c r="D231" s="201"/>
      <c r="E231" s="201"/>
      <c r="F231" s="202">
        <f t="shared" si="48"/>
        <v>0</v>
      </c>
      <c r="G231" s="203">
        <v>50000</v>
      </c>
      <c r="H231" s="203">
        <v>62500</v>
      </c>
      <c r="I231" s="204"/>
      <c r="J231" s="205">
        <f t="shared" si="49"/>
        <v>0</v>
      </c>
      <c r="K231" s="205">
        <f t="shared" si="50"/>
        <v>0</v>
      </c>
      <c r="L231" s="319">
        <f t="shared" si="51"/>
        <v>0</v>
      </c>
      <c r="M231" s="336">
        <f t="shared" si="52"/>
        <v>0</v>
      </c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spans="1:26" ht="14.4">
      <c r="A232" s="326"/>
      <c r="B232" s="337" t="s">
        <v>324</v>
      </c>
      <c r="C232" s="227">
        <v>11.5</v>
      </c>
      <c r="D232" s="201"/>
      <c r="E232" s="201"/>
      <c r="F232" s="202">
        <f t="shared" si="48"/>
        <v>11.5</v>
      </c>
      <c r="G232" s="203">
        <v>20100</v>
      </c>
      <c r="H232" s="203">
        <v>25000</v>
      </c>
      <c r="I232" s="204"/>
      <c r="J232" s="205">
        <f t="shared" si="49"/>
        <v>0</v>
      </c>
      <c r="K232" s="205">
        <f t="shared" si="50"/>
        <v>0</v>
      </c>
      <c r="L232" s="319">
        <f t="shared" si="51"/>
        <v>231150</v>
      </c>
      <c r="M232" s="336">
        <f t="shared" si="52"/>
        <v>287500</v>
      </c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spans="1:26" ht="14.4">
      <c r="A233" s="326"/>
      <c r="B233" s="337" t="s">
        <v>325</v>
      </c>
      <c r="C233" s="227">
        <v>2</v>
      </c>
      <c r="D233" s="201"/>
      <c r="E233" s="201"/>
      <c r="F233" s="202">
        <f t="shared" si="48"/>
        <v>2</v>
      </c>
      <c r="G233" s="203">
        <v>20100</v>
      </c>
      <c r="H233" s="203">
        <v>25000</v>
      </c>
      <c r="I233" s="204"/>
      <c r="J233" s="205">
        <f t="shared" si="49"/>
        <v>0</v>
      </c>
      <c r="K233" s="205">
        <f t="shared" si="50"/>
        <v>0</v>
      </c>
      <c r="L233" s="319">
        <f t="shared" si="51"/>
        <v>40200</v>
      </c>
      <c r="M233" s="336">
        <f t="shared" si="52"/>
        <v>50000</v>
      </c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spans="1:26" ht="14.4">
      <c r="A234" s="326"/>
      <c r="B234" s="337" t="s">
        <v>326</v>
      </c>
      <c r="C234" s="227"/>
      <c r="D234" s="201"/>
      <c r="E234" s="201"/>
      <c r="F234" s="202">
        <f t="shared" si="48"/>
        <v>0</v>
      </c>
      <c r="G234" s="203">
        <v>43600</v>
      </c>
      <c r="H234" s="203">
        <v>50000</v>
      </c>
      <c r="I234" s="204"/>
      <c r="J234" s="205">
        <f t="shared" si="49"/>
        <v>0</v>
      </c>
      <c r="K234" s="205">
        <f t="shared" si="50"/>
        <v>0</v>
      </c>
      <c r="L234" s="319">
        <f t="shared" si="51"/>
        <v>0</v>
      </c>
      <c r="M234" s="336">
        <f t="shared" si="52"/>
        <v>0</v>
      </c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spans="1:26" ht="14.4">
      <c r="A235" s="326"/>
      <c r="B235" s="337" t="s">
        <v>327</v>
      </c>
      <c r="C235" s="227">
        <v>1.5</v>
      </c>
      <c r="D235" s="201"/>
      <c r="E235" s="201"/>
      <c r="F235" s="202">
        <f t="shared" si="48"/>
        <v>1.5</v>
      </c>
      <c r="G235" s="203">
        <v>34000</v>
      </c>
      <c r="H235" s="203">
        <v>40000</v>
      </c>
      <c r="I235" s="204"/>
      <c r="J235" s="205">
        <f t="shared" si="49"/>
        <v>0</v>
      </c>
      <c r="K235" s="205">
        <f t="shared" si="50"/>
        <v>0</v>
      </c>
      <c r="L235" s="319">
        <f t="shared" si="51"/>
        <v>51000</v>
      </c>
      <c r="M235" s="336">
        <f t="shared" si="52"/>
        <v>60000</v>
      </c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spans="1:26" ht="14.4">
      <c r="A236" s="326"/>
      <c r="B236" s="337" t="s">
        <v>328</v>
      </c>
      <c r="C236" s="229">
        <v>4</v>
      </c>
      <c r="D236" s="201"/>
      <c r="E236" s="201"/>
      <c r="F236" s="202">
        <f t="shared" si="48"/>
        <v>4</v>
      </c>
      <c r="G236" s="203">
        <v>25000</v>
      </c>
      <c r="H236" s="203">
        <v>28000</v>
      </c>
      <c r="I236" s="204"/>
      <c r="J236" s="205">
        <f t="shared" si="49"/>
        <v>0</v>
      </c>
      <c r="K236" s="205">
        <f t="shared" si="50"/>
        <v>0</v>
      </c>
      <c r="L236" s="319">
        <f t="shared" si="51"/>
        <v>100000</v>
      </c>
      <c r="M236" s="336">
        <f t="shared" si="52"/>
        <v>112000</v>
      </c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spans="1:26" ht="14.4">
      <c r="A237" s="326"/>
      <c r="B237" s="337" t="s">
        <v>329</v>
      </c>
      <c r="C237" s="227">
        <v>0.5</v>
      </c>
      <c r="D237" s="201"/>
      <c r="E237" s="201"/>
      <c r="F237" s="202">
        <f t="shared" si="48"/>
        <v>0.5</v>
      </c>
      <c r="G237" s="203">
        <v>20100</v>
      </c>
      <c r="H237" s="203">
        <v>25000</v>
      </c>
      <c r="I237" s="204"/>
      <c r="J237" s="205">
        <f t="shared" si="49"/>
        <v>0</v>
      </c>
      <c r="K237" s="205">
        <f t="shared" si="50"/>
        <v>0</v>
      </c>
      <c r="L237" s="319">
        <f t="shared" si="51"/>
        <v>10050</v>
      </c>
      <c r="M237" s="336">
        <f t="shared" si="52"/>
        <v>12500</v>
      </c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spans="1:26" ht="14.4">
      <c r="A238" s="326"/>
      <c r="B238" s="337" t="s">
        <v>330</v>
      </c>
      <c r="C238" s="227"/>
      <c r="D238" s="201"/>
      <c r="E238" s="201"/>
      <c r="F238" s="202">
        <f t="shared" si="48"/>
        <v>0</v>
      </c>
      <c r="G238" s="203">
        <v>50000</v>
      </c>
      <c r="H238" s="203">
        <v>62500</v>
      </c>
      <c r="I238" s="204"/>
      <c r="J238" s="205">
        <f t="shared" si="49"/>
        <v>0</v>
      </c>
      <c r="K238" s="205">
        <f t="shared" si="50"/>
        <v>0</v>
      </c>
      <c r="L238" s="319">
        <f t="shared" si="51"/>
        <v>0</v>
      </c>
      <c r="M238" s="336">
        <f t="shared" si="52"/>
        <v>0</v>
      </c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spans="1:26" ht="14.4">
      <c r="A239" s="326"/>
      <c r="B239" s="230" t="s">
        <v>331</v>
      </c>
      <c r="C239" s="227"/>
      <c r="D239" s="201"/>
      <c r="E239" s="201"/>
      <c r="F239" s="202">
        <f t="shared" si="48"/>
        <v>0</v>
      </c>
      <c r="G239" s="203">
        <v>6000</v>
      </c>
      <c r="H239" s="203">
        <v>8000</v>
      </c>
      <c r="I239" s="204"/>
      <c r="J239" s="205">
        <f t="shared" si="49"/>
        <v>0</v>
      </c>
      <c r="K239" s="205">
        <f t="shared" si="50"/>
        <v>0</v>
      </c>
      <c r="L239" s="319">
        <f t="shared" si="51"/>
        <v>0</v>
      </c>
      <c r="M239" s="336">
        <f t="shared" si="52"/>
        <v>0</v>
      </c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spans="1:26" ht="14.4">
      <c r="A240" s="326"/>
      <c r="B240" s="337" t="s">
        <v>332</v>
      </c>
      <c r="C240" s="227">
        <v>1</v>
      </c>
      <c r="D240" s="201"/>
      <c r="E240" s="201"/>
      <c r="F240" s="202">
        <f t="shared" si="48"/>
        <v>1</v>
      </c>
      <c r="G240" s="203">
        <v>36000</v>
      </c>
      <c r="H240" s="203">
        <v>45000</v>
      </c>
      <c r="I240" s="204"/>
      <c r="J240" s="205">
        <f t="shared" si="49"/>
        <v>0</v>
      </c>
      <c r="K240" s="205">
        <f t="shared" si="50"/>
        <v>0</v>
      </c>
      <c r="L240" s="319">
        <f t="shared" si="51"/>
        <v>36000</v>
      </c>
      <c r="M240" s="336">
        <f t="shared" si="52"/>
        <v>45000</v>
      </c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spans="1:26" ht="14.4">
      <c r="A241" s="326"/>
      <c r="B241" s="337" t="s">
        <v>333</v>
      </c>
      <c r="C241" s="227"/>
      <c r="D241" s="201"/>
      <c r="E241" s="201"/>
      <c r="F241" s="202">
        <f t="shared" si="48"/>
        <v>0</v>
      </c>
      <c r="G241" s="203">
        <v>28800</v>
      </c>
      <c r="H241" s="203">
        <v>36000</v>
      </c>
      <c r="I241" s="204"/>
      <c r="J241" s="205">
        <f t="shared" si="49"/>
        <v>0</v>
      </c>
      <c r="K241" s="205">
        <f t="shared" si="50"/>
        <v>0</v>
      </c>
      <c r="L241" s="319">
        <f t="shared" si="51"/>
        <v>0</v>
      </c>
      <c r="M241" s="336">
        <f t="shared" si="52"/>
        <v>0</v>
      </c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spans="1:26" ht="14.4">
      <c r="A242" s="326"/>
      <c r="B242" s="337" t="s">
        <v>334</v>
      </c>
      <c r="C242" s="227">
        <v>5.5</v>
      </c>
      <c r="D242" s="201"/>
      <c r="E242" s="201"/>
      <c r="F242" s="202">
        <f t="shared" si="48"/>
        <v>5.5</v>
      </c>
      <c r="G242" s="203">
        <v>31900</v>
      </c>
      <c r="H242" s="203">
        <v>40000</v>
      </c>
      <c r="I242" s="204"/>
      <c r="J242" s="205">
        <f t="shared" si="49"/>
        <v>0</v>
      </c>
      <c r="K242" s="205">
        <f t="shared" si="50"/>
        <v>0</v>
      </c>
      <c r="L242" s="319">
        <f t="shared" si="51"/>
        <v>175450</v>
      </c>
      <c r="M242" s="336">
        <f t="shared" si="52"/>
        <v>220000</v>
      </c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spans="1:26" ht="14.4">
      <c r="A243" s="326"/>
      <c r="B243" s="337" t="s">
        <v>335</v>
      </c>
      <c r="C243" s="227"/>
      <c r="D243" s="201"/>
      <c r="E243" s="201"/>
      <c r="F243" s="202">
        <f t="shared" si="48"/>
        <v>0</v>
      </c>
      <c r="G243" s="203">
        <v>50000</v>
      </c>
      <c r="H243" s="203">
        <v>62500</v>
      </c>
      <c r="I243" s="204"/>
      <c r="J243" s="205">
        <f t="shared" si="49"/>
        <v>0</v>
      </c>
      <c r="K243" s="205">
        <f t="shared" si="50"/>
        <v>0</v>
      </c>
      <c r="L243" s="319">
        <f t="shared" si="51"/>
        <v>0</v>
      </c>
      <c r="M243" s="336">
        <f t="shared" si="52"/>
        <v>0</v>
      </c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spans="1:26" ht="14.4">
      <c r="A244" s="326"/>
      <c r="B244" s="337" t="s">
        <v>336</v>
      </c>
      <c r="C244" s="227">
        <v>2</v>
      </c>
      <c r="D244" s="201"/>
      <c r="E244" s="201"/>
      <c r="F244" s="202">
        <f t="shared" si="48"/>
        <v>2</v>
      </c>
      <c r="G244" s="203">
        <v>16400</v>
      </c>
      <c r="H244" s="203">
        <v>25000</v>
      </c>
      <c r="I244" s="204"/>
      <c r="J244" s="205">
        <f t="shared" si="49"/>
        <v>0</v>
      </c>
      <c r="K244" s="205">
        <f t="shared" si="50"/>
        <v>0</v>
      </c>
      <c r="L244" s="319">
        <f t="shared" si="51"/>
        <v>32800</v>
      </c>
      <c r="M244" s="336">
        <f t="shared" si="52"/>
        <v>50000</v>
      </c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spans="1:26" ht="14.4">
      <c r="A245" s="326"/>
      <c r="B245" s="337" t="s">
        <v>337</v>
      </c>
      <c r="C245" s="227">
        <v>2.5</v>
      </c>
      <c r="D245" s="201"/>
      <c r="E245" s="201"/>
      <c r="F245" s="202">
        <f t="shared" si="48"/>
        <v>2.5</v>
      </c>
      <c r="G245" s="203">
        <v>38300</v>
      </c>
      <c r="H245" s="203">
        <v>45000</v>
      </c>
      <c r="I245" s="204"/>
      <c r="J245" s="205">
        <f t="shared" si="49"/>
        <v>0</v>
      </c>
      <c r="K245" s="205">
        <f t="shared" si="50"/>
        <v>0</v>
      </c>
      <c r="L245" s="319">
        <f t="shared" si="51"/>
        <v>95750</v>
      </c>
      <c r="M245" s="336">
        <f t="shared" si="52"/>
        <v>112500</v>
      </c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spans="1:26" ht="14.4">
      <c r="A246" s="326"/>
      <c r="B246" s="337" t="s">
        <v>338</v>
      </c>
      <c r="C246" s="227"/>
      <c r="D246" s="201"/>
      <c r="E246" s="201"/>
      <c r="F246" s="202">
        <f t="shared" si="48"/>
        <v>0</v>
      </c>
      <c r="G246" s="203">
        <v>10500</v>
      </c>
      <c r="H246" s="338">
        <v>15000</v>
      </c>
      <c r="I246" s="204"/>
      <c r="J246" s="205">
        <f t="shared" si="49"/>
        <v>0</v>
      </c>
      <c r="K246" s="205">
        <f t="shared" si="50"/>
        <v>0</v>
      </c>
      <c r="L246" s="319">
        <f t="shared" si="51"/>
        <v>0</v>
      </c>
      <c r="M246" s="336">
        <f t="shared" si="52"/>
        <v>0</v>
      </c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spans="1:26" ht="14.4">
      <c r="A247" s="326"/>
      <c r="B247" s="337" t="s">
        <v>339</v>
      </c>
      <c r="C247" s="227"/>
      <c r="D247" s="201"/>
      <c r="E247" s="201"/>
      <c r="F247" s="202">
        <f t="shared" si="48"/>
        <v>0</v>
      </c>
      <c r="G247" s="338">
        <v>14000</v>
      </c>
      <c r="H247" s="338">
        <v>20000</v>
      </c>
      <c r="I247" s="204"/>
      <c r="J247" s="205">
        <f t="shared" si="49"/>
        <v>0</v>
      </c>
      <c r="K247" s="205">
        <f t="shared" si="50"/>
        <v>0</v>
      </c>
      <c r="L247" s="319">
        <f t="shared" si="51"/>
        <v>0</v>
      </c>
      <c r="M247" s="336">
        <f t="shared" si="52"/>
        <v>0</v>
      </c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spans="1:26" ht="14.4">
      <c r="A248" s="326"/>
      <c r="B248" s="337" t="s">
        <v>340</v>
      </c>
      <c r="C248" s="227">
        <v>2.5</v>
      </c>
      <c r="D248" s="201"/>
      <c r="E248" s="201"/>
      <c r="F248" s="202">
        <f t="shared" si="48"/>
        <v>2.5</v>
      </c>
      <c r="G248" s="239">
        <v>34900</v>
      </c>
      <c r="H248" s="239">
        <v>37500</v>
      </c>
      <c r="I248" s="213"/>
      <c r="J248" s="205">
        <f t="shared" si="49"/>
        <v>0</v>
      </c>
      <c r="K248" s="205">
        <f t="shared" si="50"/>
        <v>0</v>
      </c>
      <c r="L248" s="319">
        <f t="shared" si="51"/>
        <v>87250</v>
      </c>
      <c r="M248" s="336">
        <f t="shared" si="52"/>
        <v>93750</v>
      </c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spans="1:26" ht="14.4">
      <c r="A249" s="339"/>
      <c r="B249" s="340"/>
      <c r="C249" s="341"/>
      <c r="D249" s="341"/>
      <c r="E249" s="342">
        <f t="shared" ref="E249:H249" si="53">SUM(E180:E248)</f>
        <v>0</v>
      </c>
      <c r="F249" s="342">
        <f t="shared" si="53"/>
        <v>514.5</v>
      </c>
      <c r="G249" s="343">
        <f t="shared" si="53"/>
        <v>1814000</v>
      </c>
      <c r="H249" s="343">
        <f t="shared" si="53"/>
        <v>2153700</v>
      </c>
      <c r="I249" s="344"/>
      <c r="J249" s="345">
        <f t="shared" ref="J249:K249" si="54">SUM(J180:J248)</f>
        <v>0</v>
      </c>
      <c r="K249" s="345">
        <f t="shared" si="54"/>
        <v>0</v>
      </c>
      <c r="L249" s="346">
        <f>SUM(L189:L248)</f>
        <v>12956250</v>
      </c>
      <c r="M249" s="347">
        <f>SUM(M180:M248)</f>
        <v>17567700</v>
      </c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spans="1:26" ht="14.4">
      <c r="A250" s="671" t="s">
        <v>341</v>
      </c>
      <c r="B250" s="230" t="s">
        <v>342</v>
      </c>
      <c r="C250" s="229">
        <v>4</v>
      </c>
      <c r="D250" s="201"/>
      <c r="E250" s="321"/>
      <c r="F250" s="202">
        <f t="shared" ref="F250:F330" si="55">+C250+D250-E250</f>
        <v>4</v>
      </c>
      <c r="G250" s="203">
        <v>22400</v>
      </c>
      <c r="H250" s="203">
        <v>25000</v>
      </c>
      <c r="I250" s="224"/>
      <c r="J250" s="205">
        <f t="shared" ref="J250:J305" si="56">+I250*H250</f>
        <v>0</v>
      </c>
      <c r="K250" s="205">
        <f t="shared" ref="K250:K312" si="57">+(H250-G250)*I250</f>
        <v>0</v>
      </c>
      <c r="L250" s="323">
        <f t="shared" ref="L250:L312" si="58">+G250*F250</f>
        <v>89600</v>
      </c>
      <c r="M250" s="348">
        <f t="shared" ref="M250:M312" si="59">F250*H250</f>
        <v>100000</v>
      </c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spans="1:26" ht="14.4">
      <c r="A251" s="672"/>
      <c r="B251" s="230" t="s">
        <v>343</v>
      </c>
      <c r="C251" s="227">
        <v>4</v>
      </c>
      <c r="D251" s="201"/>
      <c r="E251" s="321"/>
      <c r="F251" s="202">
        <f t="shared" si="55"/>
        <v>4</v>
      </c>
      <c r="G251" s="203">
        <v>15000</v>
      </c>
      <c r="H251" s="203">
        <v>17000</v>
      </c>
      <c r="I251" s="204"/>
      <c r="J251" s="205">
        <f t="shared" si="56"/>
        <v>0</v>
      </c>
      <c r="K251" s="205">
        <f t="shared" si="57"/>
        <v>0</v>
      </c>
      <c r="L251" s="323">
        <f t="shared" si="58"/>
        <v>60000</v>
      </c>
      <c r="M251" s="348">
        <f t="shared" si="59"/>
        <v>68000</v>
      </c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spans="1:26" ht="14.4">
      <c r="A252" s="672"/>
      <c r="B252" s="211" t="s">
        <v>344</v>
      </c>
      <c r="C252" s="227">
        <v>2</v>
      </c>
      <c r="D252" s="201"/>
      <c r="E252" s="321"/>
      <c r="F252" s="202">
        <f t="shared" si="55"/>
        <v>2</v>
      </c>
      <c r="G252" s="203">
        <v>16920</v>
      </c>
      <c r="H252" s="203">
        <v>19000</v>
      </c>
      <c r="I252" s="204"/>
      <c r="J252" s="205">
        <f t="shared" si="56"/>
        <v>0</v>
      </c>
      <c r="K252" s="205">
        <f t="shared" si="57"/>
        <v>0</v>
      </c>
      <c r="L252" s="323">
        <f t="shared" si="58"/>
        <v>33840</v>
      </c>
      <c r="M252" s="348">
        <f t="shared" si="59"/>
        <v>38000</v>
      </c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spans="1:26" ht="14.4">
      <c r="A253" s="672"/>
      <c r="B253" s="211" t="s">
        <v>345</v>
      </c>
      <c r="C253" s="229">
        <v>10</v>
      </c>
      <c r="D253" s="201"/>
      <c r="E253" s="321"/>
      <c r="F253" s="202">
        <f t="shared" si="55"/>
        <v>10</v>
      </c>
      <c r="G253" s="203">
        <v>9000</v>
      </c>
      <c r="H253" s="203">
        <v>10000</v>
      </c>
      <c r="I253" s="204"/>
      <c r="J253" s="205">
        <f t="shared" si="56"/>
        <v>0</v>
      </c>
      <c r="K253" s="205">
        <f t="shared" si="57"/>
        <v>0</v>
      </c>
      <c r="L253" s="323">
        <f t="shared" si="58"/>
        <v>90000</v>
      </c>
      <c r="M253" s="348">
        <f t="shared" si="59"/>
        <v>100000</v>
      </c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spans="1:26" ht="14.4">
      <c r="A254" s="672"/>
      <c r="B254" s="230" t="s">
        <v>346</v>
      </c>
      <c r="C254" s="229"/>
      <c r="D254" s="201"/>
      <c r="E254" s="321"/>
      <c r="F254" s="202">
        <f t="shared" si="55"/>
        <v>0</v>
      </c>
      <c r="G254" s="203">
        <v>15600</v>
      </c>
      <c r="H254" s="203">
        <v>16500</v>
      </c>
      <c r="I254" s="204"/>
      <c r="J254" s="205">
        <f t="shared" si="56"/>
        <v>0</v>
      </c>
      <c r="K254" s="205">
        <f t="shared" si="57"/>
        <v>0</v>
      </c>
      <c r="L254" s="323">
        <f t="shared" si="58"/>
        <v>0</v>
      </c>
      <c r="M254" s="348">
        <f t="shared" si="59"/>
        <v>0</v>
      </c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spans="1:26" ht="14.4">
      <c r="A255" s="672"/>
      <c r="B255" s="230" t="s">
        <v>347</v>
      </c>
      <c r="C255" s="227">
        <v>6</v>
      </c>
      <c r="D255" s="201"/>
      <c r="E255" s="321"/>
      <c r="F255" s="202">
        <f t="shared" si="55"/>
        <v>6</v>
      </c>
      <c r="G255" s="203">
        <v>36000</v>
      </c>
      <c r="H255" s="203">
        <v>40600</v>
      </c>
      <c r="I255" s="204"/>
      <c r="J255" s="205">
        <f t="shared" si="56"/>
        <v>0</v>
      </c>
      <c r="K255" s="205">
        <f t="shared" si="57"/>
        <v>0</v>
      </c>
      <c r="L255" s="323">
        <f t="shared" si="58"/>
        <v>216000</v>
      </c>
      <c r="M255" s="348">
        <f t="shared" si="59"/>
        <v>243600</v>
      </c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spans="1:26" ht="14.4">
      <c r="A256" s="672"/>
      <c r="B256" s="230" t="s">
        <v>348</v>
      </c>
      <c r="C256" s="227">
        <v>3</v>
      </c>
      <c r="D256" s="201"/>
      <c r="E256" s="321"/>
      <c r="F256" s="202">
        <f t="shared" si="55"/>
        <v>3</v>
      </c>
      <c r="G256" s="203">
        <v>46000</v>
      </c>
      <c r="H256" s="203">
        <v>51000</v>
      </c>
      <c r="I256" s="204"/>
      <c r="J256" s="205">
        <f t="shared" si="56"/>
        <v>0</v>
      </c>
      <c r="K256" s="205">
        <f t="shared" si="57"/>
        <v>0</v>
      </c>
      <c r="L256" s="323">
        <f t="shared" si="58"/>
        <v>138000</v>
      </c>
      <c r="M256" s="348">
        <f t="shared" si="59"/>
        <v>153000</v>
      </c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 spans="1:26" ht="14.4">
      <c r="A257" s="672"/>
      <c r="B257" s="349" t="s">
        <v>349</v>
      </c>
      <c r="C257" s="229"/>
      <c r="D257" s="201"/>
      <c r="E257" s="321"/>
      <c r="F257" s="202">
        <f t="shared" si="55"/>
        <v>0</v>
      </c>
      <c r="G257" s="203">
        <v>45000</v>
      </c>
      <c r="H257" s="203">
        <v>50000</v>
      </c>
      <c r="I257" s="204"/>
      <c r="J257" s="205">
        <f t="shared" si="56"/>
        <v>0</v>
      </c>
      <c r="K257" s="205">
        <f t="shared" si="57"/>
        <v>0</v>
      </c>
      <c r="L257" s="323">
        <f t="shared" si="58"/>
        <v>0</v>
      </c>
      <c r="M257" s="348">
        <f t="shared" si="59"/>
        <v>0</v>
      </c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 spans="1:26" ht="14.4">
      <c r="A258" s="672"/>
      <c r="B258" s="230" t="s">
        <v>350</v>
      </c>
      <c r="C258" s="229"/>
      <c r="D258" s="201"/>
      <c r="E258" s="321"/>
      <c r="F258" s="202">
        <f t="shared" si="55"/>
        <v>0</v>
      </c>
      <c r="G258" s="203">
        <v>25000</v>
      </c>
      <c r="H258" s="203">
        <v>25000</v>
      </c>
      <c r="I258" s="204"/>
      <c r="J258" s="205">
        <f t="shared" si="56"/>
        <v>0</v>
      </c>
      <c r="K258" s="205">
        <f t="shared" si="57"/>
        <v>0</v>
      </c>
      <c r="L258" s="323">
        <f t="shared" si="58"/>
        <v>0</v>
      </c>
      <c r="M258" s="348">
        <f t="shared" si="59"/>
        <v>0</v>
      </c>
      <c r="N258" s="191" t="s">
        <v>351</v>
      </c>
      <c r="O258" s="191" t="s">
        <v>124</v>
      </c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 spans="1:26" ht="14.4">
      <c r="A259" s="672"/>
      <c r="B259" s="230" t="s">
        <v>352</v>
      </c>
      <c r="C259" s="227">
        <v>5</v>
      </c>
      <c r="D259" s="201"/>
      <c r="E259" s="321"/>
      <c r="F259" s="202">
        <f t="shared" si="55"/>
        <v>5</v>
      </c>
      <c r="G259" s="203">
        <v>44000</v>
      </c>
      <c r="H259" s="203">
        <v>50000</v>
      </c>
      <c r="I259" s="204"/>
      <c r="J259" s="205">
        <f t="shared" si="56"/>
        <v>0</v>
      </c>
      <c r="K259" s="205">
        <f t="shared" si="57"/>
        <v>0</v>
      </c>
      <c r="L259" s="323">
        <f t="shared" si="58"/>
        <v>220000</v>
      </c>
      <c r="M259" s="348">
        <f t="shared" si="59"/>
        <v>250000</v>
      </c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 spans="1:26" ht="14.4">
      <c r="A260" s="672"/>
      <c r="B260" s="211" t="s">
        <v>353</v>
      </c>
      <c r="C260" s="229"/>
      <c r="D260" s="201"/>
      <c r="E260" s="321"/>
      <c r="F260" s="202">
        <f t="shared" si="55"/>
        <v>0</v>
      </c>
      <c r="G260" s="203">
        <v>3333</v>
      </c>
      <c r="H260" s="203">
        <v>3500</v>
      </c>
      <c r="I260" s="204"/>
      <c r="J260" s="205">
        <f t="shared" si="56"/>
        <v>0</v>
      </c>
      <c r="K260" s="205">
        <f t="shared" si="57"/>
        <v>0</v>
      </c>
      <c r="L260" s="323">
        <f t="shared" si="58"/>
        <v>0</v>
      </c>
      <c r="M260" s="348">
        <f t="shared" si="59"/>
        <v>0</v>
      </c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 spans="1:26" ht="14.4">
      <c r="A261" s="672"/>
      <c r="B261" s="230" t="s">
        <v>354</v>
      </c>
      <c r="C261" s="227">
        <v>14</v>
      </c>
      <c r="D261" s="201"/>
      <c r="E261" s="321"/>
      <c r="F261" s="202">
        <f t="shared" si="55"/>
        <v>14</v>
      </c>
      <c r="G261" s="203">
        <v>6500</v>
      </c>
      <c r="H261" s="203">
        <v>7500</v>
      </c>
      <c r="I261" s="204"/>
      <c r="J261" s="205">
        <f t="shared" si="56"/>
        <v>0</v>
      </c>
      <c r="K261" s="205">
        <f t="shared" si="57"/>
        <v>0</v>
      </c>
      <c r="L261" s="323">
        <f t="shared" si="58"/>
        <v>91000</v>
      </c>
      <c r="M261" s="348">
        <f t="shared" si="59"/>
        <v>105000</v>
      </c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spans="1:26" ht="14.4">
      <c r="A262" s="672"/>
      <c r="B262" s="230" t="s">
        <v>355</v>
      </c>
      <c r="C262" s="227">
        <v>14</v>
      </c>
      <c r="D262" s="201"/>
      <c r="E262" s="321"/>
      <c r="F262" s="202">
        <f t="shared" si="55"/>
        <v>14</v>
      </c>
      <c r="G262" s="203">
        <v>6700</v>
      </c>
      <c r="H262" s="203">
        <v>7500</v>
      </c>
      <c r="I262" s="204"/>
      <c r="J262" s="205">
        <f t="shared" si="56"/>
        <v>0</v>
      </c>
      <c r="K262" s="205">
        <f t="shared" si="57"/>
        <v>0</v>
      </c>
      <c r="L262" s="323">
        <f t="shared" si="58"/>
        <v>93800</v>
      </c>
      <c r="M262" s="348">
        <f t="shared" si="59"/>
        <v>105000</v>
      </c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spans="1:26" ht="14.4">
      <c r="A263" s="672"/>
      <c r="B263" s="230" t="s">
        <v>356</v>
      </c>
      <c r="C263" s="227">
        <f>26+35</f>
        <v>61</v>
      </c>
      <c r="D263" s="201"/>
      <c r="E263" s="321"/>
      <c r="F263" s="202">
        <f t="shared" si="55"/>
        <v>61</v>
      </c>
      <c r="G263" s="203">
        <v>10800</v>
      </c>
      <c r="H263" s="203">
        <v>13000</v>
      </c>
      <c r="I263" s="204"/>
      <c r="J263" s="205">
        <f t="shared" si="56"/>
        <v>0</v>
      </c>
      <c r="K263" s="205">
        <f t="shared" si="57"/>
        <v>0</v>
      </c>
      <c r="L263" s="323">
        <f t="shared" si="58"/>
        <v>658800</v>
      </c>
      <c r="M263" s="348">
        <f t="shared" si="59"/>
        <v>793000</v>
      </c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spans="1:26" ht="14.4">
      <c r="A264" s="672"/>
      <c r="B264" s="230" t="s">
        <v>357</v>
      </c>
      <c r="C264" s="227">
        <v>37</v>
      </c>
      <c r="D264" s="201"/>
      <c r="E264" s="321"/>
      <c r="F264" s="202">
        <f t="shared" si="55"/>
        <v>37</v>
      </c>
      <c r="G264" s="203">
        <v>2000</v>
      </c>
      <c r="H264" s="203">
        <v>3000</v>
      </c>
      <c r="I264" s="204"/>
      <c r="J264" s="205">
        <f t="shared" si="56"/>
        <v>0</v>
      </c>
      <c r="K264" s="205">
        <f t="shared" si="57"/>
        <v>0</v>
      </c>
      <c r="L264" s="323">
        <f t="shared" si="58"/>
        <v>74000</v>
      </c>
      <c r="M264" s="348">
        <f t="shared" si="59"/>
        <v>111000</v>
      </c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spans="1:26" ht="14.4">
      <c r="A265" s="672"/>
      <c r="B265" s="230" t="s">
        <v>358</v>
      </c>
      <c r="C265" s="227">
        <f>45+1</f>
        <v>46</v>
      </c>
      <c r="D265" s="201"/>
      <c r="E265" s="321"/>
      <c r="F265" s="202">
        <f t="shared" si="55"/>
        <v>46</v>
      </c>
      <c r="G265" s="203">
        <v>24000</v>
      </c>
      <c r="H265" s="203">
        <v>27700</v>
      </c>
      <c r="I265" s="204"/>
      <c r="J265" s="205">
        <f t="shared" si="56"/>
        <v>0</v>
      </c>
      <c r="K265" s="205">
        <f t="shared" si="57"/>
        <v>0</v>
      </c>
      <c r="L265" s="323">
        <f t="shared" si="58"/>
        <v>1104000</v>
      </c>
      <c r="M265" s="348">
        <f t="shared" si="59"/>
        <v>1274200</v>
      </c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spans="1:26" ht="14.4">
      <c r="A266" s="672"/>
      <c r="B266" s="350" t="s">
        <v>359</v>
      </c>
      <c r="C266" s="227">
        <f>12+11</f>
        <v>23</v>
      </c>
      <c r="D266" s="201"/>
      <c r="E266" s="321"/>
      <c r="F266" s="202">
        <f t="shared" si="55"/>
        <v>23</v>
      </c>
      <c r="G266" s="351">
        <v>27000</v>
      </c>
      <c r="H266" s="351">
        <v>32000</v>
      </c>
      <c r="I266" s="204"/>
      <c r="J266" s="205">
        <f t="shared" si="56"/>
        <v>0</v>
      </c>
      <c r="K266" s="205">
        <f t="shared" si="57"/>
        <v>0</v>
      </c>
      <c r="L266" s="323">
        <f t="shared" si="58"/>
        <v>621000</v>
      </c>
      <c r="M266" s="348">
        <f t="shared" si="59"/>
        <v>736000</v>
      </c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spans="1:26" ht="14.4">
      <c r="A267" s="672"/>
      <c r="B267" s="230" t="s">
        <v>360</v>
      </c>
      <c r="C267" s="227">
        <v>5</v>
      </c>
      <c r="D267" s="201"/>
      <c r="E267" s="321"/>
      <c r="F267" s="202">
        <f t="shared" si="55"/>
        <v>5</v>
      </c>
      <c r="G267" s="203">
        <v>18000</v>
      </c>
      <c r="H267" s="203">
        <v>20000</v>
      </c>
      <c r="I267" s="204"/>
      <c r="J267" s="205">
        <f t="shared" si="56"/>
        <v>0</v>
      </c>
      <c r="K267" s="205">
        <f t="shared" si="57"/>
        <v>0</v>
      </c>
      <c r="L267" s="323">
        <f t="shared" si="58"/>
        <v>90000</v>
      </c>
      <c r="M267" s="348">
        <f t="shared" si="59"/>
        <v>100000</v>
      </c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 spans="1:26" ht="14.4">
      <c r="A268" s="672"/>
      <c r="B268" s="230" t="s">
        <v>96</v>
      </c>
      <c r="C268" s="227">
        <v>21</v>
      </c>
      <c r="D268" s="201"/>
      <c r="E268" s="321"/>
      <c r="F268" s="202">
        <f t="shared" si="55"/>
        <v>21</v>
      </c>
      <c r="G268" s="203">
        <v>12000</v>
      </c>
      <c r="H268" s="203">
        <v>13500</v>
      </c>
      <c r="I268" s="204"/>
      <c r="J268" s="205">
        <f t="shared" si="56"/>
        <v>0</v>
      </c>
      <c r="K268" s="205">
        <f t="shared" si="57"/>
        <v>0</v>
      </c>
      <c r="L268" s="323">
        <f t="shared" si="58"/>
        <v>252000</v>
      </c>
      <c r="M268" s="348">
        <f t="shared" si="59"/>
        <v>283500</v>
      </c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 spans="1:26" ht="14.4">
      <c r="A269" s="672"/>
      <c r="B269" s="230" t="s">
        <v>361</v>
      </c>
      <c r="C269" s="229">
        <v>52</v>
      </c>
      <c r="D269" s="201"/>
      <c r="E269" s="321"/>
      <c r="F269" s="202">
        <f t="shared" si="55"/>
        <v>52</v>
      </c>
      <c r="G269" s="203">
        <v>37000</v>
      </c>
      <c r="H269" s="203">
        <v>46000</v>
      </c>
      <c r="I269" s="204"/>
      <c r="J269" s="205">
        <f t="shared" si="56"/>
        <v>0</v>
      </c>
      <c r="K269" s="205">
        <f t="shared" si="57"/>
        <v>0</v>
      </c>
      <c r="L269" s="323">
        <f t="shared" si="58"/>
        <v>1924000</v>
      </c>
      <c r="M269" s="348">
        <f t="shared" si="59"/>
        <v>2392000</v>
      </c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 spans="1:26" ht="14.4">
      <c r="A270" s="672"/>
      <c r="B270" s="230" t="s">
        <v>362</v>
      </c>
      <c r="C270" s="227">
        <v>12</v>
      </c>
      <c r="D270" s="201"/>
      <c r="E270" s="321"/>
      <c r="F270" s="202">
        <f t="shared" si="55"/>
        <v>12</v>
      </c>
      <c r="G270" s="203">
        <v>18000</v>
      </c>
      <c r="H270" s="203">
        <v>20000</v>
      </c>
      <c r="I270" s="204"/>
      <c r="J270" s="205">
        <f t="shared" si="56"/>
        <v>0</v>
      </c>
      <c r="K270" s="205">
        <f t="shared" si="57"/>
        <v>0</v>
      </c>
      <c r="L270" s="323">
        <f t="shared" si="58"/>
        <v>216000</v>
      </c>
      <c r="M270" s="348">
        <f t="shared" si="59"/>
        <v>240000</v>
      </c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 spans="1:26" ht="14.4">
      <c r="A271" s="672"/>
      <c r="B271" s="230" t="s">
        <v>363</v>
      </c>
      <c r="C271" s="229">
        <v>101</v>
      </c>
      <c r="D271" s="201"/>
      <c r="E271" s="321"/>
      <c r="F271" s="202">
        <f t="shared" si="55"/>
        <v>101</v>
      </c>
      <c r="G271" s="203">
        <v>10400</v>
      </c>
      <c r="H271" s="203">
        <v>12000</v>
      </c>
      <c r="I271" s="204"/>
      <c r="J271" s="205">
        <f t="shared" si="56"/>
        <v>0</v>
      </c>
      <c r="K271" s="205">
        <f t="shared" si="57"/>
        <v>0</v>
      </c>
      <c r="L271" s="323">
        <f t="shared" si="58"/>
        <v>1050400</v>
      </c>
      <c r="M271" s="348">
        <f t="shared" si="59"/>
        <v>1212000</v>
      </c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 spans="1:26" ht="14.4">
      <c r="A272" s="672"/>
      <c r="B272" s="230" t="s">
        <v>364</v>
      </c>
      <c r="C272" s="227">
        <v>14</v>
      </c>
      <c r="D272" s="201"/>
      <c r="E272" s="321"/>
      <c r="F272" s="202">
        <f t="shared" si="55"/>
        <v>14</v>
      </c>
      <c r="G272" s="203">
        <v>31400</v>
      </c>
      <c r="H272" s="203">
        <v>35000</v>
      </c>
      <c r="I272" s="204"/>
      <c r="J272" s="205">
        <f t="shared" si="56"/>
        <v>0</v>
      </c>
      <c r="K272" s="205">
        <f t="shared" si="57"/>
        <v>0</v>
      </c>
      <c r="L272" s="323">
        <f t="shared" si="58"/>
        <v>439600</v>
      </c>
      <c r="M272" s="348">
        <f t="shared" si="59"/>
        <v>490000</v>
      </c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 spans="1:26" ht="14.4">
      <c r="A273" s="672"/>
      <c r="B273" s="352" t="s">
        <v>365</v>
      </c>
      <c r="C273" s="227">
        <f>20+44.5</f>
        <v>64.5</v>
      </c>
      <c r="D273" s="201"/>
      <c r="E273" s="321"/>
      <c r="F273" s="202">
        <f t="shared" si="55"/>
        <v>64.5</v>
      </c>
      <c r="G273" s="203">
        <v>32000</v>
      </c>
      <c r="H273" s="203">
        <v>37000</v>
      </c>
      <c r="I273" s="204"/>
      <c r="J273" s="205">
        <f t="shared" si="56"/>
        <v>0</v>
      </c>
      <c r="K273" s="205">
        <f t="shared" si="57"/>
        <v>0</v>
      </c>
      <c r="L273" s="323">
        <f t="shared" si="58"/>
        <v>2064000</v>
      </c>
      <c r="M273" s="348">
        <f t="shared" si="59"/>
        <v>2386500</v>
      </c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 spans="1:26" ht="14.4">
      <c r="A274" s="672"/>
      <c r="B274" s="230" t="s">
        <v>366</v>
      </c>
      <c r="C274" s="229"/>
      <c r="D274" s="201"/>
      <c r="E274" s="321"/>
      <c r="F274" s="202">
        <f t="shared" si="55"/>
        <v>0</v>
      </c>
      <c r="G274" s="203">
        <v>40000</v>
      </c>
      <c r="H274" s="203">
        <v>45000</v>
      </c>
      <c r="I274" s="204"/>
      <c r="J274" s="205">
        <f t="shared" si="56"/>
        <v>0</v>
      </c>
      <c r="K274" s="205">
        <f t="shared" si="57"/>
        <v>0</v>
      </c>
      <c r="L274" s="323">
        <f t="shared" si="58"/>
        <v>0</v>
      </c>
      <c r="M274" s="348">
        <f t="shared" si="59"/>
        <v>0</v>
      </c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 spans="1:26" ht="14.4">
      <c r="A275" s="672"/>
      <c r="B275" s="230" t="s">
        <v>367</v>
      </c>
      <c r="C275" s="227">
        <v>8</v>
      </c>
      <c r="D275" s="201"/>
      <c r="E275" s="321"/>
      <c r="F275" s="202">
        <f t="shared" si="55"/>
        <v>8</v>
      </c>
      <c r="G275" s="203">
        <v>11000</v>
      </c>
      <c r="H275" s="203">
        <v>12000</v>
      </c>
      <c r="I275" s="204"/>
      <c r="J275" s="205">
        <f t="shared" si="56"/>
        <v>0</v>
      </c>
      <c r="K275" s="205">
        <f t="shared" si="57"/>
        <v>0</v>
      </c>
      <c r="L275" s="323">
        <f t="shared" si="58"/>
        <v>88000</v>
      </c>
      <c r="M275" s="348">
        <f t="shared" si="59"/>
        <v>96000</v>
      </c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1:26" ht="14.4">
      <c r="A276" s="672"/>
      <c r="B276" s="211" t="s">
        <v>368</v>
      </c>
      <c r="C276" s="229">
        <v>7</v>
      </c>
      <c r="D276" s="201"/>
      <c r="E276" s="321"/>
      <c r="F276" s="202">
        <f t="shared" si="55"/>
        <v>7</v>
      </c>
      <c r="G276" s="203">
        <v>15600</v>
      </c>
      <c r="H276" s="203">
        <v>17600</v>
      </c>
      <c r="I276" s="204"/>
      <c r="J276" s="205">
        <f t="shared" si="56"/>
        <v>0</v>
      </c>
      <c r="K276" s="205">
        <f t="shared" si="57"/>
        <v>0</v>
      </c>
      <c r="L276" s="323">
        <f t="shared" si="58"/>
        <v>109200</v>
      </c>
      <c r="M276" s="348">
        <f t="shared" si="59"/>
        <v>123200</v>
      </c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1:26" ht="14.4">
      <c r="A277" s="672"/>
      <c r="B277" s="211" t="s">
        <v>369</v>
      </c>
      <c r="C277" s="229">
        <v>4</v>
      </c>
      <c r="D277" s="201"/>
      <c r="E277" s="321"/>
      <c r="F277" s="202">
        <f t="shared" si="55"/>
        <v>4</v>
      </c>
      <c r="G277" s="203">
        <v>20700</v>
      </c>
      <c r="H277" s="203">
        <v>21700</v>
      </c>
      <c r="I277" s="204"/>
      <c r="J277" s="205">
        <f t="shared" si="56"/>
        <v>0</v>
      </c>
      <c r="K277" s="205">
        <f t="shared" si="57"/>
        <v>0</v>
      </c>
      <c r="L277" s="323">
        <f t="shared" si="58"/>
        <v>82800</v>
      </c>
      <c r="M277" s="348">
        <f t="shared" si="59"/>
        <v>86800</v>
      </c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1:26" ht="14.4">
      <c r="A278" s="672"/>
      <c r="B278" s="230" t="s">
        <v>370</v>
      </c>
      <c r="C278" s="227">
        <v>2</v>
      </c>
      <c r="D278" s="201"/>
      <c r="E278" s="321"/>
      <c r="F278" s="202">
        <f t="shared" si="55"/>
        <v>2</v>
      </c>
      <c r="G278" s="203">
        <v>36000</v>
      </c>
      <c r="H278" s="203">
        <v>40000</v>
      </c>
      <c r="I278" s="204"/>
      <c r="J278" s="205">
        <f t="shared" si="56"/>
        <v>0</v>
      </c>
      <c r="K278" s="205">
        <f t="shared" si="57"/>
        <v>0</v>
      </c>
      <c r="L278" s="323">
        <f t="shared" si="58"/>
        <v>72000</v>
      </c>
      <c r="M278" s="348">
        <f t="shared" si="59"/>
        <v>80000</v>
      </c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1:26" ht="14.4">
      <c r="A279" s="672"/>
      <c r="B279" s="230" t="s">
        <v>371</v>
      </c>
      <c r="C279" s="227">
        <v>3.5</v>
      </c>
      <c r="D279" s="201"/>
      <c r="E279" s="321"/>
      <c r="F279" s="202">
        <f t="shared" si="55"/>
        <v>3.5</v>
      </c>
      <c r="G279" s="203">
        <v>22000</v>
      </c>
      <c r="H279" s="203">
        <v>24000</v>
      </c>
      <c r="I279" s="204"/>
      <c r="J279" s="205">
        <f t="shared" si="56"/>
        <v>0</v>
      </c>
      <c r="K279" s="205">
        <f t="shared" si="57"/>
        <v>0</v>
      </c>
      <c r="L279" s="323">
        <f t="shared" si="58"/>
        <v>77000</v>
      </c>
      <c r="M279" s="348">
        <f t="shared" si="59"/>
        <v>84000</v>
      </c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1:26" ht="14.4">
      <c r="A280" s="672"/>
      <c r="B280" s="230" t="s">
        <v>372</v>
      </c>
      <c r="C280" s="227">
        <v>7</v>
      </c>
      <c r="D280" s="201"/>
      <c r="E280" s="321"/>
      <c r="F280" s="202">
        <f t="shared" si="55"/>
        <v>7</v>
      </c>
      <c r="G280" s="203">
        <v>34100</v>
      </c>
      <c r="H280" s="203">
        <v>37000</v>
      </c>
      <c r="I280" s="204"/>
      <c r="J280" s="205">
        <f t="shared" si="56"/>
        <v>0</v>
      </c>
      <c r="K280" s="205">
        <f t="shared" si="57"/>
        <v>0</v>
      </c>
      <c r="L280" s="323">
        <f t="shared" si="58"/>
        <v>238700</v>
      </c>
      <c r="M280" s="348">
        <f t="shared" si="59"/>
        <v>259000</v>
      </c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 spans="1:26" ht="14.4">
      <c r="A281" s="672"/>
      <c r="B281" s="230" t="s">
        <v>88</v>
      </c>
      <c r="C281" s="229">
        <v>5</v>
      </c>
      <c r="D281" s="201"/>
      <c r="E281" s="321"/>
      <c r="F281" s="202">
        <f t="shared" si="55"/>
        <v>5</v>
      </c>
      <c r="G281" s="203">
        <v>16000</v>
      </c>
      <c r="H281" s="203">
        <v>20000</v>
      </c>
      <c r="I281" s="204"/>
      <c r="J281" s="205">
        <f t="shared" si="56"/>
        <v>0</v>
      </c>
      <c r="K281" s="205">
        <f t="shared" si="57"/>
        <v>0</v>
      </c>
      <c r="L281" s="323">
        <f t="shared" si="58"/>
        <v>80000</v>
      </c>
      <c r="M281" s="348">
        <f t="shared" si="59"/>
        <v>100000</v>
      </c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 spans="1:26" ht="14.4">
      <c r="A282" s="672"/>
      <c r="B282" s="230" t="s">
        <v>86</v>
      </c>
      <c r="C282" s="227">
        <v>18.5</v>
      </c>
      <c r="D282" s="201"/>
      <c r="E282" s="321"/>
      <c r="F282" s="202">
        <f t="shared" si="55"/>
        <v>18.5</v>
      </c>
      <c r="G282" s="203">
        <v>51818</v>
      </c>
      <c r="H282" s="203">
        <v>57000</v>
      </c>
      <c r="I282" s="204"/>
      <c r="J282" s="205">
        <f t="shared" si="56"/>
        <v>0</v>
      </c>
      <c r="K282" s="205">
        <f t="shared" si="57"/>
        <v>0</v>
      </c>
      <c r="L282" s="323">
        <f t="shared" si="58"/>
        <v>958633</v>
      </c>
      <c r="M282" s="348">
        <f t="shared" si="59"/>
        <v>1054500</v>
      </c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 spans="1:26" ht="14.4">
      <c r="A283" s="672"/>
      <c r="B283" s="230" t="s">
        <v>87</v>
      </c>
      <c r="C283" s="227">
        <v>50</v>
      </c>
      <c r="D283" s="201"/>
      <c r="E283" s="321"/>
      <c r="F283" s="202">
        <f t="shared" si="55"/>
        <v>50</v>
      </c>
      <c r="G283" s="203">
        <v>22000</v>
      </c>
      <c r="H283" s="203">
        <v>28000</v>
      </c>
      <c r="I283" s="204"/>
      <c r="J283" s="205">
        <f t="shared" si="56"/>
        <v>0</v>
      </c>
      <c r="K283" s="205">
        <f t="shared" si="57"/>
        <v>0</v>
      </c>
      <c r="L283" s="323">
        <f t="shared" si="58"/>
        <v>1100000</v>
      </c>
      <c r="M283" s="348">
        <f t="shared" si="59"/>
        <v>1400000</v>
      </c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 spans="1:26" ht="14.4">
      <c r="A284" s="672"/>
      <c r="B284" s="230" t="s">
        <v>373</v>
      </c>
      <c r="C284" s="227">
        <v>34</v>
      </c>
      <c r="D284" s="201"/>
      <c r="E284" s="321"/>
      <c r="F284" s="202">
        <f t="shared" si="55"/>
        <v>34</v>
      </c>
      <c r="G284" s="203">
        <v>3716</v>
      </c>
      <c r="H284" s="203">
        <v>4000</v>
      </c>
      <c r="I284" s="204"/>
      <c r="J284" s="205">
        <f t="shared" si="56"/>
        <v>0</v>
      </c>
      <c r="K284" s="205">
        <f t="shared" si="57"/>
        <v>0</v>
      </c>
      <c r="L284" s="323">
        <f t="shared" si="58"/>
        <v>126344</v>
      </c>
      <c r="M284" s="348">
        <f t="shared" si="59"/>
        <v>136000</v>
      </c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 spans="1:26" ht="14.4">
      <c r="A285" s="672"/>
      <c r="B285" s="230" t="s">
        <v>374</v>
      </c>
      <c r="C285" s="227">
        <v>51</v>
      </c>
      <c r="D285" s="201"/>
      <c r="E285" s="321"/>
      <c r="F285" s="202">
        <f t="shared" si="55"/>
        <v>51</v>
      </c>
      <c r="G285" s="203">
        <v>22000</v>
      </c>
      <c r="H285" s="203">
        <v>28000</v>
      </c>
      <c r="I285" s="204"/>
      <c r="J285" s="205">
        <f t="shared" si="56"/>
        <v>0</v>
      </c>
      <c r="K285" s="205">
        <f t="shared" si="57"/>
        <v>0</v>
      </c>
      <c r="L285" s="323">
        <f t="shared" si="58"/>
        <v>1122000</v>
      </c>
      <c r="M285" s="348">
        <f t="shared" si="59"/>
        <v>1428000</v>
      </c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 spans="1:26" ht="14.4">
      <c r="A286" s="672"/>
      <c r="B286" s="230" t="s">
        <v>375</v>
      </c>
      <c r="C286" s="227">
        <v>5.5</v>
      </c>
      <c r="D286" s="201"/>
      <c r="E286" s="321"/>
      <c r="F286" s="202">
        <f t="shared" si="55"/>
        <v>5.5</v>
      </c>
      <c r="G286" s="203">
        <v>28000</v>
      </c>
      <c r="H286" s="203">
        <v>30000</v>
      </c>
      <c r="I286" s="204"/>
      <c r="J286" s="205">
        <f t="shared" si="56"/>
        <v>0</v>
      </c>
      <c r="K286" s="205">
        <f t="shared" si="57"/>
        <v>0</v>
      </c>
      <c r="L286" s="323">
        <f t="shared" si="58"/>
        <v>154000</v>
      </c>
      <c r="M286" s="348">
        <f t="shared" si="59"/>
        <v>165000</v>
      </c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 spans="1:26" ht="14.4">
      <c r="A287" s="672"/>
      <c r="B287" s="230" t="s">
        <v>376</v>
      </c>
      <c r="C287" s="227">
        <v>0.5</v>
      </c>
      <c r="D287" s="201"/>
      <c r="E287" s="321"/>
      <c r="F287" s="202">
        <f t="shared" si="55"/>
        <v>0.5</v>
      </c>
      <c r="G287" s="203">
        <v>22000</v>
      </c>
      <c r="H287" s="203">
        <v>25000</v>
      </c>
      <c r="I287" s="204"/>
      <c r="J287" s="205">
        <f t="shared" si="56"/>
        <v>0</v>
      </c>
      <c r="K287" s="205">
        <f t="shared" si="57"/>
        <v>0</v>
      </c>
      <c r="L287" s="323">
        <f t="shared" si="58"/>
        <v>11000</v>
      </c>
      <c r="M287" s="348">
        <f t="shared" si="59"/>
        <v>12500</v>
      </c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 spans="1:26" ht="14.4">
      <c r="A288" s="672"/>
      <c r="B288" s="211" t="s">
        <v>277</v>
      </c>
      <c r="C288" s="227">
        <v>5</v>
      </c>
      <c r="D288" s="201"/>
      <c r="E288" s="321"/>
      <c r="F288" s="202">
        <f t="shared" si="55"/>
        <v>5</v>
      </c>
      <c r="G288" s="203">
        <v>2500</v>
      </c>
      <c r="H288" s="203">
        <v>3000</v>
      </c>
      <c r="I288" s="204"/>
      <c r="J288" s="205">
        <f t="shared" si="56"/>
        <v>0</v>
      </c>
      <c r="K288" s="205">
        <f t="shared" si="57"/>
        <v>0</v>
      </c>
      <c r="L288" s="323">
        <f t="shared" si="58"/>
        <v>12500</v>
      </c>
      <c r="M288" s="348">
        <f t="shared" si="59"/>
        <v>15000</v>
      </c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 spans="1:26" ht="14.4">
      <c r="A289" s="672"/>
      <c r="B289" s="230" t="s">
        <v>377</v>
      </c>
      <c r="C289" s="227">
        <v>20.5</v>
      </c>
      <c r="D289" s="201"/>
      <c r="E289" s="321"/>
      <c r="F289" s="202">
        <f t="shared" si="55"/>
        <v>20.5</v>
      </c>
      <c r="G289" s="203">
        <v>22500</v>
      </c>
      <c r="H289" s="203">
        <v>25000</v>
      </c>
      <c r="I289" s="204"/>
      <c r="J289" s="205">
        <f t="shared" si="56"/>
        <v>0</v>
      </c>
      <c r="K289" s="205">
        <f t="shared" si="57"/>
        <v>0</v>
      </c>
      <c r="L289" s="323">
        <f t="shared" si="58"/>
        <v>461250</v>
      </c>
      <c r="M289" s="348">
        <f t="shared" si="59"/>
        <v>512500</v>
      </c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 spans="1:26" ht="14.4">
      <c r="A290" s="672"/>
      <c r="B290" s="230" t="s">
        <v>378</v>
      </c>
      <c r="C290" s="227">
        <v>11</v>
      </c>
      <c r="D290" s="201"/>
      <c r="E290" s="321"/>
      <c r="F290" s="202">
        <f t="shared" si="55"/>
        <v>11</v>
      </c>
      <c r="G290" s="203">
        <v>13500</v>
      </c>
      <c r="H290" s="203">
        <v>15000</v>
      </c>
      <c r="I290" s="204"/>
      <c r="J290" s="205">
        <f t="shared" si="56"/>
        <v>0</v>
      </c>
      <c r="K290" s="205">
        <f t="shared" si="57"/>
        <v>0</v>
      </c>
      <c r="L290" s="323">
        <f t="shared" si="58"/>
        <v>148500</v>
      </c>
      <c r="M290" s="348">
        <f t="shared" si="59"/>
        <v>165000</v>
      </c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 spans="1:26" ht="14.4">
      <c r="A291" s="672"/>
      <c r="B291" s="230" t="s">
        <v>83</v>
      </c>
      <c r="C291" s="227">
        <v>13.5</v>
      </c>
      <c r="D291" s="201"/>
      <c r="E291" s="321"/>
      <c r="F291" s="202">
        <f t="shared" si="55"/>
        <v>13.5</v>
      </c>
      <c r="G291" s="203">
        <v>46000</v>
      </c>
      <c r="H291" s="203">
        <v>52000</v>
      </c>
      <c r="I291" s="204"/>
      <c r="J291" s="205">
        <f t="shared" si="56"/>
        <v>0</v>
      </c>
      <c r="K291" s="205">
        <f t="shared" si="57"/>
        <v>0</v>
      </c>
      <c r="L291" s="323">
        <f t="shared" si="58"/>
        <v>621000</v>
      </c>
      <c r="M291" s="348">
        <f t="shared" si="59"/>
        <v>702000</v>
      </c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 spans="1:26" ht="14.4">
      <c r="A292" s="672"/>
      <c r="B292" s="230" t="s">
        <v>379</v>
      </c>
      <c r="C292" s="227">
        <v>33</v>
      </c>
      <c r="D292" s="201"/>
      <c r="E292" s="321"/>
      <c r="F292" s="202">
        <f t="shared" si="55"/>
        <v>33</v>
      </c>
      <c r="G292" s="203">
        <v>28500</v>
      </c>
      <c r="H292" s="203">
        <v>31000</v>
      </c>
      <c r="I292" s="204"/>
      <c r="J292" s="205">
        <f t="shared" si="56"/>
        <v>0</v>
      </c>
      <c r="K292" s="205">
        <f t="shared" si="57"/>
        <v>0</v>
      </c>
      <c r="L292" s="323">
        <f t="shared" si="58"/>
        <v>940500</v>
      </c>
      <c r="M292" s="348">
        <f t="shared" si="59"/>
        <v>1023000</v>
      </c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 spans="1:26" ht="14.4">
      <c r="A293" s="672"/>
      <c r="B293" s="230" t="s">
        <v>380</v>
      </c>
      <c r="C293" s="227"/>
      <c r="D293" s="201"/>
      <c r="E293" s="321"/>
      <c r="F293" s="202">
        <f t="shared" si="55"/>
        <v>0</v>
      </c>
      <c r="G293" s="203">
        <v>28500</v>
      </c>
      <c r="H293" s="203">
        <v>31000</v>
      </c>
      <c r="I293" s="204"/>
      <c r="J293" s="205">
        <f t="shared" si="56"/>
        <v>0</v>
      </c>
      <c r="K293" s="205">
        <f t="shared" si="57"/>
        <v>0</v>
      </c>
      <c r="L293" s="323">
        <f t="shared" si="58"/>
        <v>0</v>
      </c>
      <c r="M293" s="348">
        <f t="shared" si="59"/>
        <v>0</v>
      </c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 spans="1:26" ht="14.4">
      <c r="A294" s="672"/>
      <c r="B294" s="230" t="s">
        <v>381</v>
      </c>
      <c r="C294" s="227">
        <v>8</v>
      </c>
      <c r="D294" s="201"/>
      <c r="E294" s="321"/>
      <c r="F294" s="202">
        <f t="shared" si="55"/>
        <v>8</v>
      </c>
      <c r="G294" s="239">
        <v>37500</v>
      </c>
      <c r="H294" s="239">
        <v>45000</v>
      </c>
      <c r="I294" s="213"/>
      <c r="J294" s="205">
        <f t="shared" si="56"/>
        <v>0</v>
      </c>
      <c r="K294" s="205">
        <f t="shared" si="57"/>
        <v>0</v>
      </c>
      <c r="L294" s="323">
        <f t="shared" si="58"/>
        <v>300000</v>
      </c>
      <c r="M294" s="348">
        <f t="shared" si="59"/>
        <v>360000</v>
      </c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 spans="1:26" ht="14.4">
      <c r="A295" s="672"/>
      <c r="B295" s="230" t="s">
        <v>689</v>
      </c>
      <c r="C295" s="227">
        <v>7</v>
      </c>
      <c r="D295" s="201"/>
      <c r="E295" s="321"/>
      <c r="F295" s="202">
        <f t="shared" si="55"/>
        <v>7</v>
      </c>
      <c r="G295" s="239">
        <v>37500</v>
      </c>
      <c r="H295" s="239">
        <v>45000</v>
      </c>
      <c r="I295" s="213"/>
      <c r="J295" s="205">
        <f t="shared" si="56"/>
        <v>0</v>
      </c>
      <c r="K295" s="205">
        <f t="shared" si="57"/>
        <v>0</v>
      </c>
      <c r="L295" s="323">
        <f t="shared" si="58"/>
        <v>262500</v>
      </c>
      <c r="M295" s="348">
        <f t="shared" si="59"/>
        <v>315000</v>
      </c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 spans="1:26" ht="14.4">
      <c r="A296" s="672"/>
      <c r="B296" s="353" t="s">
        <v>382</v>
      </c>
      <c r="C296" s="227">
        <v>5.5</v>
      </c>
      <c r="D296" s="201"/>
      <c r="E296" s="321"/>
      <c r="F296" s="202">
        <f t="shared" si="55"/>
        <v>5.5</v>
      </c>
      <c r="G296" s="354">
        <v>26000</v>
      </c>
      <c r="H296" s="354">
        <v>30000</v>
      </c>
      <c r="I296" s="355"/>
      <c r="J296" s="356">
        <f t="shared" si="56"/>
        <v>0</v>
      </c>
      <c r="K296" s="356">
        <f t="shared" si="57"/>
        <v>0</v>
      </c>
      <c r="L296" s="357">
        <f t="shared" si="58"/>
        <v>143000</v>
      </c>
      <c r="M296" s="348">
        <f t="shared" si="59"/>
        <v>165000</v>
      </c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 spans="1:26" ht="14.4">
      <c r="A297" s="672"/>
      <c r="B297" s="230" t="s">
        <v>383</v>
      </c>
      <c r="C297" s="227">
        <f>33.5+5</f>
        <v>38.5</v>
      </c>
      <c r="D297" s="201"/>
      <c r="E297" s="321"/>
      <c r="F297" s="202">
        <f t="shared" si="55"/>
        <v>38.5</v>
      </c>
      <c r="G297" s="203">
        <v>32000</v>
      </c>
      <c r="H297" s="203">
        <v>36000</v>
      </c>
      <c r="I297" s="204"/>
      <c r="J297" s="205">
        <f t="shared" si="56"/>
        <v>0</v>
      </c>
      <c r="K297" s="205">
        <f t="shared" si="57"/>
        <v>0</v>
      </c>
      <c r="L297" s="323">
        <f t="shared" si="58"/>
        <v>1232000</v>
      </c>
      <c r="M297" s="348">
        <f t="shared" si="59"/>
        <v>1386000</v>
      </c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 spans="1:26" ht="14.4">
      <c r="A298" s="672"/>
      <c r="B298" s="230" t="s">
        <v>384</v>
      </c>
      <c r="C298" s="227">
        <f>16+4</f>
        <v>20</v>
      </c>
      <c r="D298" s="201"/>
      <c r="E298" s="321"/>
      <c r="F298" s="202">
        <f t="shared" si="55"/>
        <v>20</v>
      </c>
      <c r="G298" s="203">
        <v>32000</v>
      </c>
      <c r="H298" s="203">
        <v>36000</v>
      </c>
      <c r="I298" s="204"/>
      <c r="J298" s="205">
        <f t="shared" si="56"/>
        <v>0</v>
      </c>
      <c r="K298" s="205">
        <f t="shared" si="57"/>
        <v>0</v>
      </c>
      <c r="L298" s="323">
        <f t="shared" si="58"/>
        <v>640000</v>
      </c>
      <c r="M298" s="348">
        <f t="shared" si="59"/>
        <v>720000</v>
      </c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 spans="1:26" ht="14.4">
      <c r="A299" s="672"/>
      <c r="B299" s="358" t="s">
        <v>385</v>
      </c>
      <c r="C299" s="227">
        <v>15</v>
      </c>
      <c r="D299" s="201"/>
      <c r="E299" s="321"/>
      <c r="F299" s="202">
        <f t="shared" si="55"/>
        <v>15</v>
      </c>
      <c r="G299" s="203">
        <v>9000</v>
      </c>
      <c r="H299" s="203">
        <v>10000</v>
      </c>
      <c r="I299" s="204"/>
      <c r="J299" s="205">
        <f t="shared" si="56"/>
        <v>0</v>
      </c>
      <c r="K299" s="205">
        <f t="shared" si="57"/>
        <v>0</v>
      </c>
      <c r="L299" s="323">
        <f t="shared" si="58"/>
        <v>135000</v>
      </c>
      <c r="M299" s="348">
        <f t="shared" si="59"/>
        <v>150000</v>
      </c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 spans="1:26" ht="14.4">
      <c r="A300" s="672"/>
      <c r="B300" s="230" t="s">
        <v>386</v>
      </c>
      <c r="C300" s="227">
        <v>21</v>
      </c>
      <c r="D300" s="201"/>
      <c r="E300" s="321"/>
      <c r="F300" s="202">
        <f t="shared" si="55"/>
        <v>21</v>
      </c>
      <c r="G300" s="203">
        <v>33000</v>
      </c>
      <c r="H300" s="203">
        <v>36000</v>
      </c>
      <c r="I300" s="204"/>
      <c r="J300" s="205">
        <f t="shared" si="56"/>
        <v>0</v>
      </c>
      <c r="K300" s="205">
        <f t="shared" si="57"/>
        <v>0</v>
      </c>
      <c r="L300" s="323">
        <f t="shared" si="58"/>
        <v>693000</v>
      </c>
      <c r="M300" s="348">
        <f t="shared" si="59"/>
        <v>756000</v>
      </c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 spans="1:26" ht="14.4">
      <c r="A301" s="672"/>
      <c r="B301" s="230" t="s">
        <v>387</v>
      </c>
      <c r="C301" s="229">
        <v>6</v>
      </c>
      <c r="D301" s="201"/>
      <c r="E301" s="321"/>
      <c r="F301" s="202">
        <f t="shared" si="55"/>
        <v>6</v>
      </c>
      <c r="G301" s="203">
        <v>21500</v>
      </c>
      <c r="H301" s="203">
        <v>28000</v>
      </c>
      <c r="I301" s="204"/>
      <c r="J301" s="205">
        <f t="shared" si="56"/>
        <v>0</v>
      </c>
      <c r="K301" s="205">
        <f t="shared" si="57"/>
        <v>0</v>
      </c>
      <c r="L301" s="323">
        <f t="shared" si="58"/>
        <v>129000</v>
      </c>
      <c r="M301" s="348">
        <f t="shared" si="59"/>
        <v>168000</v>
      </c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 spans="1:26" ht="14.4">
      <c r="A302" s="672"/>
      <c r="B302" s="230" t="s">
        <v>388</v>
      </c>
      <c r="C302" s="229"/>
      <c r="D302" s="201"/>
      <c r="E302" s="321"/>
      <c r="F302" s="202">
        <f t="shared" si="55"/>
        <v>0</v>
      </c>
      <c r="G302" s="203">
        <v>5300</v>
      </c>
      <c r="H302" s="203">
        <v>7000</v>
      </c>
      <c r="I302" s="204"/>
      <c r="J302" s="205">
        <f t="shared" si="56"/>
        <v>0</v>
      </c>
      <c r="K302" s="205">
        <f t="shared" si="57"/>
        <v>0</v>
      </c>
      <c r="L302" s="323">
        <f t="shared" si="58"/>
        <v>0</v>
      </c>
      <c r="M302" s="348">
        <f t="shared" si="59"/>
        <v>0</v>
      </c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 spans="1:26" ht="14.4">
      <c r="A303" s="672"/>
      <c r="B303" s="359" t="s">
        <v>389</v>
      </c>
      <c r="C303" s="227">
        <v>18</v>
      </c>
      <c r="D303" s="201"/>
      <c r="E303" s="321"/>
      <c r="F303" s="202">
        <f t="shared" si="55"/>
        <v>18</v>
      </c>
      <c r="G303" s="360">
        <v>13500</v>
      </c>
      <c r="H303" s="360">
        <v>15000</v>
      </c>
      <c r="I303" s="361"/>
      <c r="J303" s="362">
        <f t="shared" si="56"/>
        <v>0</v>
      </c>
      <c r="K303" s="362">
        <f t="shared" si="57"/>
        <v>0</v>
      </c>
      <c r="L303" s="363">
        <f t="shared" si="58"/>
        <v>243000</v>
      </c>
      <c r="M303" s="348">
        <f t="shared" si="59"/>
        <v>270000</v>
      </c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 spans="1:26" ht="14.4">
      <c r="A304" s="672"/>
      <c r="B304" s="230" t="s">
        <v>390</v>
      </c>
      <c r="C304" s="227">
        <v>4</v>
      </c>
      <c r="D304" s="201"/>
      <c r="E304" s="321"/>
      <c r="F304" s="202">
        <f t="shared" si="55"/>
        <v>4</v>
      </c>
      <c r="G304" s="203">
        <v>26000</v>
      </c>
      <c r="H304" s="203">
        <v>30000</v>
      </c>
      <c r="I304" s="204"/>
      <c r="J304" s="205">
        <f t="shared" si="56"/>
        <v>0</v>
      </c>
      <c r="K304" s="205">
        <f t="shared" si="57"/>
        <v>0</v>
      </c>
      <c r="L304" s="323">
        <f t="shared" si="58"/>
        <v>104000</v>
      </c>
      <c r="M304" s="348">
        <f t="shared" si="59"/>
        <v>120000</v>
      </c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 spans="1:26" ht="14.4">
      <c r="A305" s="672"/>
      <c r="B305" s="230" t="s">
        <v>391</v>
      </c>
      <c r="C305" s="229">
        <v>3</v>
      </c>
      <c r="D305" s="201"/>
      <c r="E305" s="321"/>
      <c r="F305" s="202">
        <f t="shared" si="55"/>
        <v>3</v>
      </c>
      <c r="G305" s="203">
        <v>32000</v>
      </c>
      <c r="H305" s="203">
        <v>35000</v>
      </c>
      <c r="I305" s="204"/>
      <c r="J305" s="205">
        <f t="shared" si="56"/>
        <v>0</v>
      </c>
      <c r="K305" s="205">
        <f t="shared" si="57"/>
        <v>0</v>
      </c>
      <c r="L305" s="323">
        <f t="shared" si="58"/>
        <v>96000</v>
      </c>
      <c r="M305" s="348">
        <f t="shared" si="59"/>
        <v>105000</v>
      </c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 spans="1:26" ht="14.4">
      <c r="A306" s="672"/>
      <c r="B306" s="211" t="s">
        <v>392</v>
      </c>
      <c r="C306" s="229">
        <v>3.75</v>
      </c>
      <c r="D306" s="201"/>
      <c r="E306" s="321"/>
      <c r="F306" s="202">
        <f t="shared" si="55"/>
        <v>3.75</v>
      </c>
      <c r="G306" s="203">
        <v>22000</v>
      </c>
      <c r="H306" s="203">
        <v>25000</v>
      </c>
      <c r="I306" s="204"/>
      <c r="J306" s="205">
        <f>+I306*F117</f>
        <v>0</v>
      </c>
      <c r="K306" s="205">
        <f t="shared" si="57"/>
        <v>0</v>
      </c>
      <c r="L306" s="323">
        <f t="shared" si="58"/>
        <v>82500</v>
      </c>
      <c r="M306" s="348">
        <f t="shared" si="59"/>
        <v>93750</v>
      </c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 spans="1:26" ht="14.4">
      <c r="A307" s="672"/>
      <c r="B307" s="230" t="s">
        <v>393</v>
      </c>
      <c r="C307" s="227"/>
      <c r="D307" s="201"/>
      <c r="E307" s="321"/>
      <c r="F307" s="202">
        <f t="shared" si="55"/>
        <v>0</v>
      </c>
      <c r="G307" s="203">
        <v>22000</v>
      </c>
      <c r="H307" s="203">
        <v>25000</v>
      </c>
      <c r="I307" s="204"/>
      <c r="J307" s="205">
        <f t="shared" ref="J307:J312" si="60">+I307*H307</f>
        <v>0</v>
      </c>
      <c r="K307" s="205">
        <f t="shared" si="57"/>
        <v>0</v>
      </c>
      <c r="L307" s="323">
        <f t="shared" si="58"/>
        <v>0</v>
      </c>
      <c r="M307" s="348">
        <f t="shared" si="59"/>
        <v>0</v>
      </c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 spans="1:26" ht="14.4">
      <c r="A308" s="672"/>
      <c r="B308" s="230" t="s">
        <v>394</v>
      </c>
      <c r="C308" s="227">
        <v>7</v>
      </c>
      <c r="D308" s="201"/>
      <c r="E308" s="321"/>
      <c r="F308" s="202">
        <f t="shared" si="55"/>
        <v>7</v>
      </c>
      <c r="G308" s="203">
        <v>13500</v>
      </c>
      <c r="H308" s="203">
        <v>15000</v>
      </c>
      <c r="I308" s="204"/>
      <c r="J308" s="205">
        <f t="shared" si="60"/>
        <v>0</v>
      </c>
      <c r="K308" s="205">
        <f t="shared" si="57"/>
        <v>0</v>
      </c>
      <c r="L308" s="323">
        <f t="shared" si="58"/>
        <v>94500</v>
      </c>
      <c r="M308" s="348">
        <f t="shared" si="59"/>
        <v>105000</v>
      </c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 spans="1:26" ht="14.4">
      <c r="A309" s="672"/>
      <c r="B309" s="230" t="s">
        <v>395</v>
      </c>
      <c r="C309" s="227">
        <v>11</v>
      </c>
      <c r="D309" s="201"/>
      <c r="E309" s="321"/>
      <c r="F309" s="202">
        <f t="shared" si="55"/>
        <v>11</v>
      </c>
      <c r="G309" s="203">
        <v>31300</v>
      </c>
      <c r="H309" s="203">
        <v>35000</v>
      </c>
      <c r="I309" s="204"/>
      <c r="J309" s="205">
        <f t="shared" si="60"/>
        <v>0</v>
      </c>
      <c r="K309" s="205">
        <f t="shared" si="57"/>
        <v>0</v>
      </c>
      <c r="L309" s="323">
        <f t="shared" si="58"/>
        <v>344300</v>
      </c>
      <c r="M309" s="348">
        <f t="shared" si="59"/>
        <v>385000</v>
      </c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 spans="1:26" ht="14.4">
      <c r="A310" s="672"/>
      <c r="B310" s="230" t="s">
        <v>396</v>
      </c>
      <c r="C310" s="229">
        <v>8</v>
      </c>
      <c r="D310" s="201"/>
      <c r="E310" s="321"/>
      <c r="F310" s="202">
        <f t="shared" si="55"/>
        <v>8</v>
      </c>
      <c r="G310" s="203">
        <v>17000</v>
      </c>
      <c r="H310" s="203">
        <v>18700</v>
      </c>
      <c r="I310" s="204"/>
      <c r="J310" s="205">
        <f t="shared" si="60"/>
        <v>0</v>
      </c>
      <c r="K310" s="205">
        <f t="shared" si="57"/>
        <v>0</v>
      </c>
      <c r="L310" s="323">
        <f t="shared" si="58"/>
        <v>136000</v>
      </c>
      <c r="M310" s="348">
        <f t="shared" si="59"/>
        <v>149600</v>
      </c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 spans="1:26" ht="14.4">
      <c r="A311" s="672"/>
      <c r="B311" s="230" t="s">
        <v>397</v>
      </c>
      <c r="C311" s="229">
        <v>1</v>
      </c>
      <c r="D311" s="201"/>
      <c r="E311" s="321"/>
      <c r="F311" s="202">
        <f t="shared" si="55"/>
        <v>1</v>
      </c>
      <c r="G311" s="203">
        <v>11000</v>
      </c>
      <c r="H311" s="203">
        <v>12000</v>
      </c>
      <c r="I311" s="204"/>
      <c r="J311" s="205">
        <f t="shared" si="60"/>
        <v>0</v>
      </c>
      <c r="K311" s="205">
        <f t="shared" si="57"/>
        <v>0</v>
      </c>
      <c r="L311" s="323">
        <f t="shared" si="58"/>
        <v>11000</v>
      </c>
      <c r="M311" s="348">
        <f t="shared" si="59"/>
        <v>12000</v>
      </c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 spans="1:26" ht="14.4">
      <c r="A312" s="672"/>
      <c r="B312" s="230" t="s">
        <v>398</v>
      </c>
      <c r="C312" s="229">
        <v>2</v>
      </c>
      <c r="D312" s="201"/>
      <c r="E312" s="321"/>
      <c r="F312" s="202">
        <f t="shared" si="55"/>
        <v>2</v>
      </c>
      <c r="G312" s="203">
        <v>31300</v>
      </c>
      <c r="H312" s="203">
        <v>35000</v>
      </c>
      <c r="I312" s="204"/>
      <c r="J312" s="205">
        <f t="shared" si="60"/>
        <v>0</v>
      </c>
      <c r="K312" s="205">
        <f t="shared" si="57"/>
        <v>0</v>
      </c>
      <c r="L312" s="323">
        <f t="shared" si="58"/>
        <v>62600</v>
      </c>
      <c r="M312" s="348">
        <f t="shared" si="59"/>
        <v>70000</v>
      </c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 spans="1:26" ht="14.4">
      <c r="A313" s="673"/>
      <c r="B313" s="364"/>
      <c r="C313" s="365"/>
      <c r="D313" s="365"/>
      <c r="E313" s="366">
        <f>SUM(E250:E308)</f>
        <v>0</v>
      </c>
      <c r="F313" s="367">
        <f t="shared" si="55"/>
        <v>0</v>
      </c>
      <c r="G313" s="368">
        <f t="shared" ref="G313:H313" si="61">SUM(G250:G308)</f>
        <v>1363287</v>
      </c>
      <c r="H313" s="369">
        <f t="shared" si="61"/>
        <v>1546100</v>
      </c>
      <c r="I313" s="370"/>
      <c r="J313" s="371">
        <f>SUM(J250:J312)</f>
        <v>0</v>
      </c>
      <c r="K313" s="371">
        <f>SUM(K250:K308)</f>
        <v>0</v>
      </c>
      <c r="L313" s="372">
        <f t="shared" ref="L313:M313" si="62">SUM(L250:L312)</f>
        <v>20637867</v>
      </c>
      <c r="M313" s="372">
        <f t="shared" si="62"/>
        <v>23953650</v>
      </c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 spans="1:26" ht="14.4">
      <c r="A314" s="674" t="s">
        <v>399</v>
      </c>
      <c r="B314" s="211" t="s">
        <v>105</v>
      </c>
      <c r="C314" s="238">
        <v>493</v>
      </c>
      <c r="D314" s="321"/>
      <c r="E314" s="321"/>
      <c r="F314" s="373">
        <f t="shared" si="55"/>
        <v>493</v>
      </c>
      <c r="G314" s="203">
        <v>5750</v>
      </c>
      <c r="H314" s="203">
        <v>6200</v>
      </c>
      <c r="I314" s="224"/>
      <c r="J314" s="205">
        <f t="shared" ref="J314:J330" si="63">+H314*I314</f>
        <v>0</v>
      </c>
      <c r="K314" s="205">
        <f t="shared" ref="K314:K330" si="64">+(H314-G314)*I314</f>
        <v>0</v>
      </c>
      <c r="L314" s="374">
        <f t="shared" ref="L314:L330" si="65">+G314*F314</f>
        <v>2834750</v>
      </c>
      <c r="M314" s="375">
        <f t="shared" ref="M314:M330" si="66">F314*H314</f>
        <v>3056600</v>
      </c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 spans="1:26" ht="14.4">
      <c r="A315" s="675"/>
      <c r="B315" s="211" t="s">
        <v>106</v>
      </c>
      <c r="C315" s="227">
        <v>103</v>
      </c>
      <c r="D315" s="321"/>
      <c r="E315" s="321"/>
      <c r="F315" s="373">
        <f t="shared" si="55"/>
        <v>103</v>
      </c>
      <c r="G315" s="203">
        <v>11500</v>
      </c>
      <c r="H315" s="203">
        <v>11300</v>
      </c>
      <c r="I315" s="204"/>
      <c r="J315" s="205">
        <f t="shared" si="63"/>
        <v>0</v>
      </c>
      <c r="K315" s="205">
        <f t="shared" si="64"/>
        <v>0</v>
      </c>
      <c r="L315" s="374">
        <f t="shared" si="65"/>
        <v>1184500</v>
      </c>
      <c r="M315" s="375">
        <f t="shared" si="66"/>
        <v>1163900</v>
      </c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 spans="1:26" ht="14.4">
      <c r="A316" s="675"/>
      <c r="B316" s="211" t="s">
        <v>400</v>
      </c>
      <c r="C316" s="229">
        <v>4</v>
      </c>
      <c r="D316" s="321"/>
      <c r="E316" s="321"/>
      <c r="F316" s="373">
        <f t="shared" si="55"/>
        <v>4</v>
      </c>
      <c r="G316" s="203">
        <v>8800</v>
      </c>
      <c r="H316" s="203">
        <v>8000</v>
      </c>
      <c r="I316" s="204"/>
      <c r="J316" s="205">
        <f t="shared" si="63"/>
        <v>0</v>
      </c>
      <c r="K316" s="205">
        <f t="shared" si="64"/>
        <v>0</v>
      </c>
      <c r="L316" s="374">
        <f t="shared" si="65"/>
        <v>35200</v>
      </c>
      <c r="M316" s="375">
        <f t="shared" si="66"/>
        <v>32000</v>
      </c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 spans="1:26" ht="14.4">
      <c r="A317" s="675"/>
      <c r="B317" s="211" t="s">
        <v>401</v>
      </c>
      <c r="C317" s="227">
        <v>58</v>
      </c>
      <c r="D317" s="321"/>
      <c r="E317" s="321"/>
      <c r="F317" s="373">
        <f t="shared" si="55"/>
        <v>58</v>
      </c>
      <c r="G317" s="203">
        <v>4400</v>
      </c>
      <c r="H317" s="203">
        <v>4700</v>
      </c>
      <c r="I317" s="204"/>
      <c r="J317" s="205">
        <f t="shared" si="63"/>
        <v>0</v>
      </c>
      <c r="K317" s="205">
        <f t="shared" si="64"/>
        <v>0</v>
      </c>
      <c r="L317" s="374">
        <f t="shared" si="65"/>
        <v>255200</v>
      </c>
      <c r="M317" s="375">
        <f t="shared" si="66"/>
        <v>272600</v>
      </c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 spans="1:26" ht="14.4">
      <c r="A318" s="675"/>
      <c r="B318" s="211" t="s">
        <v>402</v>
      </c>
      <c r="C318" s="227">
        <v>15</v>
      </c>
      <c r="D318" s="321"/>
      <c r="E318" s="321"/>
      <c r="F318" s="373">
        <f t="shared" si="55"/>
        <v>15</v>
      </c>
      <c r="G318" s="203">
        <v>4400</v>
      </c>
      <c r="H318" s="203">
        <v>4700</v>
      </c>
      <c r="I318" s="204"/>
      <c r="J318" s="205">
        <f t="shared" si="63"/>
        <v>0</v>
      </c>
      <c r="K318" s="205">
        <f t="shared" si="64"/>
        <v>0</v>
      </c>
      <c r="L318" s="374">
        <f t="shared" si="65"/>
        <v>66000</v>
      </c>
      <c r="M318" s="375">
        <f t="shared" si="66"/>
        <v>70500</v>
      </c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 spans="1:26" ht="14.4">
      <c r="A319" s="675"/>
      <c r="B319" s="211" t="s">
        <v>661</v>
      </c>
      <c r="C319" s="238">
        <v>22</v>
      </c>
      <c r="D319" s="321"/>
      <c r="E319" s="321"/>
      <c r="F319" s="373">
        <f t="shared" si="55"/>
        <v>22</v>
      </c>
      <c r="G319" s="203">
        <v>4400</v>
      </c>
      <c r="H319" s="203">
        <v>4700</v>
      </c>
      <c r="I319" s="204"/>
      <c r="J319" s="205">
        <f t="shared" si="63"/>
        <v>0</v>
      </c>
      <c r="K319" s="205">
        <f t="shared" si="64"/>
        <v>0</v>
      </c>
      <c r="L319" s="374">
        <f t="shared" si="65"/>
        <v>96800</v>
      </c>
      <c r="M319" s="375">
        <f t="shared" si="66"/>
        <v>103400</v>
      </c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 spans="1:26" ht="14.4">
      <c r="A320" s="675"/>
      <c r="B320" s="211" t="s">
        <v>403</v>
      </c>
      <c r="C320" s="238">
        <f>542+9</f>
        <v>551</v>
      </c>
      <c r="D320" s="321"/>
      <c r="E320" s="321"/>
      <c r="F320" s="373">
        <f t="shared" si="55"/>
        <v>551</v>
      </c>
      <c r="G320" s="203">
        <v>6800</v>
      </c>
      <c r="H320" s="203">
        <v>7200</v>
      </c>
      <c r="I320" s="204"/>
      <c r="J320" s="205">
        <f t="shared" si="63"/>
        <v>0</v>
      </c>
      <c r="K320" s="205">
        <f t="shared" si="64"/>
        <v>0</v>
      </c>
      <c r="L320" s="374">
        <f t="shared" si="65"/>
        <v>3746800</v>
      </c>
      <c r="M320" s="375">
        <f t="shared" si="66"/>
        <v>3967200</v>
      </c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 spans="1:26" ht="14.4">
      <c r="A321" s="675"/>
      <c r="B321" s="211" t="s">
        <v>404</v>
      </c>
      <c r="C321" s="227">
        <v>11</v>
      </c>
      <c r="D321" s="321"/>
      <c r="E321" s="321"/>
      <c r="F321" s="373">
        <f t="shared" si="55"/>
        <v>11</v>
      </c>
      <c r="G321" s="203">
        <v>13600</v>
      </c>
      <c r="H321" s="203">
        <v>14400</v>
      </c>
      <c r="I321" s="204"/>
      <c r="J321" s="205">
        <f t="shared" si="63"/>
        <v>0</v>
      </c>
      <c r="K321" s="205">
        <f t="shared" si="64"/>
        <v>0</v>
      </c>
      <c r="L321" s="374">
        <f t="shared" si="65"/>
        <v>149600</v>
      </c>
      <c r="M321" s="375">
        <f t="shared" si="66"/>
        <v>158400</v>
      </c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 spans="1:26" ht="14.4">
      <c r="A322" s="675"/>
      <c r="B322" s="230" t="s">
        <v>405</v>
      </c>
      <c r="C322" s="238">
        <v>61</v>
      </c>
      <c r="D322" s="321"/>
      <c r="E322" s="321"/>
      <c r="F322" s="373">
        <f t="shared" si="55"/>
        <v>61</v>
      </c>
      <c r="G322" s="203">
        <v>3571</v>
      </c>
      <c r="H322" s="203">
        <v>4000</v>
      </c>
      <c r="I322" s="204"/>
      <c r="J322" s="205">
        <f t="shared" si="63"/>
        <v>0</v>
      </c>
      <c r="K322" s="205">
        <f t="shared" si="64"/>
        <v>0</v>
      </c>
      <c r="L322" s="374">
        <f t="shared" si="65"/>
        <v>217831</v>
      </c>
      <c r="M322" s="375">
        <f t="shared" si="66"/>
        <v>244000</v>
      </c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 spans="1:26" ht="14.4">
      <c r="A323" s="675"/>
      <c r="B323" s="230" t="s">
        <v>406</v>
      </c>
      <c r="C323" s="227">
        <v>7</v>
      </c>
      <c r="D323" s="321"/>
      <c r="E323" s="321"/>
      <c r="F323" s="373">
        <f t="shared" si="55"/>
        <v>7</v>
      </c>
      <c r="G323" s="203">
        <v>7141</v>
      </c>
      <c r="H323" s="203">
        <v>8000</v>
      </c>
      <c r="I323" s="204"/>
      <c r="J323" s="205">
        <f t="shared" si="63"/>
        <v>0</v>
      </c>
      <c r="K323" s="205">
        <f t="shared" si="64"/>
        <v>0</v>
      </c>
      <c r="L323" s="374">
        <f t="shared" si="65"/>
        <v>49987</v>
      </c>
      <c r="M323" s="375">
        <f t="shared" si="66"/>
        <v>56000</v>
      </c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 spans="1:26" ht="14.4">
      <c r="A324" s="675"/>
      <c r="B324" s="230" t="s">
        <v>407</v>
      </c>
      <c r="C324" s="238">
        <v>82</v>
      </c>
      <c r="D324" s="321"/>
      <c r="E324" s="321"/>
      <c r="F324" s="373">
        <f t="shared" si="55"/>
        <v>82</v>
      </c>
      <c r="G324" s="203">
        <v>5251</v>
      </c>
      <c r="H324" s="203">
        <v>5800</v>
      </c>
      <c r="I324" s="204"/>
      <c r="J324" s="205">
        <f t="shared" si="63"/>
        <v>0</v>
      </c>
      <c r="K324" s="205">
        <f t="shared" si="64"/>
        <v>0</v>
      </c>
      <c r="L324" s="374">
        <f t="shared" si="65"/>
        <v>430582</v>
      </c>
      <c r="M324" s="375">
        <f t="shared" si="66"/>
        <v>475600</v>
      </c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 spans="1:26" ht="14.4">
      <c r="A325" s="675"/>
      <c r="B325" s="230" t="s">
        <v>408</v>
      </c>
      <c r="C325" s="238">
        <v>16</v>
      </c>
      <c r="D325" s="321"/>
      <c r="E325" s="321"/>
      <c r="F325" s="373">
        <f t="shared" si="55"/>
        <v>16</v>
      </c>
      <c r="G325" s="203">
        <v>10521</v>
      </c>
      <c r="H325" s="203">
        <v>11600</v>
      </c>
      <c r="I325" s="204"/>
      <c r="J325" s="205">
        <f t="shared" si="63"/>
        <v>0</v>
      </c>
      <c r="K325" s="205">
        <f t="shared" si="64"/>
        <v>0</v>
      </c>
      <c r="L325" s="374">
        <f t="shared" si="65"/>
        <v>168336</v>
      </c>
      <c r="M325" s="375">
        <f t="shared" si="66"/>
        <v>185600</v>
      </c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 spans="1:26" ht="14.4">
      <c r="A326" s="675"/>
      <c r="B326" s="230" t="s">
        <v>409</v>
      </c>
      <c r="C326" s="227"/>
      <c r="D326" s="321"/>
      <c r="E326" s="321"/>
      <c r="F326" s="373">
        <f t="shared" si="55"/>
        <v>0</v>
      </c>
      <c r="G326" s="203">
        <v>7552</v>
      </c>
      <c r="H326" s="203">
        <v>8000</v>
      </c>
      <c r="I326" s="224"/>
      <c r="J326" s="205">
        <f t="shared" si="63"/>
        <v>0</v>
      </c>
      <c r="K326" s="205">
        <f t="shared" si="64"/>
        <v>0</v>
      </c>
      <c r="L326" s="374">
        <f t="shared" si="65"/>
        <v>0</v>
      </c>
      <c r="M326" s="375">
        <f t="shared" si="66"/>
        <v>0</v>
      </c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 spans="1:26" ht="14.4">
      <c r="A327" s="675"/>
      <c r="B327" s="230" t="s">
        <v>410</v>
      </c>
      <c r="C327" s="238">
        <v>15</v>
      </c>
      <c r="D327" s="321"/>
      <c r="E327" s="321"/>
      <c r="F327" s="373">
        <f t="shared" si="55"/>
        <v>15</v>
      </c>
      <c r="G327" s="203">
        <v>7521</v>
      </c>
      <c r="H327" s="203">
        <v>8000</v>
      </c>
      <c r="I327" s="204"/>
      <c r="J327" s="205">
        <f t="shared" si="63"/>
        <v>0</v>
      </c>
      <c r="K327" s="205">
        <f t="shared" si="64"/>
        <v>0</v>
      </c>
      <c r="L327" s="374">
        <f t="shared" si="65"/>
        <v>112815</v>
      </c>
      <c r="M327" s="375">
        <f t="shared" si="66"/>
        <v>120000</v>
      </c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 spans="1:26" ht="14.4">
      <c r="A328" s="675"/>
      <c r="B328" s="230" t="s">
        <v>411</v>
      </c>
      <c r="C328" s="227">
        <v>41</v>
      </c>
      <c r="D328" s="321"/>
      <c r="E328" s="321"/>
      <c r="F328" s="373">
        <f t="shared" si="55"/>
        <v>41</v>
      </c>
      <c r="G328" s="203">
        <v>800</v>
      </c>
      <c r="H328" s="203">
        <v>1200</v>
      </c>
      <c r="I328" s="204"/>
      <c r="J328" s="205">
        <f t="shared" si="63"/>
        <v>0</v>
      </c>
      <c r="K328" s="205">
        <f t="shared" si="64"/>
        <v>0</v>
      </c>
      <c r="L328" s="374">
        <f t="shared" si="65"/>
        <v>32800</v>
      </c>
      <c r="M328" s="375">
        <f t="shared" si="66"/>
        <v>49200</v>
      </c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 spans="1:26" ht="14.4">
      <c r="A329" s="675"/>
      <c r="B329" s="230" t="s">
        <v>412</v>
      </c>
      <c r="C329" s="227"/>
      <c r="D329" s="321"/>
      <c r="E329" s="321"/>
      <c r="F329" s="373">
        <f t="shared" si="55"/>
        <v>0</v>
      </c>
      <c r="G329" s="203">
        <v>2480</v>
      </c>
      <c r="H329" s="203">
        <v>3000</v>
      </c>
      <c r="I329" s="204"/>
      <c r="J329" s="205">
        <f t="shared" si="63"/>
        <v>0</v>
      </c>
      <c r="K329" s="205">
        <f t="shared" si="64"/>
        <v>0</v>
      </c>
      <c r="L329" s="374">
        <f t="shared" si="65"/>
        <v>0</v>
      </c>
      <c r="M329" s="375">
        <f t="shared" si="66"/>
        <v>0</v>
      </c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 spans="1:26" ht="14.4">
      <c r="A330" s="675"/>
      <c r="B330" s="230" t="s">
        <v>413</v>
      </c>
      <c r="C330" s="227">
        <v>26</v>
      </c>
      <c r="D330" s="321"/>
      <c r="E330" s="321"/>
      <c r="F330" s="373">
        <f t="shared" si="55"/>
        <v>26</v>
      </c>
      <c r="G330" s="239">
        <v>2100</v>
      </c>
      <c r="H330" s="239">
        <v>2500</v>
      </c>
      <c r="I330" s="213"/>
      <c r="J330" s="205">
        <f t="shared" si="63"/>
        <v>0</v>
      </c>
      <c r="K330" s="205">
        <f t="shared" si="64"/>
        <v>0</v>
      </c>
      <c r="L330" s="374">
        <f t="shared" si="65"/>
        <v>54600</v>
      </c>
      <c r="M330" s="375">
        <f t="shared" si="66"/>
        <v>65000</v>
      </c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 spans="1:26" ht="14.4">
      <c r="A331" s="676"/>
      <c r="B331" s="376"/>
      <c r="C331" s="377">
        <f t="shared" ref="C331:I331" si="67">SUM(C314:C327)</f>
        <v>1438</v>
      </c>
      <c r="D331" s="378">
        <f t="shared" si="67"/>
        <v>0</v>
      </c>
      <c r="E331" s="379">
        <f t="shared" si="67"/>
        <v>0</v>
      </c>
      <c r="F331" s="379">
        <f t="shared" si="67"/>
        <v>1438</v>
      </c>
      <c r="G331" s="380">
        <f t="shared" si="67"/>
        <v>101207</v>
      </c>
      <c r="H331" s="380">
        <f t="shared" si="67"/>
        <v>106600</v>
      </c>
      <c r="I331" s="381">
        <f t="shared" si="67"/>
        <v>0</v>
      </c>
      <c r="J331" s="382">
        <f>SUM(J314:J330)</f>
        <v>0</v>
      </c>
      <c r="K331" s="382">
        <f>SUM(K314:K327)</f>
        <v>0</v>
      </c>
      <c r="L331" s="382">
        <f t="shared" ref="L331:M331" si="68">SUM(L314:L330)</f>
        <v>9435801</v>
      </c>
      <c r="M331" s="382">
        <f t="shared" si="68"/>
        <v>10020000</v>
      </c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 spans="1:26" ht="14.4">
      <c r="A332" s="191"/>
      <c r="B332" s="383"/>
      <c r="C332" s="384"/>
      <c r="D332" s="191"/>
      <c r="E332" s="191"/>
      <c r="F332" s="191"/>
      <c r="G332" s="386"/>
      <c r="H332" s="386"/>
      <c r="I332" s="386"/>
      <c r="J332" s="387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 spans="1:26" ht="14.4">
      <c r="A333" s="191"/>
      <c r="B333" s="387"/>
      <c r="C333" s="201"/>
      <c r="D333" s="390" t="s">
        <v>118</v>
      </c>
      <c r="E333" s="390" t="s">
        <v>131</v>
      </c>
      <c r="F333" s="390" t="s">
        <v>414</v>
      </c>
      <c r="G333" s="386"/>
      <c r="H333" s="677" t="s">
        <v>415</v>
      </c>
      <c r="I333" s="678"/>
      <c r="J333" s="387"/>
      <c r="K333" s="677" t="s">
        <v>416</v>
      </c>
      <c r="L333" s="678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 spans="1:26" ht="14.4">
      <c r="A334" s="191"/>
      <c r="B334" s="390" t="s">
        <v>3</v>
      </c>
      <c r="C334" s="391"/>
      <c r="D334" s="392">
        <f t="shared" ref="D334:F334" si="69">+J22</f>
        <v>0</v>
      </c>
      <c r="E334" s="392">
        <f t="shared" si="69"/>
        <v>0</v>
      </c>
      <c r="F334" s="464">
        <f t="shared" si="69"/>
        <v>73544104</v>
      </c>
      <c r="G334" s="386"/>
      <c r="H334" s="393" t="s">
        <v>120</v>
      </c>
      <c r="I334" s="394">
        <f>Enrique!B39</f>
        <v>20006356</v>
      </c>
      <c r="J334" s="387"/>
      <c r="K334" s="393" t="s">
        <v>417</v>
      </c>
      <c r="L334" s="394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 spans="1:26" ht="14.4">
      <c r="A335" s="191"/>
      <c r="B335" s="390" t="s">
        <v>418</v>
      </c>
      <c r="C335" s="391"/>
      <c r="D335" s="392">
        <f t="shared" ref="D335:F335" si="70">+J61</f>
        <v>0</v>
      </c>
      <c r="E335" s="392">
        <f t="shared" si="70"/>
        <v>0</v>
      </c>
      <c r="F335" s="464">
        <f t="shared" si="70"/>
        <v>68645048</v>
      </c>
      <c r="G335" s="386"/>
      <c r="H335" s="395" t="s">
        <v>419</v>
      </c>
      <c r="I335" s="396">
        <v>20000000</v>
      </c>
      <c r="J335" s="387" t="s">
        <v>420</v>
      </c>
      <c r="K335" s="395" t="s">
        <v>421</v>
      </c>
      <c r="L335" s="396">
        <v>460000</v>
      </c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 spans="1:26" ht="14.4">
      <c r="A336" s="191"/>
      <c r="B336" s="390" t="s">
        <v>422</v>
      </c>
      <c r="C336" s="391"/>
      <c r="D336" s="392">
        <f t="shared" ref="D336:F336" si="71">+J89</f>
        <v>0</v>
      </c>
      <c r="E336" s="392">
        <f t="shared" si="71"/>
        <v>0</v>
      </c>
      <c r="F336" s="464">
        <f t="shared" si="71"/>
        <v>21536593.75</v>
      </c>
      <c r="G336" s="386"/>
      <c r="H336" s="395"/>
      <c r="I336" s="396"/>
      <c r="J336" s="387"/>
      <c r="K336" s="395"/>
      <c r="L336" s="396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 spans="1:26" ht="14.4">
      <c r="A337" s="191"/>
      <c r="B337" s="390" t="s">
        <v>424</v>
      </c>
      <c r="C337" s="391"/>
      <c r="D337" s="392">
        <f t="shared" ref="D337:F337" si="72">+J149</f>
        <v>0</v>
      </c>
      <c r="E337" s="392">
        <f t="shared" si="72"/>
        <v>0</v>
      </c>
      <c r="F337" s="464">
        <f t="shared" si="72"/>
        <v>8099895</v>
      </c>
      <c r="G337" s="386"/>
      <c r="H337" s="395" t="s">
        <v>662</v>
      </c>
      <c r="I337" s="396">
        <v>20000000</v>
      </c>
      <c r="J337" s="387"/>
      <c r="K337" s="395"/>
      <c r="L337" s="396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 spans="1:26" ht="14.4">
      <c r="A338" s="191"/>
      <c r="B338" s="390" t="s">
        <v>425</v>
      </c>
      <c r="C338" s="391"/>
      <c r="D338" s="392">
        <f t="shared" ref="D338:F338" si="73">+J161</f>
        <v>0</v>
      </c>
      <c r="E338" s="392">
        <f t="shared" si="73"/>
        <v>0</v>
      </c>
      <c r="F338" s="464">
        <f t="shared" si="73"/>
        <v>13201288</v>
      </c>
      <c r="G338" s="386"/>
      <c r="H338" s="395"/>
      <c r="I338" s="396"/>
      <c r="J338" s="387"/>
      <c r="K338" s="395"/>
      <c r="L338" s="396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 spans="1:26" ht="14.4">
      <c r="A339" s="191"/>
      <c r="B339" s="390" t="s">
        <v>426</v>
      </c>
      <c r="C339" s="391"/>
      <c r="D339" s="392">
        <f t="shared" ref="D339:E339" si="74">+J249</f>
        <v>0</v>
      </c>
      <c r="E339" s="392">
        <f t="shared" si="74"/>
        <v>0</v>
      </c>
      <c r="F339" s="464">
        <f>+L249+L188</f>
        <v>14818000</v>
      </c>
      <c r="G339" s="386"/>
      <c r="H339" s="395"/>
      <c r="I339" s="396"/>
      <c r="J339" s="387"/>
      <c r="K339" s="395"/>
      <c r="L339" s="396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 spans="1:26" ht="14.4">
      <c r="A340" s="191"/>
      <c r="B340" s="390" t="s">
        <v>427</v>
      </c>
      <c r="C340" s="391"/>
      <c r="D340" s="392">
        <f t="shared" ref="D340:E340" si="75">+J313</f>
        <v>0</v>
      </c>
      <c r="E340" s="392">
        <f t="shared" si="75"/>
        <v>0</v>
      </c>
      <c r="F340" s="465">
        <f>L313</f>
        <v>20637867</v>
      </c>
      <c r="G340" s="386"/>
      <c r="H340" s="395"/>
      <c r="I340" s="396"/>
      <c r="J340" s="387"/>
      <c r="K340" s="395"/>
      <c r="L340" s="396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 spans="1:26" ht="14.4">
      <c r="A341" s="191"/>
      <c r="B341" s="390" t="s">
        <v>663</v>
      </c>
      <c r="C341" s="391"/>
      <c r="D341" s="392">
        <f t="shared" ref="D341:E341" si="76">+J314</f>
        <v>0</v>
      </c>
      <c r="E341" s="392">
        <f t="shared" si="76"/>
        <v>0</v>
      </c>
      <c r="F341" s="465">
        <f>L188</f>
        <v>1861750</v>
      </c>
      <c r="G341" s="386"/>
      <c r="H341" s="395"/>
      <c r="I341" s="396"/>
      <c r="J341" s="387"/>
      <c r="K341" s="395"/>
      <c r="L341" s="396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 spans="1:26" ht="14.4">
      <c r="A342" s="191"/>
      <c r="B342" s="390" t="s">
        <v>428</v>
      </c>
      <c r="C342" s="391"/>
      <c r="D342" s="392">
        <f t="shared" ref="D342:F342" si="77">+J331</f>
        <v>0</v>
      </c>
      <c r="E342" s="392">
        <f t="shared" si="77"/>
        <v>0</v>
      </c>
      <c r="F342" s="464">
        <f t="shared" si="77"/>
        <v>9435801</v>
      </c>
      <c r="G342" s="386"/>
      <c r="H342" s="395"/>
      <c r="I342" s="396"/>
      <c r="J342" s="387"/>
      <c r="K342" s="395"/>
      <c r="L342" s="396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 spans="1:26" ht="14.4">
      <c r="A343" s="191"/>
      <c r="B343" s="390" t="s">
        <v>429</v>
      </c>
      <c r="C343" s="391"/>
      <c r="D343" s="392">
        <f t="shared" ref="D343:F343" si="78">J583</f>
        <v>0</v>
      </c>
      <c r="E343" s="392">
        <f t="shared" si="78"/>
        <v>0</v>
      </c>
      <c r="F343" s="464">
        <f t="shared" si="78"/>
        <v>31534873.75</v>
      </c>
      <c r="G343" s="386"/>
      <c r="H343" s="395"/>
      <c r="I343" s="396"/>
      <c r="J343" s="387"/>
      <c r="K343" s="395"/>
      <c r="L343" s="396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 spans="1:26" ht="15.6">
      <c r="A344" s="191"/>
      <c r="B344" s="398" t="s">
        <v>430</v>
      </c>
      <c r="C344" s="399"/>
      <c r="D344" s="400">
        <f t="shared" ref="D344:F344" si="79">SUM(D334:D343)</f>
        <v>0</v>
      </c>
      <c r="E344" s="400">
        <f t="shared" si="79"/>
        <v>0</v>
      </c>
      <c r="F344" s="401">
        <f t="shared" si="79"/>
        <v>263315220.5</v>
      </c>
      <c r="G344" s="386"/>
      <c r="H344" s="395" t="s">
        <v>431</v>
      </c>
      <c r="I344" s="396"/>
      <c r="J344" s="387"/>
      <c r="K344" s="395"/>
      <c r="L344" s="396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spans="1:26" ht="15.6">
      <c r="A345" s="191"/>
      <c r="B345" s="402" t="s">
        <v>432</v>
      </c>
      <c r="C345" s="403"/>
      <c r="D345" s="404"/>
      <c r="E345" s="405"/>
      <c r="F345" s="406">
        <v>26329000</v>
      </c>
      <c r="G345" s="386"/>
      <c r="H345" s="395" t="s">
        <v>433</v>
      </c>
      <c r="I345" s="407"/>
      <c r="J345" s="387"/>
      <c r="K345" s="395"/>
      <c r="L345" s="407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spans="1:26" ht="14.4">
      <c r="A346" s="191"/>
      <c r="B346" s="408" t="s">
        <v>112</v>
      </c>
      <c r="C346" s="409"/>
      <c r="D346" s="410"/>
      <c r="E346" s="411"/>
      <c r="F346" s="412">
        <v>15200000</v>
      </c>
      <c r="G346" s="386"/>
      <c r="H346" s="386"/>
      <c r="I346" s="413">
        <f>SUM(I334:I345)</f>
        <v>60006356</v>
      </c>
      <c r="J346" s="387"/>
      <c r="K346" s="386"/>
      <c r="L346" s="413">
        <f>SUM(L334:L345)</f>
        <v>460000</v>
      </c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spans="1:26" ht="17.399999999999999">
      <c r="A347" s="191"/>
      <c r="B347" s="414" t="s">
        <v>430</v>
      </c>
      <c r="C347" s="415"/>
      <c r="D347" s="416"/>
      <c r="E347" s="411"/>
      <c r="F347" s="466">
        <f>F344+F345+F346</f>
        <v>304844220.5</v>
      </c>
      <c r="G347" s="467" t="s">
        <v>435</v>
      </c>
      <c r="H347" s="419">
        <f>F347-I346+L346</f>
        <v>245297864.5</v>
      </c>
      <c r="I347" s="387"/>
      <c r="J347" s="387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spans="1:26" ht="14.4">
      <c r="A348" s="420"/>
      <c r="B348" s="420"/>
      <c r="C348" s="20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spans="1:26" ht="14.4">
      <c r="A349" s="420"/>
      <c r="B349" s="420"/>
      <c r="C349" s="20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spans="1:26" ht="28.8">
      <c r="A350" s="679">
        <v>24</v>
      </c>
      <c r="B350" s="680"/>
      <c r="C350" s="421" t="s">
        <v>125</v>
      </c>
      <c r="D350" s="422" t="s">
        <v>126</v>
      </c>
      <c r="E350" s="422" t="s">
        <v>127</v>
      </c>
      <c r="F350" s="423" t="s">
        <v>0</v>
      </c>
      <c r="G350" s="424" t="s">
        <v>436</v>
      </c>
      <c r="H350" s="425" t="s">
        <v>437</v>
      </c>
      <c r="I350" s="426" t="s">
        <v>438</v>
      </c>
      <c r="J350" s="422" t="s">
        <v>130</v>
      </c>
      <c r="K350" s="422" t="s">
        <v>131</v>
      </c>
      <c r="L350" s="422" t="s">
        <v>2</v>
      </c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spans="1:26" ht="14.4">
      <c r="A351" s="427"/>
      <c r="B351" s="428" t="s">
        <v>439</v>
      </c>
      <c r="C351" s="321"/>
      <c r="D351" s="321"/>
      <c r="E351" s="321"/>
      <c r="F351" s="429">
        <f t="shared" ref="F351:F429" si="80">+C351+D351-E351</f>
        <v>0</v>
      </c>
      <c r="G351" s="203">
        <v>213600</v>
      </c>
      <c r="H351" s="203">
        <v>220000</v>
      </c>
      <c r="I351" s="204"/>
      <c r="J351" s="205">
        <f t="shared" ref="J351:J372" si="81">+H351*I351</f>
        <v>0</v>
      </c>
      <c r="K351" s="205">
        <f t="shared" ref="K351:K429" si="82">+(H351-G351)*I351</f>
        <v>0</v>
      </c>
      <c r="L351" s="430">
        <f t="shared" ref="L351:L429" si="83">+G351*F351</f>
        <v>0</v>
      </c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spans="1:26" ht="14.4">
      <c r="A352" s="427"/>
      <c r="B352" s="428" t="s">
        <v>440</v>
      </c>
      <c r="C352" s="431">
        <v>3</v>
      </c>
      <c r="D352" s="321"/>
      <c r="E352" s="321"/>
      <c r="F352" s="429">
        <f t="shared" si="80"/>
        <v>3</v>
      </c>
      <c r="G352" s="203">
        <v>166772</v>
      </c>
      <c r="H352" s="203">
        <v>180000</v>
      </c>
      <c r="I352" s="204"/>
      <c r="J352" s="205">
        <f t="shared" si="81"/>
        <v>0</v>
      </c>
      <c r="K352" s="205">
        <f t="shared" si="82"/>
        <v>0</v>
      </c>
      <c r="L352" s="430">
        <f t="shared" si="83"/>
        <v>500316</v>
      </c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spans="1:26" ht="14.4">
      <c r="A353" s="427"/>
      <c r="B353" s="428" t="s">
        <v>441</v>
      </c>
      <c r="C353" s="431"/>
      <c r="D353" s="321"/>
      <c r="E353" s="321"/>
      <c r="F353" s="429">
        <f t="shared" si="80"/>
        <v>0</v>
      </c>
      <c r="G353" s="203">
        <v>176484</v>
      </c>
      <c r="H353" s="203">
        <v>190000</v>
      </c>
      <c r="I353" s="204"/>
      <c r="J353" s="205">
        <f t="shared" si="81"/>
        <v>0</v>
      </c>
      <c r="K353" s="205">
        <f t="shared" si="82"/>
        <v>0</v>
      </c>
      <c r="L353" s="430">
        <f t="shared" si="83"/>
        <v>0</v>
      </c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 spans="1:26" ht="14.4">
      <c r="A354" s="427"/>
      <c r="B354" s="428" t="s">
        <v>442</v>
      </c>
      <c r="C354" s="431">
        <v>3</v>
      </c>
      <c r="D354" s="321"/>
      <c r="E354" s="321"/>
      <c r="F354" s="429">
        <f t="shared" si="80"/>
        <v>3</v>
      </c>
      <c r="G354" s="203">
        <v>181000</v>
      </c>
      <c r="H354" s="203">
        <v>196000</v>
      </c>
      <c r="I354" s="204"/>
      <c r="J354" s="205">
        <f t="shared" si="81"/>
        <v>0</v>
      </c>
      <c r="K354" s="205">
        <f t="shared" si="82"/>
        <v>0</v>
      </c>
      <c r="L354" s="430">
        <f t="shared" si="83"/>
        <v>543000</v>
      </c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 spans="1:26" ht="14.4">
      <c r="A355" s="427"/>
      <c r="B355" s="428" t="s">
        <v>443</v>
      </c>
      <c r="C355" s="431">
        <v>5</v>
      </c>
      <c r="D355" s="321"/>
      <c r="E355" s="321"/>
      <c r="F355" s="429">
        <f t="shared" si="80"/>
        <v>5</v>
      </c>
      <c r="G355" s="203">
        <v>141931</v>
      </c>
      <c r="H355" s="203">
        <v>155000</v>
      </c>
      <c r="I355" s="204"/>
      <c r="J355" s="205">
        <f t="shared" si="81"/>
        <v>0</v>
      </c>
      <c r="K355" s="205">
        <f t="shared" si="82"/>
        <v>0</v>
      </c>
      <c r="L355" s="430">
        <f t="shared" si="83"/>
        <v>709655</v>
      </c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 spans="1:26" ht="14.4">
      <c r="A356" s="427"/>
      <c r="B356" s="428" t="s">
        <v>690</v>
      </c>
      <c r="C356" s="431">
        <v>3</v>
      </c>
      <c r="D356" s="321"/>
      <c r="E356" s="321"/>
      <c r="F356" s="429">
        <f t="shared" si="80"/>
        <v>3</v>
      </c>
      <c r="G356" s="203">
        <v>141931</v>
      </c>
      <c r="H356" s="203">
        <v>155000</v>
      </c>
      <c r="I356" s="204"/>
      <c r="J356" s="205">
        <f t="shared" si="81"/>
        <v>0</v>
      </c>
      <c r="K356" s="205">
        <f t="shared" si="82"/>
        <v>0</v>
      </c>
      <c r="L356" s="430">
        <f t="shared" si="83"/>
        <v>425793</v>
      </c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 spans="1:26" ht="14.4">
      <c r="A357" s="427"/>
      <c r="B357" s="428" t="s">
        <v>444</v>
      </c>
      <c r="C357" s="321">
        <v>2</v>
      </c>
      <c r="D357" s="321"/>
      <c r="E357" s="321"/>
      <c r="F357" s="429">
        <f t="shared" si="80"/>
        <v>2</v>
      </c>
      <c r="G357" s="203">
        <v>81350</v>
      </c>
      <c r="H357" s="203">
        <v>93000</v>
      </c>
      <c r="I357" s="204"/>
      <c r="J357" s="205">
        <f t="shared" si="81"/>
        <v>0</v>
      </c>
      <c r="K357" s="205">
        <f t="shared" si="82"/>
        <v>0</v>
      </c>
      <c r="L357" s="430">
        <f t="shared" si="83"/>
        <v>162700</v>
      </c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 spans="1:26" ht="14.4">
      <c r="A358" s="427"/>
      <c r="B358" s="428" t="s">
        <v>445</v>
      </c>
      <c r="C358" s="321">
        <v>4</v>
      </c>
      <c r="D358" s="321"/>
      <c r="E358" s="321"/>
      <c r="F358" s="429">
        <f t="shared" si="80"/>
        <v>4</v>
      </c>
      <c r="G358" s="203">
        <v>41000</v>
      </c>
      <c r="H358" s="203">
        <v>43000</v>
      </c>
      <c r="I358" s="204"/>
      <c r="J358" s="205">
        <f t="shared" si="81"/>
        <v>0</v>
      </c>
      <c r="K358" s="205">
        <f t="shared" si="82"/>
        <v>0</v>
      </c>
      <c r="L358" s="430">
        <f t="shared" si="83"/>
        <v>164000</v>
      </c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 spans="1:26" ht="14.4">
      <c r="A359" s="427"/>
      <c r="B359" s="428" t="s">
        <v>446</v>
      </c>
      <c r="C359" s="431">
        <v>1</v>
      </c>
      <c r="D359" s="321"/>
      <c r="E359" s="321"/>
      <c r="F359" s="429">
        <f t="shared" si="80"/>
        <v>1</v>
      </c>
      <c r="G359" s="203">
        <v>160857</v>
      </c>
      <c r="H359" s="203">
        <v>170000</v>
      </c>
      <c r="I359" s="204"/>
      <c r="J359" s="205">
        <f t="shared" si="81"/>
        <v>0</v>
      </c>
      <c r="K359" s="205">
        <f t="shared" si="82"/>
        <v>0</v>
      </c>
      <c r="L359" s="430">
        <f t="shared" si="83"/>
        <v>160857</v>
      </c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 spans="1:26" ht="14.4">
      <c r="A360" s="427"/>
      <c r="B360" s="428" t="s">
        <v>447</v>
      </c>
      <c r="C360" s="431">
        <v>1</v>
      </c>
      <c r="D360" s="321"/>
      <c r="E360" s="321"/>
      <c r="F360" s="429">
        <f t="shared" si="80"/>
        <v>1</v>
      </c>
      <c r="G360" s="203">
        <v>128000</v>
      </c>
      <c r="H360" s="203">
        <v>140000</v>
      </c>
      <c r="I360" s="204"/>
      <c r="J360" s="205">
        <f t="shared" si="81"/>
        <v>0</v>
      </c>
      <c r="K360" s="205">
        <f t="shared" si="82"/>
        <v>0</v>
      </c>
      <c r="L360" s="430">
        <f t="shared" si="83"/>
        <v>128000</v>
      </c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 spans="1:26" ht="14.4">
      <c r="A361" s="427"/>
      <c r="B361" s="428" t="s">
        <v>448</v>
      </c>
      <c r="C361" s="431"/>
      <c r="D361" s="321"/>
      <c r="E361" s="321"/>
      <c r="F361" s="429">
        <f t="shared" si="80"/>
        <v>0</v>
      </c>
      <c r="G361" s="203">
        <v>90814</v>
      </c>
      <c r="H361" s="203">
        <v>99000</v>
      </c>
      <c r="I361" s="204"/>
      <c r="J361" s="205">
        <f t="shared" si="81"/>
        <v>0</v>
      </c>
      <c r="K361" s="205">
        <f t="shared" si="82"/>
        <v>0</v>
      </c>
      <c r="L361" s="430">
        <f t="shared" si="83"/>
        <v>0</v>
      </c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 spans="1:26" ht="14.4">
      <c r="A362" s="427"/>
      <c r="B362" s="428" t="s">
        <v>449</v>
      </c>
      <c r="C362" s="431">
        <v>1</v>
      </c>
      <c r="D362" s="321"/>
      <c r="E362" s="321"/>
      <c r="F362" s="429">
        <f t="shared" si="80"/>
        <v>1</v>
      </c>
      <c r="G362" s="203">
        <v>160312</v>
      </c>
      <c r="H362" s="203">
        <v>170000</v>
      </c>
      <c r="I362" s="204"/>
      <c r="J362" s="205">
        <f t="shared" si="81"/>
        <v>0</v>
      </c>
      <c r="K362" s="205">
        <f t="shared" si="82"/>
        <v>0</v>
      </c>
      <c r="L362" s="430">
        <f t="shared" si="83"/>
        <v>160312</v>
      </c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 spans="1:26" ht="14.4">
      <c r="A363" s="427"/>
      <c r="B363" s="428" t="s">
        <v>450</v>
      </c>
      <c r="C363" s="321">
        <v>1</v>
      </c>
      <c r="D363" s="321"/>
      <c r="E363" s="321"/>
      <c r="F363" s="429">
        <f t="shared" si="80"/>
        <v>1</v>
      </c>
      <c r="G363" s="203">
        <v>166740</v>
      </c>
      <c r="H363" s="203">
        <v>172000</v>
      </c>
      <c r="I363" s="204"/>
      <c r="J363" s="205">
        <f t="shared" si="81"/>
        <v>0</v>
      </c>
      <c r="K363" s="205">
        <f t="shared" si="82"/>
        <v>0</v>
      </c>
      <c r="L363" s="430">
        <f t="shared" si="83"/>
        <v>166740</v>
      </c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 spans="1:26" ht="14.4">
      <c r="A364" s="427"/>
      <c r="B364" s="428" t="s">
        <v>451</v>
      </c>
      <c r="C364" s="431">
        <v>2</v>
      </c>
      <c r="D364" s="321"/>
      <c r="E364" s="321"/>
      <c r="F364" s="429">
        <f t="shared" si="80"/>
        <v>2</v>
      </c>
      <c r="G364" s="203">
        <v>129841</v>
      </c>
      <c r="H364" s="203">
        <v>142000</v>
      </c>
      <c r="I364" s="204"/>
      <c r="J364" s="205">
        <f t="shared" si="81"/>
        <v>0</v>
      </c>
      <c r="K364" s="205">
        <f t="shared" si="82"/>
        <v>0</v>
      </c>
      <c r="L364" s="430">
        <f t="shared" si="83"/>
        <v>259682</v>
      </c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 spans="1:26" ht="14.4">
      <c r="A365" s="427"/>
      <c r="B365" s="428" t="s">
        <v>452</v>
      </c>
      <c r="C365" s="321">
        <v>2</v>
      </c>
      <c r="D365" s="321"/>
      <c r="E365" s="321"/>
      <c r="F365" s="429">
        <f t="shared" si="80"/>
        <v>2</v>
      </c>
      <c r="G365" s="203">
        <v>69534</v>
      </c>
      <c r="H365" s="203">
        <v>72000</v>
      </c>
      <c r="I365" s="204"/>
      <c r="J365" s="205">
        <f t="shared" si="81"/>
        <v>0</v>
      </c>
      <c r="K365" s="205">
        <f t="shared" si="82"/>
        <v>0</v>
      </c>
      <c r="L365" s="430">
        <f t="shared" si="83"/>
        <v>139068</v>
      </c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 spans="1:26" ht="14.4">
      <c r="A366" s="427"/>
      <c r="B366" s="428" t="s">
        <v>453</v>
      </c>
      <c r="C366" s="431">
        <v>3</v>
      </c>
      <c r="D366" s="321"/>
      <c r="E366" s="321"/>
      <c r="F366" s="429">
        <f t="shared" si="80"/>
        <v>3</v>
      </c>
      <c r="G366" s="203">
        <v>82080</v>
      </c>
      <c r="H366" s="203">
        <v>89000</v>
      </c>
      <c r="I366" s="204"/>
      <c r="J366" s="205">
        <f t="shared" si="81"/>
        <v>0</v>
      </c>
      <c r="K366" s="205">
        <f t="shared" si="82"/>
        <v>0</v>
      </c>
      <c r="L366" s="430">
        <f t="shared" si="83"/>
        <v>246240</v>
      </c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 spans="1:26" ht="14.4">
      <c r="A367" s="427"/>
      <c r="B367" s="428" t="s">
        <v>454</v>
      </c>
      <c r="C367" s="431">
        <v>3</v>
      </c>
      <c r="D367" s="321"/>
      <c r="E367" s="321"/>
      <c r="F367" s="429">
        <f t="shared" si="80"/>
        <v>3</v>
      </c>
      <c r="G367" s="203">
        <v>62646</v>
      </c>
      <c r="H367" s="203">
        <v>69000</v>
      </c>
      <c r="I367" s="204"/>
      <c r="J367" s="205">
        <f t="shared" si="81"/>
        <v>0</v>
      </c>
      <c r="K367" s="205">
        <f t="shared" si="82"/>
        <v>0</v>
      </c>
      <c r="L367" s="430">
        <f t="shared" si="83"/>
        <v>187938</v>
      </c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 spans="1:26" ht="14.4">
      <c r="A368" s="427"/>
      <c r="B368" s="428" t="s">
        <v>455</v>
      </c>
      <c r="C368" s="321">
        <v>2</v>
      </c>
      <c r="D368" s="321"/>
      <c r="E368" s="321"/>
      <c r="F368" s="429">
        <f t="shared" si="80"/>
        <v>2</v>
      </c>
      <c r="G368" s="203">
        <v>39970</v>
      </c>
      <c r="H368" s="203">
        <v>44000</v>
      </c>
      <c r="I368" s="204"/>
      <c r="J368" s="205">
        <f t="shared" si="81"/>
        <v>0</v>
      </c>
      <c r="K368" s="205">
        <f t="shared" si="82"/>
        <v>0</v>
      </c>
      <c r="L368" s="430">
        <f t="shared" si="83"/>
        <v>79940</v>
      </c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 spans="1:26" ht="14.4">
      <c r="A369" s="427"/>
      <c r="B369" s="428" t="s">
        <v>456</v>
      </c>
      <c r="C369" s="431">
        <v>0</v>
      </c>
      <c r="D369" s="321"/>
      <c r="E369" s="321"/>
      <c r="F369" s="429">
        <f t="shared" si="80"/>
        <v>0</v>
      </c>
      <c r="G369" s="203">
        <v>18300</v>
      </c>
      <c r="H369" s="203">
        <v>21000</v>
      </c>
      <c r="I369" s="204"/>
      <c r="J369" s="205">
        <f t="shared" si="81"/>
        <v>0</v>
      </c>
      <c r="K369" s="205">
        <f t="shared" si="82"/>
        <v>0</v>
      </c>
      <c r="L369" s="430">
        <f t="shared" si="83"/>
        <v>0</v>
      </c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 spans="1:26" ht="14.4">
      <c r="A370" s="427"/>
      <c r="B370" s="428" t="s">
        <v>457</v>
      </c>
      <c r="C370" s="431">
        <v>0</v>
      </c>
      <c r="D370" s="321"/>
      <c r="E370" s="321"/>
      <c r="F370" s="429">
        <f t="shared" si="80"/>
        <v>0</v>
      </c>
      <c r="G370" s="203">
        <v>286000</v>
      </c>
      <c r="H370" s="203">
        <v>320000</v>
      </c>
      <c r="I370" s="204"/>
      <c r="J370" s="205">
        <f t="shared" si="81"/>
        <v>0</v>
      </c>
      <c r="K370" s="205">
        <f t="shared" si="82"/>
        <v>0</v>
      </c>
      <c r="L370" s="430">
        <f t="shared" si="83"/>
        <v>0</v>
      </c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 spans="1:26" ht="14.4">
      <c r="A371" s="427"/>
      <c r="B371" s="428" t="s">
        <v>458</v>
      </c>
      <c r="C371" s="431">
        <v>23</v>
      </c>
      <c r="D371" s="321"/>
      <c r="E371" s="321"/>
      <c r="F371" s="429">
        <f t="shared" si="80"/>
        <v>23</v>
      </c>
      <c r="G371" s="203">
        <v>132000</v>
      </c>
      <c r="H371" s="203">
        <v>145000</v>
      </c>
      <c r="I371" s="204"/>
      <c r="J371" s="205">
        <f t="shared" si="81"/>
        <v>0</v>
      </c>
      <c r="K371" s="205">
        <f t="shared" si="82"/>
        <v>0</v>
      </c>
      <c r="L371" s="430">
        <f t="shared" si="83"/>
        <v>3036000</v>
      </c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 spans="1:26" ht="14.4">
      <c r="A372" s="427"/>
      <c r="B372" s="428" t="s">
        <v>664</v>
      </c>
      <c r="C372" s="431">
        <v>10</v>
      </c>
      <c r="D372" s="321"/>
      <c r="E372" s="321"/>
      <c r="F372" s="429">
        <f t="shared" si="80"/>
        <v>10</v>
      </c>
      <c r="G372" s="203">
        <v>130000</v>
      </c>
      <c r="H372" s="203">
        <v>39000</v>
      </c>
      <c r="I372" s="204"/>
      <c r="J372" s="205">
        <f t="shared" si="81"/>
        <v>0</v>
      </c>
      <c r="K372" s="205">
        <f t="shared" si="82"/>
        <v>0</v>
      </c>
      <c r="L372" s="430">
        <f t="shared" si="83"/>
        <v>1300000</v>
      </c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 spans="1:26" ht="14.4">
      <c r="A373" s="427"/>
      <c r="B373" s="428" t="s">
        <v>460</v>
      </c>
      <c r="C373" s="431">
        <v>0</v>
      </c>
      <c r="D373" s="321"/>
      <c r="E373" s="321"/>
      <c r="F373" s="429">
        <f t="shared" si="80"/>
        <v>0</v>
      </c>
      <c r="G373" s="203">
        <v>75300</v>
      </c>
      <c r="H373" s="203">
        <v>78000</v>
      </c>
      <c r="I373" s="204"/>
      <c r="J373" s="205">
        <f t="shared" ref="J373:J429" si="84">+I373*H373</f>
        <v>0</v>
      </c>
      <c r="K373" s="205">
        <f t="shared" si="82"/>
        <v>0</v>
      </c>
      <c r="L373" s="430">
        <f t="shared" si="83"/>
        <v>0</v>
      </c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 spans="1:26" ht="14.4">
      <c r="A374" s="427"/>
      <c r="B374" s="428" t="s">
        <v>461</v>
      </c>
      <c r="C374" s="431"/>
      <c r="D374" s="321"/>
      <c r="E374" s="321"/>
      <c r="F374" s="429">
        <f t="shared" si="80"/>
        <v>0</v>
      </c>
      <c r="G374" s="203">
        <v>156500</v>
      </c>
      <c r="H374" s="203">
        <v>160000</v>
      </c>
      <c r="I374" s="204"/>
      <c r="J374" s="205">
        <f t="shared" si="84"/>
        <v>0</v>
      </c>
      <c r="K374" s="205">
        <f t="shared" si="82"/>
        <v>0</v>
      </c>
      <c r="L374" s="430">
        <f t="shared" si="83"/>
        <v>0</v>
      </c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 spans="1:26" ht="14.4">
      <c r="A375" s="427"/>
      <c r="B375" s="428" t="s">
        <v>462</v>
      </c>
      <c r="C375" s="431">
        <v>2</v>
      </c>
      <c r="D375" s="321"/>
      <c r="E375" s="321"/>
      <c r="F375" s="429">
        <f t="shared" si="80"/>
        <v>2</v>
      </c>
      <c r="G375" s="203">
        <v>124500</v>
      </c>
      <c r="H375" s="203">
        <v>127000</v>
      </c>
      <c r="I375" s="204"/>
      <c r="J375" s="205">
        <f t="shared" si="84"/>
        <v>0</v>
      </c>
      <c r="K375" s="205">
        <f t="shared" si="82"/>
        <v>0</v>
      </c>
      <c r="L375" s="430">
        <f t="shared" si="83"/>
        <v>249000</v>
      </c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 spans="1:26" ht="14.4">
      <c r="A376" s="427"/>
      <c r="B376" s="428" t="s">
        <v>463</v>
      </c>
      <c r="C376" s="431">
        <v>0</v>
      </c>
      <c r="D376" s="321"/>
      <c r="E376" s="321"/>
      <c r="F376" s="429">
        <f t="shared" si="80"/>
        <v>0</v>
      </c>
      <c r="G376" s="203">
        <v>74300</v>
      </c>
      <c r="H376" s="203">
        <v>78000</v>
      </c>
      <c r="I376" s="204"/>
      <c r="J376" s="205">
        <f t="shared" si="84"/>
        <v>0</v>
      </c>
      <c r="K376" s="205">
        <f t="shared" si="82"/>
        <v>0</v>
      </c>
      <c r="L376" s="430">
        <f t="shared" si="83"/>
        <v>0</v>
      </c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 spans="1:26" ht="14.4">
      <c r="A377" s="427"/>
      <c r="B377" s="428" t="s">
        <v>665</v>
      </c>
      <c r="C377" s="431">
        <v>2</v>
      </c>
      <c r="D377" s="321"/>
      <c r="E377" s="321"/>
      <c r="F377" s="429">
        <f t="shared" si="80"/>
        <v>2</v>
      </c>
      <c r="G377" s="203">
        <v>55000</v>
      </c>
      <c r="H377" s="203">
        <v>60000</v>
      </c>
      <c r="I377" s="204"/>
      <c r="J377" s="205">
        <f t="shared" si="84"/>
        <v>0</v>
      </c>
      <c r="K377" s="205">
        <f t="shared" si="82"/>
        <v>0</v>
      </c>
      <c r="L377" s="430">
        <f t="shared" si="83"/>
        <v>110000</v>
      </c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 spans="1:26" ht="14.4">
      <c r="A378" s="427"/>
      <c r="B378" s="428" t="s">
        <v>465</v>
      </c>
      <c r="C378" s="431">
        <v>2</v>
      </c>
      <c r="D378" s="321"/>
      <c r="E378" s="321"/>
      <c r="F378" s="429">
        <f t="shared" si="80"/>
        <v>2</v>
      </c>
      <c r="G378" s="203">
        <v>47725</v>
      </c>
      <c r="H378" s="203">
        <v>53000</v>
      </c>
      <c r="I378" s="204"/>
      <c r="J378" s="205">
        <f t="shared" si="84"/>
        <v>0</v>
      </c>
      <c r="K378" s="205">
        <f t="shared" si="82"/>
        <v>0</v>
      </c>
      <c r="L378" s="430">
        <f t="shared" si="83"/>
        <v>95450</v>
      </c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 spans="1:26" ht="14.4">
      <c r="A379" s="427"/>
      <c r="B379" s="428" t="s">
        <v>466</v>
      </c>
      <c r="C379" s="431">
        <v>2</v>
      </c>
      <c r="D379" s="321"/>
      <c r="E379" s="321"/>
      <c r="F379" s="429">
        <f t="shared" si="80"/>
        <v>2</v>
      </c>
      <c r="G379" s="203">
        <v>25888</v>
      </c>
      <c r="H379" s="203">
        <v>28500</v>
      </c>
      <c r="I379" s="204"/>
      <c r="J379" s="205">
        <f t="shared" si="84"/>
        <v>0</v>
      </c>
      <c r="K379" s="205">
        <f t="shared" si="82"/>
        <v>0</v>
      </c>
      <c r="L379" s="430">
        <f t="shared" si="83"/>
        <v>51776</v>
      </c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 spans="1:26" ht="14.4">
      <c r="A380" s="427"/>
      <c r="B380" s="428" t="s">
        <v>467</v>
      </c>
      <c r="C380" s="431">
        <v>1</v>
      </c>
      <c r="D380" s="321"/>
      <c r="E380" s="321"/>
      <c r="F380" s="429">
        <f t="shared" si="80"/>
        <v>1</v>
      </c>
      <c r="G380" s="203">
        <v>158300</v>
      </c>
      <c r="H380" s="203">
        <v>167000</v>
      </c>
      <c r="I380" s="204"/>
      <c r="J380" s="205">
        <f t="shared" si="84"/>
        <v>0</v>
      </c>
      <c r="K380" s="205">
        <f t="shared" si="82"/>
        <v>0</v>
      </c>
      <c r="L380" s="430">
        <f t="shared" si="83"/>
        <v>158300</v>
      </c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 spans="1:26" ht="14.4">
      <c r="A381" s="427"/>
      <c r="B381" s="428" t="s">
        <v>468</v>
      </c>
      <c r="C381" s="431">
        <v>3</v>
      </c>
      <c r="D381" s="321"/>
      <c r="E381" s="321"/>
      <c r="F381" s="429">
        <f t="shared" si="80"/>
        <v>3</v>
      </c>
      <c r="G381" s="203">
        <v>129000</v>
      </c>
      <c r="H381" s="203">
        <v>136000</v>
      </c>
      <c r="I381" s="204"/>
      <c r="J381" s="205">
        <f t="shared" si="84"/>
        <v>0</v>
      </c>
      <c r="K381" s="205">
        <f t="shared" si="82"/>
        <v>0</v>
      </c>
      <c r="L381" s="430">
        <f t="shared" si="83"/>
        <v>387000</v>
      </c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 spans="1:26" ht="14.4">
      <c r="A382" s="427"/>
      <c r="B382" s="428" t="s">
        <v>469</v>
      </c>
      <c r="C382" s="431">
        <v>3</v>
      </c>
      <c r="D382" s="321"/>
      <c r="E382" s="321"/>
      <c r="F382" s="429">
        <f t="shared" si="80"/>
        <v>3</v>
      </c>
      <c r="G382" s="203">
        <v>129000</v>
      </c>
      <c r="H382" s="203">
        <v>131000</v>
      </c>
      <c r="I382" s="204"/>
      <c r="J382" s="205">
        <f t="shared" si="84"/>
        <v>0</v>
      </c>
      <c r="K382" s="205">
        <f t="shared" si="82"/>
        <v>0</v>
      </c>
      <c r="L382" s="430">
        <f t="shared" si="83"/>
        <v>387000</v>
      </c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 spans="1:26" ht="14.4">
      <c r="A383" s="427"/>
      <c r="B383" s="428" t="s">
        <v>470</v>
      </c>
      <c r="C383" s="431">
        <v>3</v>
      </c>
      <c r="D383" s="321"/>
      <c r="E383" s="321"/>
      <c r="F383" s="429">
        <f t="shared" si="80"/>
        <v>3</v>
      </c>
      <c r="G383" s="203">
        <v>129068</v>
      </c>
      <c r="H383" s="203">
        <v>131000</v>
      </c>
      <c r="I383" s="204"/>
      <c r="J383" s="205">
        <f t="shared" si="84"/>
        <v>0</v>
      </c>
      <c r="K383" s="205">
        <f t="shared" si="82"/>
        <v>0</v>
      </c>
      <c r="L383" s="430">
        <f t="shared" si="83"/>
        <v>387204</v>
      </c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 spans="1:26" ht="14.4">
      <c r="A384" s="427"/>
      <c r="B384" s="428" t="s">
        <v>471</v>
      </c>
      <c r="C384" s="431">
        <v>4</v>
      </c>
      <c r="D384" s="321"/>
      <c r="E384" s="321"/>
      <c r="F384" s="429">
        <f t="shared" si="80"/>
        <v>4</v>
      </c>
      <c r="G384" s="203">
        <v>128936</v>
      </c>
      <c r="H384" s="203">
        <v>131000</v>
      </c>
      <c r="I384" s="204"/>
      <c r="J384" s="205">
        <f t="shared" si="84"/>
        <v>0</v>
      </c>
      <c r="K384" s="205">
        <f t="shared" si="82"/>
        <v>0</v>
      </c>
      <c r="L384" s="430">
        <f t="shared" si="83"/>
        <v>515744</v>
      </c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 spans="1:26" ht="14.4">
      <c r="A385" s="427"/>
      <c r="B385" s="428" t="s">
        <v>472</v>
      </c>
      <c r="C385" s="431">
        <v>4</v>
      </c>
      <c r="D385" s="321"/>
      <c r="E385" s="321"/>
      <c r="F385" s="429">
        <f t="shared" si="80"/>
        <v>4</v>
      </c>
      <c r="G385" s="203">
        <v>69344</v>
      </c>
      <c r="H385" s="203">
        <v>78000</v>
      </c>
      <c r="I385" s="204"/>
      <c r="J385" s="205">
        <f t="shared" si="84"/>
        <v>0</v>
      </c>
      <c r="K385" s="205">
        <f t="shared" si="82"/>
        <v>0</v>
      </c>
      <c r="L385" s="430">
        <f t="shared" si="83"/>
        <v>277376</v>
      </c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 spans="1:26" ht="14.4">
      <c r="A386" s="427"/>
      <c r="B386" s="428" t="s">
        <v>666</v>
      </c>
      <c r="C386" s="431">
        <v>1</v>
      </c>
      <c r="D386" s="321"/>
      <c r="E386" s="321"/>
      <c r="F386" s="429">
        <f t="shared" si="80"/>
        <v>1</v>
      </c>
      <c r="G386" s="203">
        <v>72000</v>
      </c>
      <c r="H386" s="203">
        <v>78000</v>
      </c>
      <c r="I386" s="204"/>
      <c r="J386" s="205">
        <f t="shared" si="84"/>
        <v>0</v>
      </c>
      <c r="K386" s="205">
        <f t="shared" si="82"/>
        <v>0</v>
      </c>
      <c r="L386" s="430">
        <f t="shared" si="83"/>
        <v>72000</v>
      </c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 spans="1:26" ht="14.4">
      <c r="A387" s="427"/>
      <c r="B387" s="428" t="s">
        <v>473</v>
      </c>
      <c r="C387" s="431">
        <v>5</v>
      </c>
      <c r="D387" s="321"/>
      <c r="E387" s="321"/>
      <c r="F387" s="429">
        <f t="shared" si="80"/>
        <v>5</v>
      </c>
      <c r="G387" s="203">
        <v>16500</v>
      </c>
      <c r="H387" s="203">
        <v>19000</v>
      </c>
      <c r="I387" s="204"/>
      <c r="J387" s="205">
        <f t="shared" si="84"/>
        <v>0</v>
      </c>
      <c r="K387" s="205">
        <f t="shared" si="82"/>
        <v>0</v>
      </c>
      <c r="L387" s="430">
        <f t="shared" si="83"/>
        <v>82500</v>
      </c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 spans="1:26" ht="14.4">
      <c r="A388" s="427"/>
      <c r="B388" s="428" t="s">
        <v>474</v>
      </c>
      <c r="C388" s="431">
        <v>2</v>
      </c>
      <c r="D388" s="321"/>
      <c r="E388" s="321"/>
      <c r="F388" s="429">
        <f t="shared" si="80"/>
        <v>2</v>
      </c>
      <c r="G388" s="203">
        <v>71500</v>
      </c>
      <c r="H388" s="203">
        <v>75500</v>
      </c>
      <c r="I388" s="204"/>
      <c r="J388" s="205">
        <f t="shared" si="84"/>
        <v>0</v>
      </c>
      <c r="K388" s="205">
        <f t="shared" si="82"/>
        <v>0</v>
      </c>
      <c r="L388" s="430">
        <f t="shared" si="83"/>
        <v>143000</v>
      </c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 spans="1:26" ht="14.4">
      <c r="A389" s="427"/>
      <c r="B389" s="428" t="s">
        <v>475</v>
      </c>
      <c r="C389" s="431">
        <v>3</v>
      </c>
      <c r="D389" s="321"/>
      <c r="E389" s="321"/>
      <c r="F389" s="429">
        <f t="shared" si="80"/>
        <v>3</v>
      </c>
      <c r="G389" s="203">
        <v>61227</v>
      </c>
      <c r="H389" s="203">
        <v>65000</v>
      </c>
      <c r="I389" s="204"/>
      <c r="J389" s="205">
        <f t="shared" si="84"/>
        <v>0</v>
      </c>
      <c r="K389" s="205">
        <f t="shared" si="82"/>
        <v>0</v>
      </c>
      <c r="L389" s="430">
        <f t="shared" si="83"/>
        <v>183681</v>
      </c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 spans="1:26" ht="14.4">
      <c r="A390" s="427"/>
      <c r="B390" s="428" t="s">
        <v>476</v>
      </c>
      <c r="C390" s="321"/>
      <c r="D390" s="321"/>
      <c r="E390" s="321"/>
      <c r="F390" s="429">
        <f t="shared" si="80"/>
        <v>0</v>
      </c>
      <c r="G390" s="203">
        <v>30000</v>
      </c>
      <c r="H390" s="203">
        <v>33000</v>
      </c>
      <c r="I390" s="204"/>
      <c r="J390" s="205">
        <f t="shared" si="84"/>
        <v>0</v>
      </c>
      <c r="K390" s="205">
        <f t="shared" si="82"/>
        <v>0</v>
      </c>
      <c r="L390" s="430">
        <f t="shared" si="83"/>
        <v>0</v>
      </c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 spans="1:26" ht="14.4">
      <c r="A391" s="427"/>
      <c r="B391" s="428" t="s">
        <v>477</v>
      </c>
      <c r="C391" s="321">
        <v>4</v>
      </c>
      <c r="D391" s="321"/>
      <c r="E391" s="321"/>
      <c r="F391" s="429">
        <f t="shared" si="80"/>
        <v>4</v>
      </c>
      <c r="G391" s="203">
        <v>18100</v>
      </c>
      <c r="H391" s="203">
        <v>20000</v>
      </c>
      <c r="I391" s="204"/>
      <c r="J391" s="205">
        <f t="shared" si="84"/>
        <v>0</v>
      </c>
      <c r="K391" s="205">
        <f t="shared" si="82"/>
        <v>0</v>
      </c>
      <c r="L391" s="430">
        <f t="shared" si="83"/>
        <v>72400</v>
      </c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 spans="1:26" ht="14.4">
      <c r="A392" s="427"/>
      <c r="B392" s="428" t="s">
        <v>478</v>
      </c>
      <c r="C392" s="431">
        <v>2</v>
      </c>
      <c r="D392" s="321"/>
      <c r="E392" s="321"/>
      <c r="F392" s="429">
        <f t="shared" si="80"/>
        <v>2</v>
      </c>
      <c r="G392" s="203">
        <v>67624</v>
      </c>
      <c r="H392" s="203">
        <v>72000</v>
      </c>
      <c r="I392" s="204"/>
      <c r="J392" s="205">
        <f t="shared" si="84"/>
        <v>0</v>
      </c>
      <c r="K392" s="205">
        <f t="shared" si="82"/>
        <v>0</v>
      </c>
      <c r="L392" s="430">
        <f t="shared" si="83"/>
        <v>135248</v>
      </c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 spans="1:26" ht="14.4">
      <c r="A393" s="427"/>
      <c r="B393" s="428" t="s">
        <v>479</v>
      </c>
      <c r="C393" s="431"/>
      <c r="D393" s="321"/>
      <c r="E393" s="321"/>
      <c r="F393" s="429">
        <f t="shared" si="80"/>
        <v>0</v>
      </c>
      <c r="G393" s="203">
        <v>90000</v>
      </c>
      <c r="H393" s="203">
        <v>99000</v>
      </c>
      <c r="I393" s="204"/>
      <c r="J393" s="205">
        <f t="shared" si="84"/>
        <v>0</v>
      </c>
      <c r="K393" s="205">
        <f t="shared" si="82"/>
        <v>0</v>
      </c>
      <c r="L393" s="430">
        <f t="shared" si="83"/>
        <v>0</v>
      </c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 spans="1:26" ht="14.4">
      <c r="A394" s="427"/>
      <c r="B394" s="428" t="s">
        <v>480</v>
      </c>
      <c r="C394" s="321">
        <v>3</v>
      </c>
      <c r="D394" s="321"/>
      <c r="E394" s="321"/>
      <c r="F394" s="429">
        <f t="shared" si="80"/>
        <v>3</v>
      </c>
      <c r="G394" s="203">
        <v>50092</v>
      </c>
      <c r="H394" s="203">
        <v>55000</v>
      </c>
      <c r="I394" s="204"/>
      <c r="J394" s="205">
        <f t="shared" si="84"/>
        <v>0</v>
      </c>
      <c r="K394" s="205">
        <f t="shared" si="82"/>
        <v>0</v>
      </c>
      <c r="L394" s="430">
        <f t="shared" si="83"/>
        <v>150276</v>
      </c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 spans="1:26" ht="14.4">
      <c r="A395" s="427"/>
      <c r="B395" s="428" t="s">
        <v>481</v>
      </c>
      <c r="C395" s="431">
        <v>3</v>
      </c>
      <c r="D395" s="321"/>
      <c r="E395" s="321"/>
      <c r="F395" s="429">
        <f t="shared" si="80"/>
        <v>3</v>
      </c>
      <c r="G395" s="203">
        <v>27239</v>
      </c>
      <c r="H395" s="203">
        <v>30000</v>
      </c>
      <c r="I395" s="204"/>
      <c r="J395" s="205">
        <f t="shared" si="84"/>
        <v>0</v>
      </c>
      <c r="K395" s="205">
        <f t="shared" si="82"/>
        <v>0</v>
      </c>
      <c r="L395" s="430">
        <f t="shared" si="83"/>
        <v>81717</v>
      </c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 spans="1:26" ht="14.4">
      <c r="A396" s="427"/>
      <c r="B396" s="428" t="s">
        <v>482</v>
      </c>
      <c r="C396" s="431">
        <v>0</v>
      </c>
      <c r="D396" s="321"/>
      <c r="E396" s="321"/>
      <c r="F396" s="429">
        <f t="shared" si="80"/>
        <v>0</v>
      </c>
      <c r="G396" s="203">
        <v>13838</v>
      </c>
      <c r="H396" s="203">
        <v>16000</v>
      </c>
      <c r="I396" s="204"/>
      <c r="J396" s="205">
        <f t="shared" si="84"/>
        <v>0</v>
      </c>
      <c r="K396" s="205">
        <f t="shared" si="82"/>
        <v>0</v>
      </c>
      <c r="L396" s="430">
        <f t="shared" si="83"/>
        <v>0</v>
      </c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 spans="1:26" ht="14.4">
      <c r="A397" s="427"/>
      <c r="B397" s="428" t="s">
        <v>483</v>
      </c>
      <c r="C397" s="321">
        <v>2</v>
      </c>
      <c r="D397" s="321"/>
      <c r="E397" s="321"/>
      <c r="F397" s="429">
        <f t="shared" si="80"/>
        <v>2</v>
      </c>
      <c r="G397" s="203">
        <v>79800</v>
      </c>
      <c r="H397" s="203">
        <v>84000</v>
      </c>
      <c r="I397" s="204"/>
      <c r="J397" s="205">
        <f t="shared" si="84"/>
        <v>0</v>
      </c>
      <c r="K397" s="205">
        <f t="shared" si="82"/>
        <v>0</v>
      </c>
      <c r="L397" s="430">
        <f t="shared" si="83"/>
        <v>159600</v>
      </c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 spans="1:26" ht="14.4">
      <c r="A398" s="427"/>
      <c r="B398" s="428" t="s">
        <v>484</v>
      </c>
      <c r="C398" s="431">
        <v>6</v>
      </c>
      <c r="D398" s="321"/>
      <c r="E398" s="321"/>
      <c r="F398" s="429">
        <f t="shared" si="80"/>
        <v>6</v>
      </c>
      <c r="G398" s="203">
        <v>60000</v>
      </c>
      <c r="H398" s="203">
        <v>65000</v>
      </c>
      <c r="I398" s="204"/>
      <c r="J398" s="205">
        <f t="shared" si="84"/>
        <v>0</v>
      </c>
      <c r="K398" s="205">
        <f t="shared" si="82"/>
        <v>0</v>
      </c>
      <c r="L398" s="430">
        <f t="shared" si="83"/>
        <v>360000</v>
      </c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 spans="1:26" ht="14.4">
      <c r="A399" s="427"/>
      <c r="B399" s="428" t="s">
        <v>485</v>
      </c>
      <c r="C399" s="431">
        <v>2</v>
      </c>
      <c r="D399" s="321"/>
      <c r="E399" s="321"/>
      <c r="F399" s="429">
        <f t="shared" si="80"/>
        <v>2</v>
      </c>
      <c r="G399" s="203">
        <v>38000</v>
      </c>
      <c r="H399" s="203">
        <v>41000</v>
      </c>
      <c r="I399" s="204"/>
      <c r="J399" s="205">
        <f t="shared" si="84"/>
        <v>0</v>
      </c>
      <c r="K399" s="205">
        <f t="shared" si="82"/>
        <v>0</v>
      </c>
      <c r="L399" s="430">
        <f t="shared" si="83"/>
        <v>76000</v>
      </c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 spans="1:26" ht="14.4">
      <c r="A400" s="427"/>
      <c r="B400" s="428" t="s">
        <v>486</v>
      </c>
      <c r="C400" s="431">
        <v>2</v>
      </c>
      <c r="D400" s="321"/>
      <c r="E400" s="321"/>
      <c r="F400" s="429">
        <f t="shared" si="80"/>
        <v>2</v>
      </c>
      <c r="G400" s="203">
        <v>19000</v>
      </c>
      <c r="H400" s="203">
        <v>22000</v>
      </c>
      <c r="I400" s="204"/>
      <c r="J400" s="205">
        <f t="shared" si="84"/>
        <v>0</v>
      </c>
      <c r="K400" s="205">
        <f t="shared" si="82"/>
        <v>0</v>
      </c>
      <c r="L400" s="430">
        <f t="shared" si="83"/>
        <v>38000</v>
      </c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 spans="1:26" ht="14.4">
      <c r="A401" s="427"/>
      <c r="B401" s="428" t="s">
        <v>487</v>
      </c>
      <c r="C401" s="431">
        <v>0</v>
      </c>
      <c r="D401" s="321"/>
      <c r="E401" s="321"/>
      <c r="F401" s="429">
        <f t="shared" si="80"/>
        <v>0</v>
      </c>
      <c r="G401" s="203">
        <v>59500</v>
      </c>
      <c r="H401" s="203">
        <v>63000</v>
      </c>
      <c r="I401" s="204"/>
      <c r="J401" s="205">
        <f t="shared" si="84"/>
        <v>0</v>
      </c>
      <c r="K401" s="205">
        <f t="shared" si="82"/>
        <v>0</v>
      </c>
      <c r="L401" s="430">
        <f t="shared" si="83"/>
        <v>0</v>
      </c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 spans="1:26" ht="14.4">
      <c r="A402" s="427"/>
      <c r="B402" s="428" t="s">
        <v>488</v>
      </c>
      <c r="C402" s="431">
        <v>5</v>
      </c>
      <c r="D402" s="321"/>
      <c r="E402" s="321"/>
      <c r="F402" s="429">
        <f t="shared" si="80"/>
        <v>5</v>
      </c>
      <c r="G402" s="203">
        <v>44800</v>
      </c>
      <c r="H402" s="203">
        <v>48000</v>
      </c>
      <c r="I402" s="204"/>
      <c r="J402" s="205">
        <f t="shared" si="84"/>
        <v>0</v>
      </c>
      <c r="K402" s="205">
        <f t="shared" si="82"/>
        <v>0</v>
      </c>
      <c r="L402" s="430">
        <f t="shared" si="83"/>
        <v>224000</v>
      </c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 spans="1:26" ht="14.4">
      <c r="A403" s="427"/>
      <c r="B403" s="428" t="s">
        <v>489</v>
      </c>
      <c r="C403" s="431"/>
      <c r="D403" s="321"/>
      <c r="E403" s="321"/>
      <c r="F403" s="429">
        <f t="shared" si="80"/>
        <v>0</v>
      </c>
      <c r="G403" s="203">
        <v>26800</v>
      </c>
      <c r="H403" s="203">
        <v>30000</v>
      </c>
      <c r="I403" s="204"/>
      <c r="J403" s="205">
        <f t="shared" si="84"/>
        <v>0</v>
      </c>
      <c r="K403" s="205">
        <f t="shared" si="82"/>
        <v>0</v>
      </c>
      <c r="L403" s="430">
        <f t="shared" si="83"/>
        <v>0</v>
      </c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 spans="1:26" ht="14.4">
      <c r="A404" s="427"/>
      <c r="B404" s="428" t="s">
        <v>490</v>
      </c>
      <c r="C404" s="431">
        <v>4</v>
      </c>
      <c r="D404" s="321"/>
      <c r="E404" s="321"/>
      <c r="F404" s="429">
        <f t="shared" si="80"/>
        <v>4</v>
      </c>
      <c r="G404" s="203">
        <v>13000</v>
      </c>
      <c r="H404" s="203">
        <v>15000</v>
      </c>
      <c r="I404" s="204"/>
      <c r="J404" s="205">
        <f t="shared" si="84"/>
        <v>0</v>
      </c>
      <c r="K404" s="205">
        <f t="shared" si="82"/>
        <v>0</v>
      </c>
      <c r="L404" s="430">
        <f t="shared" si="83"/>
        <v>52000</v>
      </c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 spans="1:26" ht="14.4">
      <c r="A405" s="427"/>
      <c r="B405" s="428" t="s">
        <v>491</v>
      </c>
      <c r="C405" s="431">
        <v>4</v>
      </c>
      <c r="D405" s="321"/>
      <c r="E405" s="321"/>
      <c r="F405" s="429">
        <f t="shared" si="80"/>
        <v>4</v>
      </c>
      <c r="G405" s="203">
        <v>39200</v>
      </c>
      <c r="H405" s="203">
        <v>45000</v>
      </c>
      <c r="I405" s="204"/>
      <c r="J405" s="205">
        <f t="shared" si="84"/>
        <v>0</v>
      </c>
      <c r="K405" s="205">
        <f t="shared" si="82"/>
        <v>0</v>
      </c>
      <c r="L405" s="430">
        <f t="shared" si="83"/>
        <v>156800</v>
      </c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 spans="1:26" ht="14.4">
      <c r="A406" s="427"/>
      <c r="B406" s="428" t="s">
        <v>492</v>
      </c>
      <c r="C406" s="431">
        <v>60</v>
      </c>
      <c r="D406" s="321"/>
      <c r="E406" s="321"/>
      <c r="F406" s="429">
        <f t="shared" si="80"/>
        <v>60</v>
      </c>
      <c r="G406" s="203">
        <v>43500</v>
      </c>
      <c r="H406" s="203">
        <v>45000</v>
      </c>
      <c r="I406" s="204"/>
      <c r="J406" s="205">
        <f t="shared" si="84"/>
        <v>0</v>
      </c>
      <c r="K406" s="205">
        <f t="shared" si="82"/>
        <v>0</v>
      </c>
      <c r="L406" s="430">
        <f t="shared" si="83"/>
        <v>2610000</v>
      </c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 spans="1:26" ht="14.4">
      <c r="A407" s="427"/>
      <c r="B407" s="428" t="s">
        <v>493</v>
      </c>
      <c r="C407" s="431">
        <v>7</v>
      </c>
      <c r="D407" s="321"/>
      <c r="E407" s="321"/>
      <c r="F407" s="429">
        <f t="shared" si="80"/>
        <v>7</v>
      </c>
      <c r="G407" s="203">
        <v>23100</v>
      </c>
      <c r="H407" s="203">
        <v>25000</v>
      </c>
      <c r="I407" s="204"/>
      <c r="J407" s="205">
        <f t="shared" si="84"/>
        <v>0</v>
      </c>
      <c r="K407" s="205">
        <f t="shared" si="82"/>
        <v>0</v>
      </c>
      <c r="L407" s="430">
        <f t="shared" si="83"/>
        <v>161700</v>
      </c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 spans="1:26" ht="14.4">
      <c r="A408" s="427"/>
      <c r="B408" s="428" t="s">
        <v>494</v>
      </c>
      <c r="C408" s="431"/>
      <c r="D408" s="321"/>
      <c r="E408" s="321"/>
      <c r="F408" s="429">
        <f t="shared" si="80"/>
        <v>0</v>
      </c>
      <c r="G408" s="203">
        <v>25400</v>
      </c>
      <c r="H408" s="203">
        <v>27000</v>
      </c>
      <c r="I408" s="204"/>
      <c r="J408" s="205">
        <f t="shared" si="84"/>
        <v>0</v>
      </c>
      <c r="K408" s="205">
        <f t="shared" si="82"/>
        <v>0</v>
      </c>
      <c r="L408" s="430">
        <f t="shared" si="83"/>
        <v>0</v>
      </c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 spans="1:26" ht="14.4">
      <c r="A409" s="427"/>
      <c r="B409" s="428" t="s">
        <v>495</v>
      </c>
      <c r="C409" s="431">
        <v>0</v>
      </c>
      <c r="D409" s="321"/>
      <c r="E409" s="321"/>
      <c r="F409" s="429">
        <f t="shared" si="80"/>
        <v>0</v>
      </c>
      <c r="G409" s="203">
        <v>47400</v>
      </c>
      <c r="H409" s="203">
        <v>48000</v>
      </c>
      <c r="I409" s="204"/>
      <c r="J409" s="205">
        <f t="shared" si="84"/>
        <v>0</v>
      </c>
      <c r="K409" s="205">
        <f t="shared" si="82"/>
        <v>0</v>
      </c>
      <c r="L409" s="430">
        <f t="shared" si="83"/>
        <v>0</v>
      </c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 spans="1:26" ht="14.4">
      <c r="A410" s="427"/>
      <c r="B410" s="428" t="s">
        <v>496</v>
      </c>
      <c r="C410" s="431">
        <v>2</v>
      </c>
      <c r="D410" s="321"/>
      <c r="E410" s="321"/>
      <c r="F410" s="429">
        <f t="shared" si="80"/>
        <v>2</v>
      </c>
      <c r="G410" s="203">
        <v>93900</v>
      </c>
      <c r="H410" s="203">
        <v>98000</v>
      </c>
      <c r="I410" s="204"/>
      <c r="J410" s="205">
        <f t="shared" si="84"/>
        <v>0</v>
      </c>
      <c r="K410" s="205">
        <f t="shared" si="82"/>
        <v>0</v>
      </c>
      <c r="L410" s="430">
        <f t="shared" si="83"/>
        <v>187800</v>
      </c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 spans="1:26" ht="14.4">
      <c r="A411" s="427"/>
      <c r="B411" s="428" t="s">
        <v>497</v>
      </c>
      <c r="C411" s="431">
        <v>1</v>
      </c>
      <c r="D411" s="321"/>
      <c r="E411" s="321"/>
      <c r="F411" s="429">
        <f t="shared" si="80"/>
        <v>1</v>
      </c>
      <c r="G411" s="203">
        <v>45400</v>
      </c>
      <c r="H411" s="203">
        <v>50000</v>
      </c>
      <c r="I411" s="204"/>
      <c r="J411" s="205">
        <f t="shared" si="84"/>
        <v>0</v>
      </c>
      <c r="K411" s="205">
        <f t="shared" si="82"/>
        <v>0</v>
      </c>
      <c r="L411" s="430">
        <f t="shared" si="83"/>
        <v>45400</v>
      </c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 spans="1:26" ht="14.4">
      <c r="A412" s="427"/>
      <c r="B412" s="428" t="s">
        <v>498</v>
      </c>
      <c r="C412" s="431"/>
      <c r="D412" s="321"/>
      <c r="E412" s="321"/>
      <c r="F412" s="429">
        <f t="shared" si="80"/>
        <v>0</v>
      </c>
      <c r="G412" s="203">
        <v>42800</v>
      </c>
      <c r="H412" s="203">
        <v>46000</v>
      </c>
      <c r="I412" s="204"/>
      <c r="J412" s="205">
        <f t="shared" si="84"/>
        <v>0</v>
      </c>
      <c r="K412" s="205">
        <f t="shared" si="82"/>
        <v>0</v>
      </c>
      <c r="L412" s="430">
        <f t="shared" si="83"/>
        <v>0</v>
      </c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 spans="1:26" ht="14.4">
      <c r="A413" s="427"/>
      <c r="B413" s="428" t="s">
        <v>499</v>
      </c>
      <c r="C413" s="431"/>
      <c r="D413" s="321"/>
      <c r="E413" s="321"/>
      <c r="F413" s="429">
        <f t="shared" si="80"/>
        <v>0</v>
      </c>
      <c r="G413" s="203">
        <v>28000</v>
      </c>
      <c r="H413" s="203">
        <v>30000</v>
      </c>
      <c r="I413" s="204"/>
      <c r="J413" s="205">
        <f t="shared" si="84"/>
        <v>0</v>
      </c>
      <c r="K413" s="205">
        <f t="shared" si="82"/>
        <v>0</v>
      </c>
      <c r="L413" s="430">
        <f t="shared" si="83"/>
        <v>0</v>
      </c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 spans="1:26" ht="14.4">
      <c r="A414" s="427"/>
      <c r="B414" s="428" t="s">
        <v>500</v>
      </c>
      <c r="C414" s="431">
        <v>3</v>
      </c>
      <c r="D414" s="321"/>
      <c r="E414" s="321"/>
      <c r="F414" s="429">
        <f t="shared" si="80"/>
        <v>3</v>
      </c>
      <c r="G414" s="203">
        <v>34400</v>
      </c>
      <c r="H414" s="203">
        <v>37000</v>
      </c>
      <c r="I414" s="204"/>
      <c r="J414" s="205">
        <f t="shared" si="84"/>
        <v>0</v>
      </c>
      <c r="K414" s="205">
        <f t="shared" si="82"/>
        <v>0</v>
      </c>
      <c r="L414" s="430">
        <f t="shared" si="83"/>
        <v>103200</v>
      </c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 spans="1:26" ht="14.4">
      <c r="A415" s="427"/>
      <c r="B415" s="428" t="s">
        <v>501</v>
      </c>
      <c r="C415" s="431">
        <v>6</v>
      </c>
      <c r="D415" s="321"/>
      <c r="E415" s="321"/>
      <c r="F415" s="429">
        <f t="shared" si="80"/>
        <v>6</v>
      </c>
      <c r="G415" s="203">
        <v>148207</v>
      </c>
      <c r="H415" s="203">
        <v>135000</v>
      </c>
      <c r="I415" s="204"/>
      <c r="J415" s="205">
        <f t="shared" si="84"/>
        <v>0</v>
      </c>
      <c r="K415" s="205">
        <f t="shared" si="82"/>
        <v>0</v>
      </c>
      <c r="L415" s="430">
        <f t="shared" si="83"/>
        <v>889242</v>
      </c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 spans="1:26" ht="14.4">
      <c r="A416" s="427"/>
      <c r="B416" s="428" t="s">
        <v>502</v>
      </c>
      <c r="C416" s="321">
        <v>4</v>
      </c>
      <c r="D416" s="321"/>
      <c r="E416" s="321"/>
      <c r="F416" s="429">
        <f t="shared" si="80"/>
        <v>4</v>
      </c>
      <c r="G416" s="203">
        <v>87472</v>
      </c>
      <c r="H416" s="203">
        <v>84000</v>
      </c>
      <c r="I416" s="213"/>
      <c r="J416" s="205">
        <f t="shared" si="84"/>
        <v>0</v>
      </c>
      <c r="K416" s="205">
        <f t="shared" si="82"/>
        <v>0</v>
      </c>
      <c r="L416" s="430">
        <f t="shared" si="83"/>
        <v>349888</v>
      </c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 spans="1:26" ht="14.4">
      <c r="A417" s="427"/>
      <c r="B417" s="428" t="s">
        <v>503</v>
      </c>
      <c r="C417" s="431">
        <v>11</v>
      </c>
      <c r="D417" s="321"/>
      <c r="E417" s="321"/>
      <c r="F417" s="429">
        <f t="shared" si="80"/>
        <v>11</v>
      </c>
      <c r="G417" s="203">
        <v>65456</v>
      </c>
      <c r="H417" s="432">
        <v>63000</v>
      </c>
      <c r="I417" s="433"/>
      <c r="J417" s="205">
        <f t="shared" si="84"/>
        <v>0</v>
      </c>
      <c r="K417" s="205">
        <f t="shared" si="82"/>
        <v>0</v>
      </c>
      <c r="L417" s="430">
        <f t="shared" si="83"/>
        <v>720016</v>
      </c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 spans="1:26" ht="14.4">
      <c r="A418" s="427"/>
      <c r="B418" s="428" t="s">
        <v>504</v>
      </c>
      <c r="C418" s="431">
        <v>2</v>
      </c>
      <c r="D418" s="321"/>
      <c r="E418" s="321"/>
      <c r="F418" s="429">
        <f t="shared" si="80"/>
        <v>2</v>
      </c>
      <c r="G418" s="203">
        <v>36476</v>
      </c>
      <c r="H418" s="203">
        <v>34000</v>
      </c>
      <c r="I418" s="224"/>
      <c r="J418" s="205">
        <f t="shared" si="84"/>
        <v>0</v>
      </c>
      <c r="K418" s="205">
        <f t="shared" si="82"/>
        <v>0</v>
      </c>
      <c r="L418" s="430">
        <f t="shared" si="83"/>
        <v>72952</v>
      </c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 spans="1:26" ht="14.4">
      <c r="A419" s="427"/>
      <c r="B419" s="428" t="s">
        <v>505</v>
      </c>
      <c r="C419" s="431">
        <v>5</v>
      </c>
      <c r="D419" s="321"/>
      <c r="E419" s="321"/>
      <c r="F419" s="429">
        <f t="shared" si="80"/>
        <v>5</v>
      </c>
      <c r="G419" s="203">
        <v>23503</v>
      </c>
      <c r="H419" s="203">
        <v>22000</v>
      </c>
      <c r="I419" s="204"/>
      <c r="J419" s="205">
        <f t="shared" si="84"/>
        <v>0</v>
      </c>
      <c r="K419" s="205">
        <f t="shared" si="82"/>
        <v>0</v>
      </c>
      <c r="L419" s="430">
        <f t="shared" si="83"/>
        <v>117515</v>
      </c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 spans="1:26" ht="14.4">
      <c r="A420" s="427"/>
      <c r="B420" s="428" t="s">
        <v>506</v>
      </c>
      <c r="C420" s="431"/>
      <c r="D420" s="321"/>
      <c r="E420" s="321"/>
      <c r="F420" s="429">
        <f t="shared" si="80"/>
        <v>0</v>
      </c>
      <c r="G420" s="203">
        <v>139000</v>
      </c>
      <c r="H420" s="203">
        <v>145000</v>
      </c>
      <c r="I420" s="204"/>
      <c r="J420" s="205">
        <f t="shared" si="84"/>
        <v>0</v>
      </c>
      <c r="K420" s="205">
        <f t="shared" si="82"/>
        <v>0</v>
      </c>
      <c r="L420" s="430">
        <f t="shared" si="83"/>
        <v>0</v>
      </c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 spans="1:26" ht="14.4">
      <c r="A421" s="427"/>
      <c r="B421" s="428" t="s">
        <v>507</v>
      </c>
      <c r="C421" s="431"/>
      <c r="D421" s="321"/>
      <c r="E421" s="321"/>
      <c r="F421" s="429">
        <f t="shared" si="80"/>
        <v>0</v>
      </c>
      <c r="G421" s="203">
        <v>60000</v>
      </c>
      <c r="H421" s="203">
        <v>65000</v>
      </c>
      <c r="I421" s="204"/>
      <c r="J421" s="205">
        <f t="shared" si="84"/>
        <v>0</v>
      </c>
      <c r="K421" s="205">
        <f t="shared" si="82"/>
        <v>0</v>
      </c>
      <c r="L421" s="430">
        <f t="shared" si="83"/>
        <v>0</v>
      </c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 spans="1:26" ht="14.4">
      <c r="A422" s="427"/>
      <c r="B422" s="428" t="s">
        <v>508</v>
      </c>
      <c r="C422" s="431">
        <v>0</v>
      </c>
      <c r="D422" s="321"/>
      <c r="E422" s="321"/>
      <c r="F422" s="429">
        <f t="shared" si="80"/>
        <v>0</v>
      </c>
      <c r="G422" s="203">
        <v>40300</v>
      </c>
      <c r="H422" s="203">
        <v>43000</v>
      </c>
      <c r="I422" s="204"/>
      <c r="J422" s="205">
        <f t="shared" si="84"/>
        <v>0</v>
      </c>
      <c r="K422" s="205">
        <f t="shared" si="82"/>
        <v>0</v>
      </c>
      <c r="L422" s="430">
        <f t="shared" si="83"/>
        <v>0</v>
      </c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 spans="1:26" ht="14.4">
      <c r="A423" s="427"/>
      <c r="B423" s="428" t="s">
        <v>509</v>
      </c>
      <c r="C423" s="431">
        <v>2</v>
      </c>
      <c r="D423" s="321"/>
      <c r="E423" s="321"/>
      <c r="F423" s="429">
        <f t="shared" si="80"/>
        <v>2</v>
      </c>
      <c r="G423" s="203">
        <v>40300</v>
      </c>
      <c r="H423" s="203">
        <v>43000</v>
      </c>
      <c r="I423" s="204"/>
      <c r="J423" s="205">
        <f t="shared" si="84"/>
        <v>0</v>
      </c>
      <c r="K423" s="205">
        <f t="shared" si="82"/>
        <v>0</v>
      </c>
      <c r="L423" s="430">
        <f t="shared" si="83"/>
        <v>80600</v>
      </c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 spans="1:26" ht="14.4">
      <c r="A424" s="427"/>
      <c r="B424" s="428" t="s">
        <v>667</v>
      </c>
      <c r="C424" s="431">
        <v>2</v>
      </c>
      <c r="D424" s="321"/>
      <c r="E424" s="321"/>
      <c r="F424" s="429">
        <f t="shared" si="80"/>
        <v>2</v>
      </c>
      <c r="G424" s="203">
        <v>40300</v>
      </c>
      <c r="H424" s="203">
        <v>43000</v>
      </c>
      <c r="I424" s="204"/>
      <c r="J424" s="205">
        <f t="shared" si="84"/>
        <v>0</v>
      </c>
      <c r="K424" s="205">
        <f t="shared" si="82"/>
        <v>0</v>
      </c>
      <c r="L424" s="430">
        <f t="shared" si="83"/>
        <v>80600</v>
      </c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 spans="1:26" ht="14.4">
      <c r="A425" s="427"/>
      <c r="B425" s="428" t="s">
        <v>668</v>
      </c>
      <c r="C425" s="431">
        <v>2</v>
      </c>
      <c r="D425" s="321"/>
      <c r="E425" s="321"/>
      <c r="F425" s="429">
        <f t="shared" si="80"/>
        <v>2</v>
      </c>
      <c r="G425" s="203">
        <v>35900</v>
      </c>
      <c r="H425" s="203">
        <v>40000</v>
      </c>
      <c r="I425" s="204"/>
      <c r="J425" s="205">
        <f t="shared" si="84"/>
        <v>0</v>
      </c>
      <c r="K425" s="205">
        <f t="shared" si="82"/>
        <v>0</v>
      </c>
      <c r="L425" s="430">
        <f t="shared" si="83"/>
        <v>71800</v>
      </c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 spans="1:26" ht="14.4">
      <c r="A426" s="427"/>
      <c r="B426" s="428" t="s">
        <v>510</v>
      </c>
      <c r="C426" s="431">
        <v>2</v>
      </c>
      <c r="D426" s="321"/>
      <c r="E426" s="321"/>
      <c r="F426" s="429">
        <f t="shared" si="80"/>
        <v>2</v>
      </c>
      <c r="G426" s="203">
        <v>36431</v>
      </c>
      <c r="H426" s="203">
        <v>37000</v>
      </c>
      <c r="I426" s="204"/>
      <c r="J426" s="205">
        <f t="shared" si="84"/>
        <v>0</v>
      </c>
      <c r="K426" s="205">
        <f t="shared" si="82"/>
        <v>0</v>
      </c>
      <c r="L426" s="430">
        <f t="shared" si="83"/>
        <v>72862</v>
      </c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 spans="1:26" ht="14.4">
      <c r="A427" s="427"/>
      <c r="B427" s="434" t="s">
        <v>511</v>
      </c>
      <c r="C427" s="431">
        <v>23</v>
      </c>
      <c r="D427" s="321"/>
      <c r="E427" s="321"/>
      <c r="F427" s="429">
        <f t="shared" si="80"/>
        <v>23</v>
      </c>
      <c r="G427" s="203">
        <v>5500</v>
      </c>
      <c r="H427" s="203">
        <v>6000</v>
      </c>
      <c r="I427" s="204"/>
      <c r="J427" s="205">
        <f t="shared" si="84"/>
        <v>0</v>
      </c>
      <c r="K427" s="205">
        <f t="shared" si="82"/>
        <v>0</v>
      </c>
      <c r="L427" s="430">
        <f t="shared" si="83"/>
        <v>126500</v>
      </c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 spans="1:26" ht="14.4">
      <c r="A428" s="427"/>
      <c r="B428" s="434" t="s">
        <v>512</v>
      </c>
      <c r="C428" s="431">
        <v>3</v>
      </c>
      <c r="D428" s="321"/>
      <c r="E428" s="321"/>
      <c r="F428" s="429">
        <f t="shared" si="80"/>
        <v>3</v>
      </c>
      <c r="G428" s="239">
        <v>65000</v>
      </c>
      <c r="H428" s="239">
        <v>70000</v>
      </c>
      <c r="I428" s="204"/>
      <c r="J428" s="205">
        <f t="shared" si="84"/>
        <v>0</v>
      </c>
      <c r="K428" s="205">
        <f t="shared" si="82"/>
        <v>0</v>
      </c>
      <c r="L428" s="430">
        <f t="shared" si="83"/>
        <v>195000</v>
      </c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 spans="1:26" ht="14.4">
      <c r="A429" s="427"/>
      <c r="B429" s="434" t="s">
        <v>513</v>
      </c>
      <c r="C429" s="431"/>
      <c r="D429" s="435"/>
      <c r="E429" s="435"/>
      <c r="F429" s="429">
        <f t="shared" si="80"/>
        <v>0</v>
      </c>
      <c r="G429" s="298">
        <v>109000</v>
      </c>
      <c r="H429" s="298">
        <v>118000</v>
      </c>
      <c r="I429" s="299"/>
      <c r="J429" s="300">
        <f t="shared" si="84"/>
        <v>0</v>
      </c>
      <c r="K429" s="300">
        <f t="shared" si="82"/>
        <v>0</v>
      </c>
      <c r="L429" s="436">
        <f t="shared" si="83"/>
        <v>0</v>
      </c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 spans="1:26" ht="14.4">
      <c r="A430" s="437"/>
      <c r="B430" s="438"/>
      <c r="C430" s="439">
        <f t="shared" ref="C430:F430" si="85">+SUM(C351:C422)</f>
        <v>244</v>
      </c>
      <c r="D430" s="440">
        <f t="shared" si="85"/>
        <v>0</v>
      </c>
      <c r="E430" s="440">
        <f t="shared" si="85"/>
        <v>0</v>
      </c>
      <c r="F430" s="439">
        <f t="shared" si="85"/>
        <v>244</v>
      </c>
      <c r="G430" s="441">
        <f t="shared" ref="G430:L430" si="86">+SUM(G351:G429)</f>
        <v>6318988</v>
      </c>
      <c r="H430" s="441">
        <f t="shared" si="86"/>
        <v>6612000</v>
      </c>
      <c r="I430" s="442">
        <f t="shared" si="86"/>
        <v>0</v>
      </c>
      <c r="J430" s="441">
        <f t="shared" si="86"/>
        <v>0</v>
      </c>
      <c r="K430" s="441">
        <f t="shared" si="86"/>
        <v>0</v>
      </c>
      <c r="L430" s="441">
        <f t="shared" si="86"/>
        <v>18861388</v>
      </c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 spans="1:26" ht="14.4">
      <c r="A431" s="427"/>
      <c r="B431" s="428" t="s">
        <v>514</v>
      </c>
      <c r="C431" s="431">
        <v>2</v>
      </c>
      <c r="D431" s="321"/>
      <c r="E431" s="321"/>
      <c r="F431" s="429">
        <f t="shared" ref="F431:F442" si="87">+C431+D431-E431</f>
        <v>2</v>
      </c>
      <c r="G431" s="203">
        <v>43421</v>
      </c>
      <c r="H431" s="203">
        <v>50000</v>
      </c>
      <c r="I431" s="204"/>
      <c r="J431" s="205">
        <f t="shared" ref="J431:J442" si="88">+I431*H431</f>
        <v>0</v>
      </c>
      <c r="K431" s="205">
        <f t="shared" ref="K431:K442" si="89">+(H431-G431)*I431</f>
        <v>0</v>
      </c>
      <c r="L431" s="430">
        <f t="shared" ref="L431:L442" si="90">+G431*F431</f>
        <v>86842</v>
      </c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 spans="1:26" ht="14.4">
      <c r="A432" s="427"/>
      <c r="B432" s="428" t="s">
        <v>515</v>
      </c>
      <c r="C432" s="431"/>
      <c r="D432" s="321"/>
      <c r="E432" s="321"/>
      <c r="F432" s="429">
        <f t="shared" si="87"/>
        <v>0</v>
      </c>
      <c r="G432" s="203">
        <v>44748</v>
      </c>
      <c r="H432" s="203">
        <v>44000</v>
      </c>
      <c r="I432" s="204"/>
      <c r="J432" s="205">
        <f t="shared" si="88"/>
        <v>0</v>
      </c>
      <c r="K432" s="205">
        <f t="shared" si="89"/>
        <v>0</v>
      </c>
      <c r="L432" s="430">
        <f t="shared" si="90"/>
        <v>0</v>
      </c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 spans="1:26" ht="14.4">
      <c r="A433" s="427"/>
      <c r="B433" s="428" t="s">
        <v>516</v>
      </c>
      <c r="C433" s="431">
        <v>5</v>
      </c>
      <c r="D433" s="321"/>
      <c r="E433" s="321"/>
      <c r="F433" s="429">
        <f t="shared" si="87"/>
        <v>5</v>
      </c>
      <c r="G433" s="203">
        <v>40111</v>
      </c>
      <c r="H433" s="203">
        <v>38000</v>
      </c>
      <c r="I433" s="204"/>
      <c r="J433" s="205">
        <f t="shared" si="88"/>
        <v>0</v>
      </c>
      <c r="K433" s="205">
        <f t="shared" si="89"/>
        <v>0</v>
      </c>
      <c r="L433" s="430">
        <f t="shared" si="90"/>
        <v>200555</v>
      </c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 spans="1:26" ht="14.4">
      <c r="A434" s="427"/>
      <c r="B434" s="428" t="s">
        <v>517</v>
      </c>
      <c r="C434" s="431">
        <v>4</v>
      </c>
      <c r="D434" s="321"/>
      <c r="E434" s="321"/>
      <c r="F434" s="429">
        <f t="shared" si="87"/>
        <v>4</v>
      </c>
      <c r="G434" s="203">
        <v>19662</v>
      </c>
      <c r="H434" s="203">
        <v>22000</v>
      </c>
      <c r="I434" s="204"/>
      <c r="J434" s="205">
        <f t="shared" si="88"/>
        <v>0</v>
      </c>
      <c r="K434" s="205">
        <f t="shared" si="89"/>
        <v>0</v>
      </c>
      <c r="L434" s="430">
        <f t="shared" si="90"/>
        <v>78648</v>
      </c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 spans="1:26" ht="14.4">
      <c r="A435" s="427"/>
      <c r="B435" s="428" t="s">
        <v>518</v>
      </c>
      <c r="C435" s="431"/>
      <c r="D435" s="321"/>
      <c r="E435" s="321"/>
      <c r="F435" s="429">
        <f t="shared" si="87"/>
        <v>0</v>
      </c>
      <c r="G435" s="203">
        <v>72900</v>
      </c>
      <c r="H435" s="203">
        <v>76000</v>
      </c>
      <c r="I435" s="204"/>
      <c r="J435" s="205">
        <f t="shared" si="88"/>
        <v>0</v>
      </c>
      <c r="K435" s="205">
        <f t="shared" si="89"/>
        <v>0</v>
      </c>
      <c r="L435" s="430">
        <f t="shared" si="90"/>
        <v>0</v>
      </c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 spans="1:26" ht="14.4">
      <c r="A436" s="427"/>
      <c r="B436" s="428" t="s">
        <v>519</v>
      </c>
      <c r="C436" s="431"/>
      <c r="D436" s="321"/>
      <c r="E436" s="321"/>
      <c r="F436" s="429">
        <f t="shared" si="87"/>
        <v>0</v>
      </c>
      <c r="G436" s="203">
        <v>45300</v>
      </c>
      <c r="H436" s="203">
        <v>48000</v>
      </c>
      <c r="I436" s="204"/>
      <c r="J436" s="205">
        <f t="shared" si="88"/>
        <v>0</v>
      </c>
      <c r="K436" s="205">
        <f t="shared" si="89"/>
        <v>0</v>
      </c>
      <c r="L436" s="430">
        <f t="shared" si="90"/>
        <v>0</v>
      </c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 spans="1:26" ht="14.4">
      <c r="A437" s="443"/>
      <c r="B437" s="444" t="s">
        <v>520</v>
      </c>
      <c r="C437" s="431">
        <v>24</v>
      </c>
      <c r="D437" s="321"/>
      <c r="E437" s="321"/>
      <c r="F437" s="429">
        <f t="shared" si="87"/>
        <v>24</v>
      </c>
      <c r="G437" s="239">
        <v>6465</v>
      </c>
      <c r="H437" s="239">
        <v>7000</v>
      </c>
      <c r="I437" s="204"/>
      <c r="J437" s="205">
        <f t="shared" si="88"/>
        <v>0</v>
      </c>
      <c r="K437" s="205">
        <f t="shared" si="89"/>
        <v>0</v>
      </c>
      <c r="L437" s="430">
        <f t="shared" si="90"/>
        <v>155160</v>
      </c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 spans="1:26" ht="14.4">
      <c r="A438" s="443"/>
      <c r="B438" s="444" t="s">
        <v>521</v>
      </c>
      <c r="C438" s="431">
        <v>30</v>
      </c>
      <c r="D438" s="321"/>
      <c r="E438" s="321"/>
      <c r="F438" s="431">
        <f t="shared" si="87"/>
        <v>30</v>
      </c>
      <c r="G438" s="210">
        <v>7460</v>
      </c>
      <c r="H438" s="210">
        <v>8000</v>
      </c>
      <c r="I438" s="445"/>
      <c r="J438" s="205">
        <f t="shared" si="88"/>
        <v>0</v>
      </c>
      <c r="K438" s="205">
        <f t="shared" si="89"/>
        <v>0</v>
      </c>
      <c r="L438" s="430">
        <f t="shared" si="90"/>
        <v>223800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14.4">
      <c r="A439" s="443"/>
      <c r="B439" s="446" t="s">
        <v>522</v>
      </c>
      <c r="C439" s="431"/>
      <c r="D439" s="321"/>
      <c r="E439" s="321"/>
      <c r="F439" s="431">
        <f t="shared" si="87"/>
        <v>0</v>
      </c>
      <c r="G439" s="210">
        <v>80000</v>
      </c>
      <c r="H439" s="210">
        <v>84000</v>
      </c>
      <c r="I439" s="445"/>
      <c r="J439" s="205">
        <f t="shared" si="88"/>
        <v>0</v>
      </c>
      <c r="K439" s="205">
        <f t="shared" si="89"/>
        <v>0</v>
      </c>
      <c r="L439" s="430">
        <f t="shared" si="90"/>
        <v>0</v>
      </c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 spans="1:26" ht="14.4">
      <c r="A440" s="427"/>
      <c r="B440" s="428" t="s">
        <v>523</v>
      </c>
      <c r="C440" s="431"/>
      <c r="D440" s="321"/>
      <c r="E440" s="321"/>
      <c r="F440" s="429">
        <f t="shared" si="87"/>
        <v>0</v>
      </c>
      <c r="G440" s="203">
        <v>80000</v>
      </c>
      <c r="H440" s="203">
        <v>84000</v>
      </c>
      <c r="I440" s="204"/>
      <c r="J440" s="205">
        <f t="shared" si="88"/>
        <v>0</v>
      </c>
      <c r="K440" s="205">
        <f t="shared" si="89"/>
        <v>0</v>
      </c>
      <c r="L440" s="430">
        <f t="shared" si="90"/>
        <v>0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 spans="1:26" ht="14.4">
      <c r="A441" s="427"/>
      <c r="B441" s="428" t="s">
        <v>524</v>
      </c>
      <c r="C441" s="431">
        <v>5</v>
      </c>
      <c r="D441" s="321"/>
      <c r="E441" s="321"/>
      <c r="F441" s="429">
        <f t="shared" si="87"/>
        <v>5</v>
      </c>
      <c r="G441" s="210">
        <v>38000</v>
      </c>
      <c r="H441" s="210">
        <v>40000</v>
      </c>
      <c r="I441" s="445"/>
      <c r="J441" s="205">
        <f t="shared" si="88"/>
        <v>0</v>
      </c>
      <c r="K441" s="205">
        <f t="shared" si="89"/>
        <v>0</v>
      </c>
      <c r="L441" s="430">
        <f t="shared" si="90"/>
        <v>190000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 spans="1:26" ht="14.4">
      <c r="A442" s="427"/>
      <c r="B442" s="434" t="s">
        <v>525</v>
      </c>
      <c r="C442" s="431"/>
      <c r="D442" s="321"/>
      <c r="E442" s="321"/>
      <c r="F442" s="429">
        <f t="shared" si="87"/>
        <v>0</v>
      </c>
      <c r="G442" s="210">
        <v>29800</v>
      </c>
      <c r="H442" s="210">
        <v>33000</v>
      </c>
      <c r="I442" s="445"/>
      <c r="J442" s="205">
        <f t="shared" si="88"/>
        <v>0</v>
      </c>
      <c r="K442" s="205">
        <f t="shared" si="89"/>
        <v>0</v>
      </c>
      <c r="L442" s="430">
        <f t="shared" si="90"/>
        <v>0</v>
      </c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 spans="1:26" ht="14.4">
      <c r="A443" s="437"/>
      <c r="B443" s="438"/>
      <c r="C443" s="447">
        <f t="shared" ref="C443:F443" si="91">+SUM(C431:C440)</f>
        <v>65</v>
      </c>
      <c r="D443" s="447">
        <f t="shared" si="91"/>
        <v>0</v>
      </c>
      <c r="E443" s="447">
        <f t="shared" si="91"/>
        <v>0</v>
      </c>
      <c r="F443" s="447">
        <f t="shared" si="91"/>
        <v>65</v>
      </c>
      <c r="G443" s="448">
        <f t="shared" ref="G443:L443" si="92">+SUM(G431:G442)</f>
        <v>507867</v>
      </c>
      <c r="H443" s="448">
        <f t="shared" si="92"/>
        <v>534000</v>
      </c>
      <c r="I443" s="449">
        <f t="shared" si="92"/>
        <v>0</v>
      </c>
      <c r="J443" s="448">
        <f t="shared" si="92"/>
        <v>0</v>
      </c>
      <c r="K443" s="448">
        <f t="shared" si="92"/>
        <v>0</v>
      </c>
      <c r="L443" s="448">
        <f t="shared" si="92"/>
        <v>935005</v>
      </c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 spans="1:26" ht="14.4">
      <c r="A444" s="427"/>
      <c r="B444" s="428" t="s">
        <v>669</v>
      </c>
      <c r="C444" s="431">
        <v>3</v>
      </c>
      <c r="D444" s="321"/>
      <c r="E444" s="321"/>
      <c r="F444" s="429">
        <f t="shared" ref="F444:F471" si="93">+C444+D444-E444</f>
        <v>3</v>
      </c>
      <c r="G444" s="203">
        <v>110000</v>
      </c>
      <c r="H444" s="203">
        <v>120000</v>
      </c>
      <c r="I444" s="204"/>
      <c r="J444" s="205">
        <f t="shared" ref="J444:J471" si="94">+I444*H444</f>
        <v>0</v>
      </c>
      <c r="K444" s="205">
        <f t="shared" ref="K444:K471" si="95">+(H444-G444)*I444</f>
        <v>0</v>
      </c>
      <c r="L444" s="430">
        <f t="shared" ref="L444:L471" si="96">+G444*F444</f>
        <v>330000</v>
      </c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 spans="1:26" ht="14.4">
      <c r="A445" s="427"/>
      <c r="B445" s="428" t="s">
        <v>526</v>
      </c>
      <c r="C445" s="431"/>
      <c r="D445" s="321"/>
      <c r="E445" s="321"/>
      <c r="F445" s="429">
        <f t="shared" si="93"/>
        <v>0</v>
      </c>
      <c r="G445" s="203">
        <v>102000</v>
      </c>
      <c r="H445" s="203">
        <v>108000</v>
      </c>
      <c r="I445" s="204"/>
      <c r="J445" s="205">
        <f t="shared" si="94"/>
        <v>0</v>
      </c>
      <c r="K445" s="205">
        <f t="shared" si="95"/>
        <v>0</v>
      </c>
      <c r="L445" s="430">
        <f t="shared" si="96"/>
        <v>0</v>
      </c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 spans="1:26" ht="14.4">
      <c r="A446" s="427"/>
      <c r="B446" s="387" t="s">
        <v>527</v>
      </c>
      <c r="C446" s="431">
        <v>1</v>
      </c>
      <c r="D446" s="321"/>
      <c r="E446" s="321"/>
      <c r="F446" s="429">
        <f t="shared" si="93"/>
        <v>1</v>
      </c>
      <c r="G446" s="203">
        <v>86250</v>
      </c>
      <c r="H446" s="203">
        <v>93000</v>
      </c>
      <c r="I446" s="204"/>
      <c r="J446" s="205">
        <f t="shared" si="94"/>
        <v>0</v>
      </c>
      <c r="K446" s="205">
        <f t="shared" si="95"/>
        <v>0</v>
      </c>
      <c r="L446" s="430">
        <f t="shared" si="96"/>
        <v>86250</v>
      </c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 spans="1:26" ht="14.4">
      <c r="A447" s="427"/>
      <c r="B447" s="428" t="s">
        <v>528</v>
      </c>
      <c r="C447" s="431">
        <v>2</v>
      </c>
      <c r="D447" s="321"/>
      <c r="E447" s="321"/>
      <c r="F447" s="429">
        <f t="shared" si="93"/>
        <v>2</v>
      </c>
      <c r="G447" s="203">
        <v>58000</v>
      </c>
      <c r="H447" s="203">
        <v>64000</v>
      </c>
      <c r="I447" s="204"/>
      <c r="J447" s="205">
        <f t="shared" si="94"/>
        <v>0</v>
      </c>
      <c r="K447" s="205">
        <f t="shared" si="95"/>
        <v>0</v>
      </c>
      <c r="L447" s="430">
        <f t="shared" si="96"/>
        <v>116000</v>
      </c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 spans="1:26" ht="14.4">
      <c r="A448" s="427"/>
      <c r="B448" s="428" t="s">
        <v>529</v>
      </c>
      <c r="C448" s="431"/>
      <c r="D448" s="321"/>
      <c r="E448" s="321"/>
      <c r="F448" s="429">
        <f t="shared" si="93"/>
        <v>0</v>
      </c>
      <c r="G448" s="203">
        <v>85000</v>
      </c>
      <c r="H448" s="203">
        <v>64000</v>
      </c>
      <c r="I448" s="204"/>
      <c r="J448" s="205">
        <f t="shared" si="94"/>
        <v>0</v>
      </c>
      <c r="K448" s="205">
        <f t="shared" si="95"/>
        <v>0</v>
      </c>
      <c r="L448" s="430">
        <f t="shared" si="96"/>
        <v>0</v>
      </c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 spans="1:26" ht="14.4">
      <c r="A449" s="427"/>
      <c r="B449" s="428" t="s">
        <v>670</v>
      </c>
      <c r="C449" s="431">
        <v>1</v>
      </c>
      <c r="D449" s="321"/>
      <c r="E449" s="321"/>
      <c r="F449" s="429">
        <f t="shared" si="93"/>
        <v>1</v>
      </c>
      <c r="G449" s="203">
        <v>69000</v>
      </c>
      <c r="H449" s="203">
        <v>75000</v>
      </c>
      <c r="I449" s="204"/>
      <c r="J449" s="205">
        <f t="shared" si="94"/>
        <v>0</v>
      </c>
      <c r="K449" s="205">
        <f t="shared" si="95"/>
        <v>0</v>
      </c>
      <c r="L449" s="430">
        <f t="shared" si="96"/>
        <v>69000</v>
      </c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 spans="1:26" ht="14.4">
      <c r="A450" s="427"/>
      <c r="B450" s="428" t="s">
        <v>671</v>
      </c>
      <c r="C450" s="431">
        <v>2</v>
      </c>
      <c r="D450" s="321"/>
      <c r="E450" s="321"/>
      <c r="F450" s="429">
        <f t="shared" si="93"/>
        <v>2</v>
      </c>
      <c r="G450" s="203">
        <v>69000</v>
      </c>
      <c r="H450" s="203">
        <v>75000</v>
      </c>
      <c r="I450" s="204"/>
      <c r="J450" s="205">
        <f t="shared" si="94"/>
        <v>0</v>
      </c>
      <c r="K450" s="205">
        <f t="shared" si="95"/>
        <v>0</v>
      </c>
      <c r="L450" s="430">
        <f t="shared" si="96"/>
        <v>138000</v>
      </c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 spans="1:26" ht="14.4">
      <c r="A451" s="427"/>
      <c r="B451" s="428" t="s">
        <v>530</v>
      </c>
      <c r="C451" s="431">
        <v>3</v>
      </c>
      <c r="D451" s="321"/>
      <c r="E451" s="321"/>
      <c r="F451" s="429">
        <f t="shared" si="93"/>
        <v>3</v>
      </c>
      <c r="G451" s="203">
        <v>70000</v>
      </c>
      <c r="H451" s="203">
        <v>75000</v>
      </c>
      <c r="I451" s="204"/>
      <c r="J451" s="205">
        <f t="shared" si="94"/>
        <v>0</v>
      </c>
      <c r="K451" s="205">
        <f t="shared" si="95"/>
        <v>0</v>
      </c>
      <c r="L451" s="430">
        <f t="shared" si="96"/>
        <v>210000</v>
      </c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 spans="1:26" ht="14.4">
      <c r="A452" s="427"/>
      <c r="B452" s="428" t="s">
        <v>531</v>
      </c>
      <c r="C452" s="431"/>
      <c r="D452" s="321"/>
      <c r="E452" s="321"/>
      <c r="F452" s="429">
        <f t="shared" si="93"/>
        <v>0</v>
      </c>
      <c r="G452" s="203">
        <v>195088</v>
      </c>
      <c r="H452" s="203">
        <v>22000</v>
      </c>
      <c r="I452" s="204"/>
      <c r="J452" s="205">
        <f t="shared" si="94"/>
        <v>0</v>
      </c>
      <c r="K452" s="205">
        <f t="shared" si="95"/>
        <v>0</v>
      </c>
      <c r="L452" s="430">
        <f t="shared" si="96"/>
        <v>0</v>
      </c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 spans="1:26" ht="14.4">
      <c r="A453" s="427"/>
      <c r="B453" s="428" t="s">
        <v>532</v>
      </c>
      <c r="C453" s="431">
        <v>9</v>
      </c>
      <c r="D453" s="321"/>
      <c r="E453" s="321"/>
      <c r="F453" s="429">
        <f t="shared" si="93"/>
        <v>9</v>
      </c>
      <c r="G453" s="203">
        <v>75000</v>
      </c>
      <c r="H453" s="203">
        <v>80000</v>
      </c>
      <c r="I453" s="204"/>
      <c r="J453" s="205">
        <f t="shared" si="94"/>
        <v>0</v>
      </c>
      <c r="K453" s="205">
        <f t="shared" si="95"/>
        <v>0</v>
      </c>
      <c r="L453" s="430">
        <f t="shared" si="96"/>
        <v>675000</v>
      </c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 spans="1:26" ht="14.4">
      <c r="A454" s="427"/>
      <c r="B454" s="428" t="s">
        <v>533</v>
      </c>
      <c r="C454" s="431">
        <v>1</v>
      </c>
      <c r="D454" s="321"/>
      <c r="E454" s="321"/>
      <c r="F454" s="429">
        <f t="shared" si="93"/>
        <v>1</v>
      </c>
      <c r="G454" s="203">
        <v>38000</v>
      </c>
      <c r="H454" s="203">
        <v>42000</v>
      </c>
      <c r="I454" s="204"/>
      <c r="J454" s="205">
        <f t="shared" si="94"/>
        <v>0</v>
      </c>
      <c r="K454" s="205">
        <f t="shared" si="95"/>
        <v>0</v>
      </c>
      <c r="L454" s="430">
        <f t="shared" si="96"/>
        <v>38000</v>
      </c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 spans="1:26" ht="14.4">
      <c r="A455" s="427"/>
      <c r="B455" s="428" t="s">
        <v>534</v>
      </c>
      <c r="C455" s="431">
        <v>2</v>
      </c>
      <c r="D455" s="321"/>
      <c r="E455" s="321"/>
      <c r="F455" s="429">
        <f t="shared" si="93"/>
        <v>2</v>
      </c>
      <c r="G455" s="203">
        <v>105000</v>
      </c>
      <c r="H455" s="203">
        <v>80000</v>
      </c>
      <c r="I455" s="204"/>
      <c r="J455" s="205">
        <f t="shared" si="94"/>
        <v>0</v>
      </c>
      <c r="K455" s="205">
        <f t="shared" si="95"/>
        <v>0</v>
      </c>
      <c r="L455" s="430">
        <f t="shared" si="96"/>
        <v>210000</v>
      </c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 spans="1:26" ht="14.4">
      <c r="A456" s="427"/>
      <c r="B456" s="428" t="s">
        <v>535</v>
      </c>
      <c r="C456" s="431">
        <v>1</v>
      </c>
      <c r="D456" s="321"/>
      <c r="E456" s="321"/>
      <c r="F456" s="429">
        <f t="shared" si="93"/>
        <v>1</v>
      </c>
      <c r="G456" s="203">
        <v>94000</v>
      </c>
      <c r="H456" s="203">
        <v>100000</v>
      </c>
      <c r="I456" s="204"/>
      <c r="J456" s="205">
        <f t="shared" si="94"/>
        <v>0</v>
      </c>
      <c r="K456" s="205">
        <f t="shared" si="95"/>
        <v>0</v>
      </c>
      <c r="L456" s="430">
        <f t="shared" si="96"/>
        <v>94000</v>
      </c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 spans="1:26" ht="14.4">
      <c r="A457" s="427"/>
      <c r="B457" s="428" t="s">
        <v>536</v>
      </c>
      <c r="C457" s="431"/>
      <c r="D457" s="321"/>
      <c r="E457" s="321"/>
      <c r="F457" s="429">
        <f t="shared" si="93"/>
        <v>0</v>
      </c>
      <c r="G457" s="203">
        <v>78500</v>
      </c>
      <c r="H457" s="203">
        <v>88000</v>
      </c>
      <c r="I457" s="204"/>
      <c r="J457" s="205">
        <f t="shared" si="94"/>
        <v>0</v>
      </c>
      <c r="K457" s="205">
        <f t="shared" si="95"/>
        <v>0</v>
      </c>
      <c r="L457" s="430">
        <f t="shared" si="96"/>
        <v>0</v>
      </c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 spans="1:26" ht="14.4">
      <c r="A458" s="427"/>
      <c r="B458" s="428" t="s">
        <v>537</v>
      </c>
      <c r="C458" s="431"/>
      <c r="D458" s="321"/>
      <c r="E458" s="321"/>
      <c r="F458" s="429">
        <f t="shared" si="93"/>
        <v>0</v>
      </c>
      <c r="G458" s="203">
        <v>43000</v>
      </c>
      <c r="H458" s="203">
        <v>47000</v>
      </c>
      <c r="I458" s="204"/>
      <c r="J458" s="205">
        <f t="shared" si="94"/>
        <v>0</v>
      </c>
      <c r="K458" s="205">
        <f t="shared" si="95"/>
        <v>0</v>
      </c>
      <c r="L458" s="430">
        <f t="shared" si="96"/>
        <v>0</v>
      </c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 spans="1:26" ht="14.4">
      <c r="A459" s="427"/>
      <c r="B459" s="428" t="s">
        <v>538</v>
      </c>
      <c r="C459" s="431"/>
      <c r="D459" s="321"/>
      <c r="E459" s="321"/>
      <c r="F459" s="429">
        <f t="shared" si="93"/>
        <v>0</v>
      </c>
      <c r="G459" s="203">
        <v>93420</v>
      </c>
      <c r="H459" s="203">
        <v>105000</v>
      </c>
      <c r="I459" s="204"/>
      <c r="J459" s="205">
        <f t="shared" si="94"/>
        <v>0</v>
      </c>
      <c r="K459" s="205">
        <f t="shared" si="95"/>
        <v>0</v>
      </c>
      <c r="L459" s="430">
        <f t="shared" si="96"/>
        <v>0</v>
      </c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 spans="1:26" ht="14.4">
      <c r="A460" s="427"/>
      <c r="B460" s="428" t="s">
        <v>539</v>
      </c>
      <c r="C460" s="321"/>
      <c r="D460" s="321"/>
      <c r="E460" s="321"/>
      <c r="F460" s="429">
        <f t="shared" si="93"/>
        <v>0</v>
      </c>
      <c r="G460" s="203">
        <v>91300</v>
      </c>
      <c r="H460" s="203">
        <v>97000</v>
      </c>
      <c r="I460" s="204"/>
      <c r="J460" s="205">
        <f t="shared" si="94"/>
        <v>0</v>
      </c>
      <c r="K460" s="205">
        <f t="shared" si="95"/>
        <v>0</v>
      </c>
      <c r="L460" s="430">
        <f t="shared" si="96"/>
        <v>0</v>
      </c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 spans="1:26" ht="14.4">
      <c r="A461" s="427"/>
      <c r="B461" s="428" t="s">
        <v>540</v>
      </c>
      <c r="C461" s="431"/>
      <c r="D461" s="321"/>
      <c r="E461" s="321"/>
      <c r="F461" s="429">
        <f t="shared" si="93"/>
        <v>0</v>
      </c>
      <c r="G461" s="203">
        <v>70000</v>
      </c>
      <c r="H461" s="203">
        <v>75000</v>
      </c>
      <c r="I461" s="204"/>
      <c r="J461" s="205">
        <f t="shared" si="94"/>
        <v>0</v>
      </c>
      <c r="K461" s="205">
        <f t="shared" si="95"/>
        <v>0</v>
      </c>
      <c r="L461" s="430">
        <f t="shared" si="96"/>
        <v>0</v>
      </c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 spans="1:26" ht="14.4">
      <c r="A462" s="427"/>
      <c r="B462" s="428" t="s">
        <v>541</v>
      </c>
      <c r="C462" s="431">
        <v>1</v>
      </c>
      <c r="D462" s="321"/>
      <c r="E462" s="321"/>
      <c r="F462" s="429">
        <f t="shared" si="93"/>
        <v>1</v>
      </c>
      <c r="G462" s="203">
        <v>37300</v>
      </c>
      <c r="H462" s="203">
        <v>40000</v>
      </c>
      <c r="I462" s="204"/>
      <c r="J462" s="205">
        <f t="shared" si="94"/>
        <v>0</v>
      </c>
      <c r="K462" s="205">
        <f t="shared" si="95"/>
        <v>0</v>
      </c>
      <c r="L462" s="430">
        <f t="shared" si="96"/>
        <v>37300</v>
      </c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 spans="1:26" ht="14.4">
      <c r="A463" s="427"/>
      <c r="B463" s="428" t="s">
        <v>542</v>
      </c>
      <c r="C463" s="321">
        <v>2</v>
      </c>
      <c r="D463" s="321"/>
      <c r="E463" s="321"/>
      <c r="F463" s="429">
        <f t="shared" si="93"/>
        <v>2</v>
      </c>
      <c r="G463" s="203">
        <v>70000</v>
      </c>
      <c r="H463" s="203">
        <v>75000</v>
      </c>
      <c r="I463" s="204"/>
      <c r="J463" s="205">
        <f t="shared" si="94"/>
        <v>0</v>
      </c>
      <c r="K463" s="205">
        <f t="shared" si="95"/>
        <v>0</v>
      </c>
      <c r="L463" s="430">
        <f t="shared" si="96"/>
        <v>140000</v>
      </c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 spans="1:26" ht="14.4">
      <c r="A464" s="427"/>
      <c r="B464" s="428" t="s">
        <v>543</v>
      </c>
      <c r="C464" s="431"/>
      <c r="D464" s="321"/>
      <c r="E464" s="321"/>
      <c r="F464" s="429">
        <f t="shared" si="93"/>
        <v>0</v>
      </c>
      <c r="G464" s="203">
        <v>37300</v>
      </c>
      <c r="H464" s="203">
        <v>40000</v>
      </c>
      <c r="I464" s="204"/>
      <c r="J464" s="205">
        <f t="shared" si="94"/>
        <v>0</v>
      </c>
      <c r="K464" s="205">
        <f t="shared" si="95"/>
        <v>0</v>
      </c>
      <c r="L464" s="430">
        <f t="shared" si="96"/>
        <v>0</v>
      </c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 spans="1:26" ht="14.4">
      <c r="A465" s="427"/>
      <c r="B465" s="428" t="s">
        <v>544</v>
      </c>
      <c r="C465" s="431"/>
      <c r="D465" s="321"/>
      <c r="E465" s="321"/>
      <c r="F465" s="429">
        <f t="shared" si="93"/>
        <v>0</v>
      </c>
      <c r="G465" s="203">
        <v>77500</v>
      </c>
      <c r="H465" s="203">
        <v>84000</v>
      </c>
      <c r="I465" s="204"/>
      <c r="J465" s="205">
        <f t="shared" si="94"/>
        <v>0</v>
      </c>
      <c r="K465" s="205">
        <f t="shared" si="95"/>
        <v>0</v>
      </c>
      <c r="L465" s="430">
        <f t="shared" si="96"/>
        <v>0</v>
      </c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 spans="1:26" ht="14.4">
      <c r="A466" s="427"/>
      <c r="B466" s="428" t="s">
        <v>545</v>
      </c>
      <c r="C466" s="431"/>
      <c r="D466" s="321"/>
      <c r="E466" s="321"/>
      <c r="F466" s="429">
        <f t="shared" si="93"/>
        <v>0</v>
      </c>
      <c r="G466" s="203">
        <v>194000</v>
      </c>
      <c r="H466" s="203">
        <v>205000</v>
      </c>
      <c r="I466" s="204"/>
      <c r="J466" s="205">
        <f t="shared" si="94"/>
        <v>0</v>
      </c>
      <c r="K466" s="205">
        <f t="shared" si="95"/>
        <v>0</v>
      </c>
      <c r="L466" s="430">
        <f t="shared" si="96"/>
        <v>0</v>
      </c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 spans="1:26" ht="14.4">
      <c r="A467" s="427"/>
      <c r="B467" s="428" t="s">
        <v>546</v>
      </c>
      <c r="C467" s="321"/>
      <c r="D467" s="321"/>
      <c r="E467" s="321"/>
      <c r="F467" s="429">
        <f t="shared" si="93"/>
        <v>0</v>
      </c>
      <c r="G467" s="203">
        <v>5000</v>
      </c>
      <c r="H467" s="203">
        <v>5500</v>
      </c>
      <c r="I467" s="204"/>
      <c r="J467" s="205">
        <f t="shared" si="94"/>
        <v>0</v>
      </c>
      <c r="K467" s="205">
        <f t="shared" si="95"/>
        <v>0</v>
      </c>
      <c r="L467" s="430">
        <f t="shared" si="96"/>
        <v>0</v>
      </c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 spans="1:26" ht="14.4">
      <c r="A468" s="427"/>
      <c r="B468" s="428" t="s">
        <v>547</v>
      </c>
      <c r="C468" s="431"/>
      <c r="D468" s="321"/>
      <c r="E468" s="321"/>
      <c r="F468" s="429">
        <f t="shared" si="93"/>
        <v>0</v>
      </c>
      <c r="G468" s="203">
        <v>3200</v>
      </c>
      <c r="H468" s="203">
        <v>3600</v>
      </c>
      <c r="I468" s="204"/>
      <c r="J468" s="205">
        <f t="shared" si="94"/>
        <v>0</v>
      </c>
      <c r="K468" s="205">
        <f t="shared" si="95"/>
        <v>0</v>
      </c>
      <c r="L468" s="430">
        <f t="shared" si="96"/>
        <v>0</v>
      </c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 spans="1:26" ht="14.4">
      <c r="A469" s="427"/>
      <c r="B469" s="428" t="s">
        <v>548</v>
      </c>
      <c r="C469" s="431"/>
      <c r="D469" s="321"/>
      <c r="E469" s="321"/>
      <c r="F469" s="429">
        <f t="shared" si="93"/>
        <v>0</v>
      </c>
      <c r="G469" s="203">
        <v>270000</v>
      </c>
      <c r="H469" s="203">
        <v>300000</v>
      </c>
      <c r="I469" s="204"/>
      <c r="J469" s="205">
        <f t="shared" si="94"/>
        <v>0</v>
      </c>
      <c r="K469" s="205">
        <f t="shared" si="95"/>
        <v>0</v>
      </c>
      <c r="L469" s="430">
        <f t="shared" si="96"/>
        <v>0</v>
      </c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 spans="1:26" ht="14.4">
      <c r="A470" s="427"/>
      <c r="B470" s="428" t="s">
        <v>549</v>
      </c>
      <c r="C470" s="431">
        <v>1</v>
      </c>
      <c r="D470" s="321"/>
      <c r="E470" s="321"/>
      <c r="F470" s="429">
        <f t="shared" si="93"/>
        <v>1</v>
      </c>
      <c r="G470" s="210">
        <v>260000</v>
      </c>
      <c r="H470" s="210">
        <v>290000</v>
      </c>
      <c r="I470" s="445"/>
      <c r="J470" s="205">
        <f t="shared" si="94"/>
        <v>0</v>
      </c>
      <c r="K470" s="205">
        <f t="shared" si="95"/>
        <v>0</v>
      </c>
      <c r="L470" s="430">
        <f t="shared" si="96"/>
        <v>260000</v>
      </c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 spans="1:26" ht="14.4">
      <c r="A471" s="427"/>
      <c r="B471" s="434" t="s">
        <v>550</v>
      </c>
      <c r="C471" s="431"/>
      <c r="D471" s="321"/>
      <c r="E471" s="321"/>
      <c r="F471" s="429">
        <f t="shared" si="93"/>
        <v>0</v>
      </c>
      <c r="G471" s="210">
        <v>160000</v>
      </c>
      <c r="H471" s="210">
        <v>170000</v>
      </c>
      <c r="I471" s="445"/>
      <c r="J471" s="205">
        <f t="shared" si="94"/>
        <v>0</v>
      </c>
      <c r="K471" s="205">
        <f t="shared" si="95"/>
        <v>0</v>
      </c>
      <c r="L471" s="430">
        <f t="shared" si="96"/>
        <v>0</v>
      </c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 spans="1:26" ht="14.4">
      <c r="A472" s="437"/>
      <c r="B472" s="438"/>
      <c r="C472" s="447">
        <f t="shared" ref="C472:L472" si="97">+SUM(C444:C471)</f>
        <v>29</v>
      </c>
      <c r="D472" s="447">
        <f t="shared" si="97"/>
        <v>0</v>
      </c>
      <c r="E472" s="447">
        <f t="shared" si="97"/>
        <v>0</v>
      </c>
      <c r="F472" s="447">
        <f t="shared" si="97"/>
        <v>29</v>
      </c>
      <c r="G472" s="448">
        <f t="shared" si="97"/>
        <v>2646858</v>
      </c>
      <c r="H472" s="448">
        <f t="shared" si="97"/>
        <v>2623100</v>
      </c>
      <c r="I472" s="449">
        <f t="shared" si="97"/>
        <v>0</v>
      </c>
      <c r="J472" s="448">
        <f t="shared" si="97"/>
        <v>0</v>
      </c>
      <c r="K472" s="448">
        <f t="shared" si="97"/>
        <v>0</v>
      </c>
      <c r="L472" s="448">
        <f t="shared" si="97"/>
        <v>2403550</v>
      </c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 spans="1:26" ht="14.4">
      <c r="A473" s="450"/>
      <c r="B473" s="428" t="s">
        <v>551</v>
      </c>
      <c r="C473" s="431">
        <v>5</v>
      </c>
      <c r="D473" s="321"/>
      <c r="E473" s="321"/>
      <c r="F473" s="429">
        <f t="shared" ref="F473:F581" si="98">+C473+D473-E473</f>
        <v>5</v>
      </c>
      <c r="G473" s="203">
        <v>49000</v>
      </c>
      <c r="H473" s="203">
        <v>58000</v>
      </c>
      <c r="I473" s="204"/>
      <c r="J473" s="205">
        <f t="shared" ref="J473:J579" si="99">+I473*H473</f>
        <v>0</v>
      </c>
      <c r="K473" s="205">
        <f t="shared" ref="K473:K579" si="100">+(H473-G473)*I473</f>
        <v>0</v>
      </c>
      <c r="L473" s="430">
        <f t="shared" ref="L473:L579" si="101">+G473*F473</f>
        <v>245000</v>
      </c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 spans="1:26" ht="14.4">
      <c r="A474" s="450"/>
      <c r="B474" s="428" t="s">
        <v>552</v>
      </c>
      <c r="C474" s="431">
        <v>2</v>
      </c>
      <c r="D474" s="321"/>
      <c r="E474" s="321"/>
      <c r="F474" s="429">
        <f t="shared" si="98"/>
        <v>2</v>
      </c>
      <c r="G474" s="203">
        <v>28000</v>
      </c>
      <c r="H474" s="203">
        <v>32000</v>
      </c>
      <c r="I474" s="204"/>
      <c r="J474" s="205">
        <f t="shared" si="99"/>
        <v>0</v>
      </c>
      <c r="K474" s="205">
        <f t="shared" si="100"/>
        <v>0</v>
      </c>
      <c r="L474" s="430">
        <f t="shared" si="101"/>
        <v>56000</v>
      </c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 spans="1:26" ht="14.4">
      <c r="A475" s="450"/>
      <c r="B475" s="428" t="s">
        <v>553</v>
      </c>
      <c r="C475" s="431">
        <v>0</v>
      </c>
      <c r="D475" s="321"/>
      <c r="E475" s="321"/>
      <c r="F475" s="429">
        <f t="shared" si="98"/>
        <v>0</v>
      </c>
      <c r="G475" s="203">
        <v>71800</v>
      </c>
      <c r="H475" s="203">
        <v>73000</v>
      </c>
      <c r="I475" s="204"/>
      <c r="J475" s="205">
        <f t="shared" si="99"/>
        <v>0</v>
      </c>
      <c r="K475" s="205">
        <f t="shared" si="100"/>
        <v>0</v>
      </c>
      <c r="L475" s="430">
        <f t="shared" si="101"/>
        <v>0</v>
      </c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 spans="1:26" ht="14.4">
      <c r="A476" s="450"/>
      <c r="B476" s="428" t="s">
        <v>554</v>
      </c>
      <c r="C476" s="321">
        <v>3</v>
      </c>
      <c r="D476" s="321"/>
      <c r="E476" s="321"/>
      <c r="F476" s="429">
        <f t="shared" si="98"/>
        <v>3</v>
      </c>
      <c r="G476" s="203">
        <v>57600</v>
      </c>
      <c r="H476" s="203">
        <v>62000</v>
      </c>
      <c r="I476" s="204"/>
      <c r="J476" s="205">
        <f t="shared" si="99"/>
        <v>0</v>
      </c>
      <c r="K476" s="205">
        <f t="shared" si="100"/>
        <v>0</v>
      </c>
      <c r="L476" s="430">
        <f t="shared" si="101"/>
        <v>172800</v>
      </c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 spans="1:26" ht="14.4">
      <c r="A477" s="450"/>
      <c r="B477" s="428" t="s">
        <v>555</v>
      </c>
      <c r="C477" s="321">
        <v>2</v>
      </c>
      <c r="D477" s="321"/>
      <c r="E477" s="321"/>
      <c r="F477" s="429">
        <f t="shared" si="98"/>
        <v>2</v>
      </c>
      <c r="G477" s="203">
        <v>116260</v>
      </c>
      <c r="H477" s="203">
        <v>123000</v>
      </c>
      <c r="I477" s="204"/>
      <c r="J477" s="205">
        <f t="shared" si="99"/>
        <v>0</v>
      </c>
      <c r="K477" s="205">
        <f t="shared" si="100"/>
        <v>0</v>
      </c>
      <c r="L477" s="430">
        <f t="shared" si="101"/>
        <v>232520</v>
      </c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 spans="1:26" ht="14.4">
      <c r="A478" s="450"/>
      <c r="B478" s="428" t="s">
        <v>556</v>
      </c>
      <c r="C478" s="431">
        <v>3</v>
      </c>
      <c r="D478" s="321"/>
      <c r="E478" s="321"/>
      <c r="F478" s="429">
        <f t="shared" si="98"/>
        <v>3</v>
      </c>
      <c r="G478" s="203">
        <v>51000</v>
      </c>
      <c r="H478" s="203">
        <v>58000</v>
      </c>
      <c r="I478" s="204"/>
      <c r="J478" s="205">
        <f t="shared" si="99"/>
        <v>0</v>
      </c>
      <c r="K478" s="205">
        <f t="shared" si="100"/>
        <v>0</v>
      </c>
      <c r="L478" s="430">
        <f t="shared" si="101"/>
        <v>153000</v>
      </c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 spans="1:26" ht="14.4">
      <c r="A479" s="450"/>
      <c r="B479" s="428" t="s">
        <v>557</v>
      </c>
      <c r="C479" s="431">
        <v>2</v>
      </c>
      <c r="D479" s="321"/>
      <c r="E479" s="321"/>
      <c r="F479" s="429">
        <f t="shared" si="98"/>
        <v>2</v>
      </c>
      <c r="G479" s="203">
        <v>51000</v>
      </c>
      <c r="H479" s="203">
        <v>58000</v>
      </c>
      <c r="I479" s="204"/>
      <c r="J479" s="205">
        <f t="shared" si="99"/>
        <v>0</v>
      </c>
      <c r="K479" s="205">
        <f t="shared" si="100"/>
        <v>0</v>
      </c>
      <c r="L479" s="430">
        <f t="shared" si="101"/>
        <v>102000</v>
      </c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 spans="1:26" ht="14.4">
      <c r="A480" s="450"/>
      <c r="B480" s="428" t="s">
        <v>558</v>
      </c>
      <c r="C480" s="431">
        <v>3</v>
      </c>
      <c r="D480" s="321"/>
      <c r="E480" s="321"/>
      <c r="F480" s="429">
        <f t="shared" si="98"/>
        <v>3</v>
      </c>
      <c r="G480" s="203">
        <v>51000</v>
      </c>
      <c r="H480" s="203">
        <v>58000</v>
      </c>
      <c r="I480" s="204"/>
      <c r="J480" s="205">
        <f t="shared" si="99"/>
        <v>0</v>
      </c>
      <c r="K480" s="205">
        <f t="shared" si="100"/>
        <v>0</v>
      </c>
      <c r="L480" s="430">
        <f t="shared" si="101"/>
        <v>153000</v>
      </c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 spans="1:26" ht="14.4">
      <c r="A481" s="450"/>
      <c r="B481" s="428" t="s">
        <v>559</v>
      </c>
      <c r="C481" s="431">
        <v>1</v>
      </c>
      <c r="D481" s="321"/>
      <c r="E481" s="321"/>
      <c r="F481" s="429">
        <f t="shared" si="98"/>
        <v>1</v>
      </c>
      <c r="G481" s="203">
        <v>51000</v>
      </c>
      <c r="H481" s="203">
        <v>58000</v>
      </c>
      <c r="I481" s="204"/>
      <c r="J481" s="205">
        <f t="shared" si="99"/>
        <v>0</v>
      </c>
      <c r="K481" s="205">
        <f t="shared" si="100"/>
        <v>0</v>
      </c>
      <c r="L481" s="430">
        <f t="shared" si="101"/>
        <v>51000</v>
      </c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 spans="1:26" ht="14.4">
      <c r="A482" s="450"/>
      <c r="B482" s="428" t="s">
        <v>560</v>
      </c>
      <c r="C482" s="431">
        <v>4</v>
      </c>
      <c r="D482" s="321"/>
      <c r="E482" s="321"/>
      <c r="F482" s="429">
        <f t="shared" si="98"/>
        <v>4</v>
      </c>
      <c r="G482" s="203">
        <v>51000</v>
      </c>
      <c r="H482" s="203">
        <v>58000</v>
      </c>
      <c r="I482" s="204"/>
      <c r="J482" s="205">
        <f t="shared" si="99"/>
        <v>0</v>
      </c>
      <c r="K482" s="205">
        <f t="shared" si="100"/>
        <v>0</v>
      </c>
      <c r="L482" s="430">
        <f t="shared" si="101"/>
        <v>204000</v>
      </c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 spans="1:26" ht="14.4">
      <c r="A483" s="450"/>
      <c r="B483" s="428" t="s">
        <v>561</v>
      </c>
      <c r="C483" s="431"/>
      <c r="D483" s="321"/>
      <c r="E483" s="321"/>
      <c r="F483" s="429">
        <f t="shared" si="98"/>
        <v>0</v>
      </c>
      <c r="G483" s="203">
        <v>17286</v>
      </c>
      <c r="H483" s="203">
        <v>20000</v>
      </c>
      <c r="I483" s="204"/>
      <c r="J483" s="205">
        <f t="shared" si="99"/>
        <v>0</v>
      </c>
      <c r="K483" s="205">
        <f t="shared" si="100"/>
        <v>0</v>
      </c>
      <c r="L483" s="430">
        <f t="shared" si="101"/>
        <v>0</v>
      </c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 spans="1:26" ht="14.4">
      <c r="A484" s="450"/>
      <c r="B484" s="428" t="s">
        <v>562</v>
      </c>
      <c r="C484" s="431">
        <v>2</v>
      </c>
      <c r="D484" s="321"/>
      <c r="E484" s="321"/>
      <c r="F484" s="429">
        <f t="shared" si="98"/>
        <v>2</v>
      </c>
      <c r="G484" s="203">
        <v>90324</v>
      </c>
      <c r="H484" s="203">
        <v>92000</v>
      </c>
      <c r="I484" s="204"/>
      <c r="J484" s="205">
        <f t="shared" si="99"/>
        <v>0</v>
      </c>
      <c r="K484" s="205">
        <f t="shared" si="100"/>
        <v>0</v>
      </c>
      <c r="L484" s="430">
        <f t="shared" si="101"/>
        <v>180648</v>
      </c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 spans="1:26" ht="14.4">
      <c r="A485" s="450"/>
      <c r="B485" s="428" t="s">
        <v>563</v>
      </c>
      <c r="C485" s="431">
        <v>2</v>
      </c>
      <c r="D485" s="321"/>
      <c r="E485" s="321"/>
      <c r="F485" s="429">
        <f t="shared" si="98"/>
        <v>2</v>
      </c>
      <c r="G485" s="203">
        <v>65477</v>
      </c>
      <c r="H485" s="203">
        <v>67000</v>
      </c>
      <c r="I485" s="204"/>
      <c r="J485" s="205">
        <f t="shared" si="99"/>
        <v>0</v>
      </c>
      <c r="K485" s="205">
        <f t="shared" si="100"/>
        <v>0</v>
      </c>
      <c r="L485" s="430">
        <f t="shared" si="101"/>
        <v>130954</v>
      </c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 spans="1:26" ht="14.4">
      <c r="A486" s="450"/>
      <c r="B486" s="428" t="s">
        <v>564</v>
      </c>
      <c r="C486" s="431">
        <v>2</v>
      </c>
      <c r="D486" s="321"/>
      <c r="E486" s="321"/>
      <c r="F486" s="429">
        <f t="shared" si="98"/>
        <v>2</v>
      </c>
      <c r="G486" s="203">
        <v>40825</v>
      </c>
      <c r="H486" s="203">
        <v>41000</v>
      </c>
      <c r="I486" s="204"/>
      <c r="J486" s="205">
        <f t="shared" si="99"/>
        <v>0</v>
      </c>
      <c r="K486" s="205">
        <f t="shared" si="100"/>
        <v>0</v>
      </c>
      <c r="L486" s="430">
        <f t="shared" si="101"/>
        <v>81650</v>
      </c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 spans="1:26" ht="14.4">
      <c r="A487" s="450"/>
      <c r="B487" s="428" t="s">
        <v>565</v>
      </c>
      <c r="C487" s="431"/>
      <c r="D487" s="321"/>
      <c r="E487" s="321"/>
      <c r="F487" s="429">
        <f t="shared" si="98"/>
        <v>0</v>
      </c>
      <c r="G487" s="203">
        <v>81000</v>
      </c>
      <c r="H487" s="203">
        <v>84000</v>
      </c>
      <c r="I487" s="204"/>
      <c r="J487" s="205">
        <f t="shared" si="99"/>
        <v>0</v>
      </c>
      <c r="K487" s="205">
        <f t="shared" si="100"/>
        <v>0</v>
      </c>
      <c r="L487" s="430">
        <f t="shared" si="101"/>
        <v>0</v>
      </c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 spans="1:26" ht="14.4">
      <c r="A488" s="450"/>
      <c r="B488" s="428" t="s">
        <v>566</v>
      </c>
      <c r="C488" s="431"/>
      <c r="D488" s="321"/>
      <c r="E488" s="321"/>
      <c r="F488" s="429">
        <f t="shared" si="98"/>
        <v>0</v>
      </c>
      <c r="G488" s="203">
        <v>27900</v>
      </c>
      <c r="H488" s="203">
        <v>29500</v>
      </c>
      <c r="I488" s="204"/>
      <c r="J488" s="205">
        <f t="shared" si="99"/>
        <v>0</v>
      </c>
      <c r="K488" s="205">
        <f t="shared" si="100"/>
        <v>0</v>
      </c>
      <c r="L488" s="430">
        <f t="shared" si="101"/>
        <v>0</v>
      </c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 spans="1:26" ht="14.4">
      <c r="A489" s="450"/>
      <c r="B489" s="428" t="s">
        <v>567</v>
      </c>
      <c r="C489" s="431"/>
      <c r="D489" s="321"/>
      <c r="E489" s="321"/>
      <c r="F489" s="429">
        <f t="shared" si="98"/>
        <v>0</v>
      </c>
      <c r="G489" s="203">
        <v>25700</v>
      </c>
      <c r="H489" s="203">
        <v>28000</v>
      </c>
      <c r="I489" s="204"/>
      <c r="J489" s="205">
        <f t="shared" si="99"/>
        <v>0</v>
      </c>
      <c r="K489" s="205">
        <f t="shared" si="100"/>
        <v>0</v>
      </c>
      <c r="L489" s="430">
        <f t="shared" si="101"/>
        <v>0</v>
      </c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 spans="1:26" ht="14.4">
      <c r="A490" s="450"/>
      <c r="B490" s="428" t="s">
        <v>568</v>
      </c>
      <c r="C490" s="431"/>
      <c r="D490" s="321"/>
      <c r="E490" s="321"/>
      <c r="F490" s="429">
        <f t="shared" si="98"/>
        <v>0</v>
      </c>
      <c r="G490" s="203">
        <v>36000</v>
      </c>
      <c r="H490" s="203">
        <v>40000</v>
      </c>
      <c r="I490" s="204"/>
      <c r="J490" s="205">
        <f t="shared" si="99"/>
        <v>0</v>
      </c>
      <c r="K490" s="205">
        <f t="shared" si="100"/>
        <v>0</v>
      </c>
      <c r="L490" s="430">
        <f t="shared" si="101"/>
        <v>0</v>
      </c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 spans="1:26" ht="14.4">
      <c r="A491" s="450"/>
      <c r="B491" s="428" t="s">
        <v>569</v>
      </c>
      <c r="C491" s="431"/>
      <c r="D491" s="321"/>
      <c r="E491" s="321"/>
      <c r="F491" s="429">
        <f t="shared" si="98"/>
        <v>0</v>
      </c>
      <c r="G491" s="203">
        <v>19800</v>
      </c>
      <c r="H491" s="203">
        <v>24000</v>
      </c>
      <c r="I491" s="204"/>
      <c r="J491" s="205">
        <f t="shared" si="99"/>
        <v>0</v>
      </c>
      <c r="K491" s="205">
        <f t="shared" si="100"/>
        <v>0</v>
      </c>
      <c r="L491" s="430">
        <f t="shared" si="101"/>
        <v>0</v>
      </c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 spans="1:26" ht="14.4">
      <c r="A492" s="450"/>
      <c r="B492" s="428" t="s">
        <v>570</v>
      </c>
      <c r="C492" s="431">
        <v>1</v>
      </c>
      <c r="D492" s="321"/>
      <c r="E492" s="321"/>
      <c r="F492" s="429">
        <f t="shared" si="98"/>
        <v>1</v>
      </c>
      <c r="G492" s="203">
        <v>24000</v>
      </c>
      <c r="H492" s="203">
        <v>26000</v>
      </c>
      <c r="I492" s="204"/>
      <c r="J492" s="205">
        <f t="shared" si="99"/>
        <v>0</v>
      </c>
      <c r="K492" s="205">
        <f t="shared" si="100"/>
        <v>0</v>
      </c>
      <c r="L492" s="430">
        <f t="shared" si="101"/>
        <v>24000</v>
      </c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 spans="1:26" ht="14.4">
      <c r="A493" s="450"/>
      <c r="B493" s="428" t="s">
        <v>571</v>
      </c>
      <c r="C493" s="431"/>
      <c r="D493" s="321"/>
      <c r="E493" s="321"/>
      <c r="F493" s="429">
        <f t="shared" si="98"/>
        <v>0</v>
      </c>
      <c r="G493" s="203">
        <v>45000</v>
      </c>
      <c r="H493" s="203">
        <v>44000</v>
      </c>
      <c r="I493" s="204"/>
      <c r="J493" s="205">
        <f t="shared" si="99"/>
        <v>0</v>
      </c>
      <c r="K493" s="205">
        <f t="shared" si="100"/>
        <v>0</v>
      </c>
      <c r="L493" s="430">
        <f t="shared" si="101"/>
        <v>0</v>
      </c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 spans="1:26" ht="14.4">
      <c r="A494" s="450"/>
      <c r="B494" s="428" t="s">
        <v>572</v>
      </c>
      <c r="C494" s="431"/>
      <c r="D494" s="321"/>
      <c r="E494" s="321"/>
      <c r="F494" s="429">
        <f t="shared" si="98"/>
        <v>0</v>
      </c>
      <c r="G494" s="203">
        <v>23000</v>
      </c>
      <c r="H494" s="203">
        <v>28000</v>
      </c>
      <c r="I494" s="204"/>
      <c r="J494" s="205">
        <f t="shared" si="99"/>
        <v>0</v>
      </c>
      <c r="K494" s="205">
        <f t="shared" si="100"/>
        <v>0</v>
      </c>
      <c r="L494" s="430">
        <f t="shared" si="101"/>
        <v>0</v>
      </c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 spans="1:26" ht="14.4">
      <c r="A495" s="450"/>
      <c r="B495" s="428" t="s">
        <v>573</v>
      </c>
      <c r="C495" s="431"/>
      <c r="D495" s="321"/>
      <c r="E495" s="321"/>
      <c r="F495" s="429">
        <f t="shared" si="98"/>
        <v>0</v>
      </c>
      <c r="G495" s="203">
        <v>38000</v>
      </c>
      <c r="H495" s="203">
        <v>41000</v>
      </c>
      <c r="I495" s="204"/>
      <c r="J495" s="205">
        <f t="shared" si="99"/>
        <v>0</v>
      </c>
      <c r="K495" s="205">
        <f t="shared" si="100"/>
        <v>0</v>
      </c>
      <c r="L495" s="430">
        <f t="shared" si="101"/>
        <v>0</v>
      </c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 spans="1:26" ht="14.4">
      <c r="A496" s="450"/>
      <c r="B496" s="428" t="s">
        <v>672</v>
      </c>
      <c r="C496" s="431">
        <v>1</v>
      </c>
      <c r="D496" s="321"/>
      <c r="E496" s="321"/>
      <c r="F496" s="429">
        <f t="shared" si="98"/>
        <v>1</v>
      </c>
      <c r="G496" s="203">
        <v>50000</v>
      </c>
      <c r="H496" s="203">
        <v>55000</v>
      </c>
      <c r="I496" s="204"/>
      <c r="J496" s="205">
        <f t="shared" si="99"/>
        <v>0</v>
      </c>
      <c r="K496" s="205">
        <f t="shared" si="100"/>
        <v>0</v>
      </c>
      <c r="L496" s="430">
        <f t="shared" si="101"/>
        <v>50000</v>
      </c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 spans="1:26" ht="14.4">
      <c r="A497" s="450"/>
      <c r="B497" s="428" t="s">
        <v>575</v>
      </c>
      <c r="C497" s="431"/>
      <c r="D497" s="321"/>
      <c r="E497" s="321"/>
      <c r="F497" s="429">
        <f t="shared" si="98"/>
        <v>0</v>
      </c>
      <c r="G497" s="203">
        <v>31500</v>
      </c>
      <c r="H497" s="203">
        <v>35000</v>
      </c>
      <c r="I497" s="204"/>
      <c r="J497" s="205">
        <f t="shared" si="99"/>
        <v>0</v>
      </c>
      <c r="K497" s="205">
        <f t="shared" si="100"/>
        <v>0</v>
      </c>
      <c r="L497" s="430">
        <f t="shared" si="101"/>
        <v>0</v>
      </c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 spans="1:26" ht="14.4">
      <c r="A498" s="450"/>
      <c r="B498" s="428" t="s">
        <v>576</v>
      </c>
      <c r="C498" s="431"/>
      <c r="D498" s="321"/>
      <c r="E498" s="321"/>
      <c r="F498" s="429">
        <f t="shared" si="98"/>
        <v>0</v>
      </c>
      <c r="G498" s="203">
        <v>36000</v>
      </c>
      <c r="H498" s="203">
        <v>48000</v>
      </c>
      <c r="I498" s="204"/>
      <c r="J498" s="205">
        <f t="shared" si="99"/>
        <v>0</v>
      </c>
      <c r="K498" s="205">
        <f t="shared" si="100"/>
        <v>0</v>
      </c>
      <c r="L498" s="430">
        <f t="shared" si="101"/>
        <v>0</v>
      </c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 spans="1:26" ht="14.4">
      <c r="A499" s="450"/>
      <c r="B499" s="428" t="s">
        <v>577</v>
      </c>
      <c r="C499" s="431"/>
      <c r="D499" s="321"/>
      <c r="E499" s="321"/>
      <c r="F499" s="429">
        <f t="shared" si="98"/>
        <v>0</v>
      </c>
      <c r="G499" s="203">
        <v>34908</v>
      </c>
      <c r="H499" s="203">
        <v>37000</v>
      </c>
      <c r="I499" s="204"/>
      <c r="J499" s="205">
        <f t="shared" si="99"/>
        <v>0</v>
      </c>
      <c r="K499" s="205">
        <f t="shared" si="100"/>
        <v>0</v>
      </c>
      <c r="L499" s="430">
        <f t="shared" si="101"/>
        <v>0</v>
      </c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 spans="1:26" ht="14.4">
      <c r="A500" s="450"/>
      <c r="B500" s="428" t="s">
        <v>578</v>
      </c>
      <c r="C500" s="321"/>
      <c r="D500" s="321"/>
      <c r="E500" s="321"/>
      <c r="F500" s="429">
        <f t="shared" si="98"/>
        <v>0</v>
      </c>
      <c r="G500" s="203">
        <v>9266</v>
      </c>
      <c r="H500" s="203">
        <v>12500</v>
      </c>
      <c r="I500" s="204"/>
      <c r="J500" s="205">
        <f t="shared" si="99"/>
        <v>0</v>
      </c>
      <c r="K500" s="205">
        <f t="shared" si="100"/>
        <v>0</v>
      </c>
      <c r="L500" s="430">
        <f t="shared" si="101"/>
        <v>0</v>
      </c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 spans="1:26" ht="14.4">
      <c r="A501" s="450"/>
      <c r="B501" s="428" t="s">
        <v>579</v>
      </c>
      <c r="C501" s="431">
        <v>22</v>
      </c>
      <c r="D501" s="321"/>
      <c r="E501" s="321"/>
      <c r="F501" s="429">
        <f t="shared" si="98"/>
        <v>22</v>
      </c>
      <c r="G501" s="203">
        <v>10400</v>
      </c>
      <c r="H501" s="203">
        <v>13000</v>
      </c>
      <c r="I501" s="204"/>
      <c r="J501" s="205">
        <f t="shared" si="99"/>
        <v>0</v>
      </c>
      <c r="K501" s="205">
        <f t="shared" si="100"/>
        <v>0</v>
      </c>
      <c r="L501" s="430">
        <f t="shared" si="101"/>
        <v>228800</v>
      </c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 spans="1:26" ht="14.4">
      <c r="A502" s="450"/>
      <c r="B502" s="428" t="s">
        <v>580</v>
      </c>
      <c r="C502" s="431">
        <v>4</v>
      </c>
      <c r="D502" s="321"/>
      <c r="E502" s="321"/>
      <c r="F502" s="429">
        <f t="shared" si="98"/>
        <v>4</v>
      </c>
      <c r="G502" s="203">
        <v>18000</v>
      </c>
      <c r="H502" s="203">
        <v>20000</v>
      </c>
      <c r="I502" s="204"/>
      <c r="J502" s="205">
        <f t="shared" si="99"/>
        <v>0</v>
      </c>
      <c r="K502" s="205">
        <f t="shared" si="100"/>
        <v>0</v>
      </c>
      <c r="L502" s="430">
        <f t="shared" si="101"/>
        <v>72000</v>
      </c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 spans="1:26" ht="14.4">
      <c r="A503" s="450"/>
      <c r="B503" s="428" t="s">
        <v>581</v>
      </c>
      <c r="C503" s="431">
        <v>4</v>
      </c>
      <c r="D503" s="321"/>
      <c r="E503" s="321"/>
      <c r="F503" s="429">
        <f t="shared" si="98"/>
        <v>4</v>
      </c>
      <c r="G503" s="203">
        <v>85000</v>
      </c>
      <c r="H503" s="203">
        <v>89000</v>
      </c>
      <c r="I503" s="204"/>
      <c r="J503" s="205">
        <f t="shared" si="99"/>
        <v>0</v>
      </c>
      <c r="K503" s="205">
        <f t="shared" si="100"/>
        <v>0</v>
      </c>
      <c r="L503" s="430">
        <f t="shared" si="101"/>
        <v>340000</v>
      </c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 spans="1:26" ht="14.4">
      <c r="A504" s="450"/>
      <c r="B504" s="428" t="s">
        <v>582</v>
      </c>
      <c r="C504" s="431">
        <v>3</v>
      </c>
      <c r="D504" s="321"/>
      <c r="E504" s="321"/>
      <c r="F504" s="429">
        <f t="shared" si="98"/>
        <v>3</v>
      </c>
      <c r="G504" s="203">
        <v>41000</v>
      </c>
      <c r="H504" s="203">
        <v>46000</v>
      </c>
      <c r="I504" s="204"/>
      <c r="J504" s="205">
        <f t="shared" si="99"/>
        <v>0</v>
      </c>
      <c r="K504" s="205">
        <f t="shared" si="100"/>
        <v>0</v>
      </c>
      <c r="L504" s="430">
        <f t="shared" si="101"/>
        <v>123000</v>
      </c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 spans="1:26" ht="14.4">
      <c r="A505" s="450"/>
      <c r="B505" s="428" t="s">
        <v>583</v>
      </c>
      <c r="C505" s="431">
        <v>3</v>
      </c>
      <c r="D505" s="321"/>
      <c r="E505" s="321"/>
      <c r="F505" s="429">
        <f t="shared" si="98"/>
        <v>3</v>
      </c>
      <c r="G505" s="203">
        <v>138000</v>
      </c>
      <c r="H505" s="203">
        <v>141000</v>
      </c>
      <c r="I505" s="204"/>
      <c r="J505" s="205">
        <f t="shared" si="99"/>
        <v>0</v>
      </c>
      <c r="K505" s="205">
        <f t="shared" si="100"/>
        <v>0</v>
      </c>
      <c r="L505" s="430">
        <f t="shared" si="101"/>
        <v>414000</v>
      </c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 spans="1:26" ht="14.4">
      <c r="A506" s="450"/>
      <c r="B506" s="428" t="s">
        <v>584</v>
      </c>
      <c r="C506" s="431">
        <v>3</v>
      </c>
      <c r="D506" s="321"/>
      <c r="E506" s="321"/>
      <c r="F506" s="429">
        <f t="shared" si="98"/>
        <v>3</v>
      </c>
      <c r="G506" s="203">
        <f>23600</f>
        <v>23600</v>
      </c>
      <c r="H506" s="203">
        <v>26000</v>
      </c>
      <c r="I506" s="204"/>
      <c r="J506" s="205">
        <f t="shared" si="99"/>
        <v>0</v>
      </c>
      <c r="K506" s="205">
        <f t="shared" si="100"/>
        <v>0</v>
      </c>
      <c r="L506" s="430">
        <f t="shared" si="101"/>
        <v>70800</v>
      </c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 spans="1:26" ht="14.4">
      <c r="A507" s="450"/>
      <c r="B507" s="428" t="s">
        <v>585</v>
      </c>
      <c r="C507" s="431"/>
      <c r="D507" s="321"/>
      <c r="E507" s="321"/>
      <c r="F507" s="429">
        <f t="shared" si="98"/>
        <v>0</v>
      </c>
      <c r="G507" s="203">
        <v>13513</v>
      </c>
      <c r="H507" s="203">
        <v>16000</v>
      </c>
      <c r="I507" s="204"/>
      <c r="J507" s="205">
        <f t="shared" si="99"/>
        <v>0</v>
      </c>
      <c r="K507" s="205">
        <f t="shared" si="100"/>
        <v>0</v>
      </c>
      <c r="L507" s="430">
        <f t="shared" si="101"/>
        <v>0</v>
      </c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 spans="1:26" ht="14.4">
      <c r="A508" s="450"/>
      <c r="B508" s="428" t="s">
        <v>586</v>
      </c>
      <c r="C508" s="321">
        <v>2</v>
      </c>
      <c r="D508" s="321"/>
      <c r="E508" s="321"/>
      <c r="F508" s="429">
        <f t="shared" si="98"/>
        <v>2</v>
      </c>
      <c r="G508" s="203">
        <v>9450</v>
      </c>
      <c r="H508" s="203">
        <v>13000</v>
      </c>
      <c r="I508" s="204"/>
      <c r="J508" s="205">
        <f t="shared" si="99"/>
        <v>0</v>
      </c>
      <c r="K508" s="205">
        <f t="shared" si="100"/>
        <v>0</v>
      </c>
      <c r="L508" s="430">
        <f t="shared" si="101"/>
        <v>18900</v>
      </c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 spans="1:26" ht="14.4">
      <c r="A509" s="450"/>
      <c r="B509" s="428" t="s">
        <v>587</v>
      </c>
      <c r="C509" s="431">
        <v>1</v>
      </c>
      <c r="D509" s="321"/>
      <c r="E509" s="321"/>
      <c r="F509" s="429">
        <f t="shared" si="98"/>
        <v>1</v>
      </c>
      <c r="G509" s="203">
        <v>21000</v>
      </c>
      <c r="H509" s="203">
        <v>13000</v>
      </c>
      <c r="I509" s="204"/>
      <c r="J509" s="205">
        <f t="shared" si="99"/>
        <v>0</v>
      </c>
      <c r="K509" s="205">
        <f t="shared" si="100"/>
        <v>0</v>
      </c>
      <c r="L509" s="430">
        <f t="shared" si="101"/>
        <v>21000</v>
      </c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 spans="1:26" ht="14.4">
      <c r="A510" s="450"/>
      <c r="B510" s="428" t="s">
        <v>588</v>
      </c>
      <c r="C510" s="321">
        <v>3</v>
      </c>
      <c r="D510" s="321"/>
      <c r="E510" s="321"/>
      <c r="F510" s="429">
        <f t="shared" si="98"/>
        <v>3</v>
      </c>
      <c r="G510" s="203">
        <v>54310</v>
      </c>
      <c r="H510" s="203">
        <v>58000</v>
      </c>
      <c r="I510" s="204"/>
      <c r="J510" s="205">
        <f t="shared" si="99"/>
        <v>0</v>
      </c>
      <c r="K510" s="205">
        <f t="shared" si="100"/>
        <v>0</v>
      </c>
      <c r="L510" s="430">
        <f t="shared" si="101"/>
        <v>162930</v>
      </c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 spans="1:26" ht="14.4">
      <c r="A511" s="450"/>
      <c r="B511" s="428" t="s">
        <v>589</v>
      </c>
      <c r="C511" s="431">
        <v>7</v>
      </c>
      <c r="D511" s="321"/>
      <c r="E511" s="321"/>
      <c r="F511" s="429">
        <f t="shared" si="98"/>
        <v>7</v>
      </c>
      <c r="G511" s="203">
        <v>14640</v>
      </c>
      <c r="H511" s="203">
        <v>16000</v>
      </c>
      <c r="I511" s="204"/>
      <c r="J511" s="205">
        <f t="shared" si="99"/>
        <v>0</v>
      </c>
      <c r="K511" s="205">
        <f t="shared" si="100"/>
        <v>0</v>
      </c>
      <c r="L511" s="430">
        <f t="shared" si="101"/>
        <v>102480</v>
      </c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 spans="1:26" ht="14.4">
      <c r="A512" s="450"/>
      <c r="B512" s="428" t="s">
        <v>590</v>
      </c>
      <c r="C512" s="431">
        <v>0</v>
      </c>
      <c r="D512" s="321"/>
      <c r="E512" s="321"/>
      <c r="F512" s="429">
        <f t="shared" si="98"/>
        <v>0</v>
      </c>
      <c r="G512" s="203">
        <v>6300</v>
      </c>
      <c r="H512" s="203">
        <v>9000</v>
      </c>
      <c r="I512" s="204"/>
      <c r="J512" s="205">
        <f t="shared" si="99"/>
        <v>0</v>
      </c>
      <c r="K512" s="205">
        <f t="shared" si="100"/>
        <v>0</v>
      </c>
      <c r="L512" s="430">
        <f t="shared" si="101"/>
        <v>0</v>
      </c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 spans="1:26" ht="14.4">
      <c r="A513" s="450"/>
      <c r="B513" s="428" t="s">
        <v>591</v>
      </c>
      <c r="C513" s="431">
        <v>0</v>
      </c>
      <c r="D513" s="321"/>
      <c r="E513" s="321"/>
      <c r="F513" s="429">
        <f t="shared" si="98"/>
        <v>0</v>
      </c>
      <c r="G513" s="203">
        <v>16800</v>
      </c>
      <c r="H513" s="203">
        <v>19000</v>
      </c>
      <c r="I513" s="204"/>
      <c r="J513" s="205">
        <f t="shared" si="99"/>
        <v>0</v>
      </c>
      <c r="K513" s="205">
        <f t="shared" si="100"/>
        <v>0</v>
      </c>
      <c r="L513" s="430">
        <f t="shared" si="101"/>
        <v>0</v>
      </c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 spans="1:26" ht="14.4">
      <c r="A514" s="450"/>
      <c r="B514" s="428" t="s">
        <v>592</v>
      </c>
      <c r="C514" s="431">
        <v>6</v>
      </c>
      <c r="D514" s="321"/>
      <c r="E514" s="321"/>
      <c r="F514" s="429">
        <f t="shared" si="98"/>
        <v>6</v>
      </c>
      <c r="G514" s="203">
        <v>27000</v>
      </c>
      <c r="H514" s="203">
        <v>30000</v>
      </c>
      <c r="I514" s="204"/>
      <c r="J514" s="205">
        <f t="shared" si="99"/>
        <v>0</v>
      </c>
      <c r="K514" s="205">
        <f t="shared" si="100"/>
        <v>0</v>
      </c>
      <c r="L514" s="430">
        <f t="shared" si="101"/>
        <v>162000</v>
      </c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 spans="1:26" ht="14.4">
      <c r="A515" s="450"/>
      <c r="B515" s="428" t="s">
        <v>593</v>
      </c>
      <c r="C515" s="431">
        <v>2</v>
      </c>
      <c r="D515" s="321"/>
      <c r="E515" s="321"/>
      <c r="F515" s="429">
        <f t="shared" si="98"/>
        <v>2</v>
      </c>
      <c r="G515" s="203">
        <v>20000</v>
      </c>
      <c r="H515" s="203">
        <v>22000</v>
      </c>
      <c r="I515" s="204"/>
      <c r="J515" s="205">
        <f t="shared" si="99"/>
        <v>0</v>
      </c>
      <c r="K515" s="205">
        <f t="shared" si="100"/>
        <v>0</v>
      </c>
      <c r="L515" s="430">
        <f t="shared" si="101"/>
        <v>40000</v>
      </c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 spans="1:26" ht="14.4">
      <c r="A516" s="450"/>
      <c r="B516" s="428" t="s">
        <v>594</v>
      </c>
      <c r="C516" s="431">
        <v>4</v>
      </c>
      <c r="D516" s="321"/>
      <c r="E516" s="321"/>
      <c r="F516" s="429">
        <f t="shared" si="98"/>
        <v>4</v>
      </c>
      <c r="G516" s="203">
        <v>40000</v>
      </c>
      <c r="H516" s="203">
        <v>55000</v>
      </c>
      <c r="I516" s="204"/>
      <c r="J516" s="205">
        <f t="shared" si="99"/>
        <v>0</v>
      </c>
      <c r="K516" s="205">
        <f t="shared" si="100"/>
        <v>0</v>
      </c>
      <c r="L516" s="430">
        <f t="shared" si="101"/>
        <v>160000</v>
      </c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 spans="1:26" ht="14.4">
      <c r="A517" s="450"/>
      <c r="B517" s="428" t="s">
        <v>595</v>
      </c>
      <c r="C517" s="431">
        <v>0</v>
      </c>
      <c r="D517" s="321"/>
      <c r="E517" s="321"/>
      <c r="F517" s="429">
        <f t="shared" si="98"/>
        <v>0</v>
      </c>
      <c r="G517" s="203">
        <v>7900</v>
      </c>
      <c r="H517" s="203">
        <v>11000</v>
      </c>
      <c r="I517" s="204"/>
      <c r="J517" s="205">
        <f t="shared" si="99"/>
        <v>0</v>
      </c>
      <c r="K517" s="205">
        <f t="shared" si="100"/>
        <v>0</v>
      </c>
      <c r="L517" s="430">
        <f t="shared" si="101"/>
        <v>0</v>
      </c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 spans="1:26" ht="14.4">
      <c r="A518" s="450"/>
      <c r="B518" s="428" t="s">
        <v>596</v>
      </c>
      <c r="C518" s="431">
        <v>12</v>
      </c>
      <c r="D518" s="321"/>
      <c r="E518" s="321"/>
      <c r="F518" s="429">
        <f t="shared" si="98"/>
        <v>12</v>
      </c>
      <c r="G518" s="203">
        <v>18327</v>
      </c>
      <c r="H518" s="203">
        <v>21000</v>
      </c>
      <c r="I518" s="204"/>
      <c r="J518" s="205">
        <f t="shared" si="99"/>
        <v>0</v>
      </c>
      <c r="K518" s="205">
        <f t="shared" si="100"/>
        <v>0</v>
      </c>
      <c r="L518" s="430">
        <f t="shared" si="101"/>
        <v>219924</v>
      </c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 spans="1:26" ht="14.4">
      <c r="A519" s="450"/>
      <c r="B519" s="428" t="s">
        <v>597</v>
      </c>
      <c r="C519" s="431">
        <v>5</v>
      </c>
      <c r="D519" s="321"/>
      <c r="E519" s="321"/>
      <c r="F519" s="429">
        <f t="shared" si="98"/>
        <v>5</v>
      </c>
      <c r="G519" s="203">
        <v>19800</v>
      </c>
      <c r="H519" s="203">
        <v>23000</v>
      </c>
      <c r="I519" s="204"/>
      <c r="J519" s="205">
        <f t="shared" si="99"/>
        <v>0</v>
      </c>
      <c r="K519" s="205">
        <f t="shared" si="100"/>
        <v>0</v>
      </c>
      <c r="L519" s="430">
        <f t="shared" si="101"/>
        <v>99000</v>
      </c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 spans="1:26" ht="14.4">
      <c r="A520" s="450"/>
      <c r="B520" s="428" t="s">
        <v>598</v>
      </c>
      <c r="C520" s="431">
        <v>2</v>
      </c>
      <c r="D520" s="321"/>
      <c r="E520" s="321"/>
      <c r="F520" s="429">
        <f t="shared" si="98"/>
        <v>2</v>
      </c>
      <c r="G520" s="203">
        <v>18650</v>
      </c>
      <c r="H520" s="203">
        <v>21000</v>
      </c>
      <c r="I520" s="204"/>
      <c r="J520" s="205">
        <f t="shared" si="99"/>
        <v>0</v>
      </c>
      <c r="K520" s="205">
        <f t="shared" si="100"/>
        <v>0</v>
      </c>
      <c r="L520" s="430">
        <f t="shared" si="101"/>
        <v>37300</v>
      </c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 spans="1:26" ht="14.4">
      <c r="A521" s="450"/>
      <c r="B521" s="451" t="s">
        <v>599</v>
      </c>
      <c r="C521" s="431">
        <v>7</v>
      </c>
      <c r="D521" s="321"/>
      <c r="E521" s="321"/>
      <c r="F521" s="429">
        <f t="shared" si="98"/>
        <v>7</v>
      </c>
      <c r="G521" s="203">
        <v>17000</v>
      </c>
      <c r="H521" s="203">
        <v>20000</v>
      </c>
      <c r="I521" s="204"/>
      <c r="J521" s="205">
        <f t="shared" si="99"/>
        <v>0</v>
      </c>
      <c r="K521" s="205">
        <f t="shared" si="100"/>
        <v>0</v>
      </c>
      <c r="L521" s="430">
        <f t="shared" si="101"/>
        <v>119000</v>
      </c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 spans="1:26" ht="14.4">
      <c r="A522" s="450"/>
      <c r="B522" s="451" t="s">
        <v>600</v>
      </c>
      <c r="C522" s="321">
        <v>4</v>
      </c>
      <c r="D522" s="321"/>
      <c r="E522" s="321"/>
      <c r="F522" s="429">
        <f t="shared" si="98"/>
        <v>4</v>
      </c>
      <c r="G522" s="203">
        <v>67400</v>
      </c>
      <c r="H522" s="203">
        <v>59000</v>
      </c>
      <c r="I522" s="204"/>
      <c r="J522" s="205">
        <f t="shared" si="99"/>
        <v>0</v>
      </c>
      <c r="K522" s="205">
        <f t="shared" si="100"/>
        <v>0</v>
      </c>
      <c r="L522" s="430">
        <f t="shared" si="101"/>
        <v>269600</v>
      </c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 spans="1:26" ht="14.4">
      <c r="A523" s="450"/>
      <c r="B523" s="451" t="s">
        <v>601</v>
      </c>
      <c r="C523" s="431">
        <v>0</v>
      </c>
      <c r="D523" s="321"/>
      <c r="E523" s="321"/>
      <c r="F523" s="429">
        <f t="shared" si="98"/>
        <v>0</v>
      </c>
      <c r="G523" s="203">
        <v>29000</v>
      </c>
      <c r="H523" s="203">
        <v>31800</v>
      </c>
      <c r="I523" s="204"/>
      <c r="J523" s="205">
        <f t="shared" si="99"/>
        <v>0</v>
      </c>
      <c r="K523" s="205">
        <f t="shared" si="100"/>
        <v>0</v>
      </c>
      <c r="L523" s="430">
        <f t="shared" si="101"/>
        <v>0</v>
      </c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 spans="1:26" ht="14.4">
      <c r="A524" s="450"/>
      <c r="B524" s="451" t="s">
        <v>602</v>
      </c>
      <c r="C524" s="431"/>
      <c r="D524" s="321"/>
      <c r="E524" s="321"/>
      <c r="F524" s="429">
        <f t="shared" si="98"/>
        <v>0</v>
      </c>
      <c r="G524" s="203">
        <v>29500</v>
      </c>
      <c r="H524" s="203">
        <v>32000</v>
      </c>
      <c r="I524" s="204"/>
      <c r="J524" s="205">
        <f t="shared" si="99"/>
        <v>0</v>
      </c>
      <c r="K524" s="205">
        <f t="shared" si="100"/>
        <v>0</v>
      </c>
      <c r="L524" s="430">
        <f t="shared" si="101"/>
        <v>0</v>
      </c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 spans="1:26" ht="14.4">
      <c r="A525" s="450"/>
      <c r="B525" s="451" t="s">
        <v>603</v>
      </c>
      <c r="C525" s="431">
        <v>1</v>
      </c>
      <c r="D525" s="321"/>
      <c r="E525" s="321"/>
      <c r="F525" s="429">
        <f t="shared" si="98"/>
        <v>1</v>
      </c>
      <c r="G525" s="203">
        <v>48000</v>
      </c>
      <c r="H525" s="203">
        <v>52000</v>
      </c>
      <c r="I525" s="204"/>
      <c r="J525" s="205">
        <f t="shared" si="99"/>
        <v>0</v>
      </c>
      <c r="K525" s="205">
        <f t="shared" si="100"/>
        <v>0</v>
      </c>
      <c r="L525" s="430">
        <f t="shared" si="101"/>
        <v>48000</v>
      </c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 spans="1:26" ht="14.4">
      <c r="A526" s="450"/>
      <c r="B526" s="451" t="s">
        <v>604</v>
      </c>
      <c r="C526" s="431"/>
      <c r="D526" s="321"/>
      <c r="E526" s="321"/>
      <c r="F526" s="429">
        <f t="shared" si="98"/>
        <v>0</v>
      </c>
      <c r="G526" s="203">
        <v>50000</v>
      </c>
      <c r="H526" s="203">
        <v>54000</v>
      </c>
      <c r="I526" s="204"/>
      <c r="J526" s="205">
        <f t="shared" si="99"/>
        <v>0</v>
      </c>
      <c r="K526" s="205">
        <f t="shared" si="100"/>
        <v>0</v>
      </c>
      <c r="L526" s="430">
        <f t="shared" si="101"/>
        <v>0</v>
      </c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 spans="1:26" ht="14.4">
      <c r="A527" s="450"/>
      <c r="B527" s="451" t="s">
        <v>605</v>
      </c>
      <c r="C527" s="431">
        <v>1</v>
      </c>
      <c r="D527" s="321"/>
      <c r="E527" s="321"/>
      <c r="F527" s="429">
        <f t="shared" si="98"/>
        <v>1</v>
      </c>
      <c r="G527" s="203">
        <v>42000</v>
      </c>
      <c r="H527" s="203">
        <v>46000</v>
      </c>
      <c r="I527" s="204"/>
      <c r="J527" s="205">
        <f t="shared" si="99"/>
        <v>0</v>
      </c>
      <c r="K527" s="205">
        <f t="shared" si="100"/>
        <v>0</v>
      </c>
      <c r="L527" s="430">
        <f t="shared" si="101"/>
        <v>42000</v>
      </c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 spans="1:26" ht="14.4">
      <c r="A528" s="450"/>
      <c r="B528" s="451" t="s">
        <v>606</v>
      </c>
      <c r="C528" s="431">
        <v>4</v>
      </c>
      <c r="D528" s="321"/>
      <c r="E528" s="321"/>
      <c r="F528" s="429">
        <f t="shared" si="98"/>
        <v>4</v>
      </c>
      <c r="G528" s="203">
        <v>34000</v>
      </c>
      <c r="H528" s="203">
        <v>38000</v>
      </c>
      <c r="I528" s="204"/>
      <c r="J528" s="205">
        <f t="shared" si="99"/>
        <v>0</v>
      </c>
      <c r="K528" s="205">
        <f t="shared" si="100"/>
        <v>0</v>
      </c>
      <c r="L528" s="430">
        <f t="shared" si="101"/>
        <v>136000</v>
      </c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 spans="1:26" ht="14.4">
      <c r="A529" s="450"/>
      <c r="B529" s="451" t="s">
        <v>607</v>
      </c>
      <c r="C529" s="431">
        <v>21</v>
      </c>
      <c r="D529" s="321"/>
      <c r="E529" s="321"/>
      <c r="F529" s="429">
        <f t="shared" si="98"/>
        <v>21</v>
      </c>
      <c r="G529" s="203">
        <v>18000</v>
      </c>
      <c r="H529" s="203">
        <v>21000</v>
      </c>
      <c r="I529" s="204"/>
      <c r="J529" s="205">
        <f t="shared" si="99"/>
        <v>0</v>
      </c>
      <c r="K529" s="205">
        <f t="shared" si="100"/>
        <v>0</v>
      </c>
      <c r="L529" s="430">
        <f t="shared" si="101"/>
        <v>378000</v>
      </c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 spans="1:26" ht="14.4">
      <c r="A530" s="450"/>
      <c r="B530" s="451" t="s">
        <v>673</v>
      </c>
      <c r="C530" s="431">
        <v>1</v>
      </c>
      <c r="D530" s="321"/>
      <c r="E530" s="321"/>
      <c r="F530" s="429">
        <f t="shared" si="98"/>
        <v>1</v>
      </c>
      <c r="G530" s="203">
        <v>34000</v>
      </c>
      <c r="H530" s="203">
        <v>36000</v>
      </c>
      <c r="I530" s="204"/>
      <c r="J530" s="205">
        <f t="shared" si="99"/>
        <v>0</v>
      </c>
      <c r="K530" s="205">
        <f t="shared" si="100"/>
        <v>0</v>
      </c>
      <c r="L530" s="430">
        <f t="shared" si="101"/>
        <v>34000</v>
      </c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 spans="1:26" ht="14.4">
      <c r="A531" s="450"/>
      <c r="B531" s="451" t="s">
        <v>674</v>
      </c>
      <c r="C531" s="431">
        <v>3</v>
      </c>
      <c r="D531" s="321"/>
      <c r="E531" s="321"/>
      <c r="F531" s="429">
        <f t="shared" si="98"/>
        <v>3</v>
      </c>
      <c r="G531" s="203">
        <v>38000</v>
      </c>
      <c r="H531" s="203">
        <v>42000</v>
      </c>
      <c r="I531" s="204"/>
      <c r="J531" s="205">
        <f t="shared" si="99"/>
        <v>0</v>
      </c>
      <c r="K531" s="205">
        <f t="shared" si="100"/>
        <v>0</v>
      </c>
      <c r="L531" s="430">
        <f t="shared" si="101"/>
        <v>114000</v>
      </c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 spans="1:26" ht="14.4">
      <c r="A532" s="450"/>
      <c r="B532" s="451" t="s">
        <v>610</v>
      </c>
      <c r="C532" s="431">
        <v>3</v>
      </c>
      <c r="D532" s="321"/>
      <c r="E532" s="321"/>
      <c r="F532" s="429">
        <f t="shared" si="98"/>
        <v>3</v>
      </c>
      <c r="G532" s="203">
        <f>136685/4</f>
        <v>34171.25</v>
      </c>
      <c r="H532" s="203">
        <v>38000</v>
      </c>
      <c r="I532" s="204"/>
      <c r="J532" s="205">
        <f t="shared" si="99"/>
        <v>0</v>
      </c>
      <c r="K532" s="205">
        <f t="shared" si="100"/>
        <v>0</v>
      </c>
      <c r="L532" s="430">
        <f t="shared" si="101"/>
        <v>102513.75</v>
      </c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 spans="1:26" ht="14.4">
      <c r="A533" s="450"/>
      <c r="B533" s="451" t="s">
        <v>611</v>
      </c>
      <c r="C533" s="431"/>
      <c r="D533" s="321"/>
      <c r="E533" s="321"/>
      <c r="F533" s="429">
        <f t="shared" si="98"/>
        <v>0</v>
      </c>
      <c r="G533" s="203">
        <v>24000</v>
      </c>
      <c r="H533" s="203">
        <v>26000</v>
      </c>
      <c r="I533" s="204"/>
      <c r="J533" s="205">
        <f t="shared" si="99"/>
        <v>0</v>
      </c>
      <c r="K533" s="205">
        <f t="shared" si="100"/>
        <v>0</v>
      </c>
      <c r="L533" s="430">
        <f t="shared" si="101"/>
        <v>0</v>
      </c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 spans="1:26" ht="14.4">
      <c r="A534" s="450"/>
      <c r="B534" s="451" t="s">
        <v>612</v>
      </c>
      <c r="C534" s="431">
        <v>38</v>
      </c>
      <c r="D534" s="321"/>
      <c r="E534" s="321"/>
      <c r="F534" s="429">
        <f t="shared" si="98"/>
        <v>38</v>
      </c>
      <c r="G534" s="203">
        <v>16000</v>
      </c>
      <c r="H534" s="203">
        <v>18000</v>
      </c>
      <c r="I534" s="204"/>
      <c r="J534" s="205">
        <f t="shared" si="99"/>
        <v>0</v>
      </c>
      <c r="K534" s="205">
        <f t="shared" si="100"/>
        <v>0</v>
      </c>
      <c r="L534" s="430">
        <f t="shared" si="101"/>
        <v>608000</v>
      </c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 spans="1:26" ht="14.4">
      <c r="A535" s="450"/>
      <c r="B535" s="451" t="s">
        <v>675</v>
      </c>
      <c r="C535" s="431">
        <v>5</v>
      </c>
      <c r="D535" s="321"/>
      <c r="E535" s="321"/>
      <c r="F535" s="429">
        <f t="shared" si="98"/>
        <v>5</v>
      </c>
      <c r="G535" s="203">
        <v>16000</v>
      </c>
      <c r="H535" s="203">
        <v>20000</v>
      </c>
      <c r="I535" s="204"/>
      <c r="J535" s="205">
        <f t="shared" si="99"/>
        <v>0</v>
      </c>
      <c r="K535" s="205">
        <f t="shared" si="100"/>
        <v>0</v>
      </c>
      <c r="L535" s="430">
        <f t="shared" si="101"/>
        <v>80000</v>
      </c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 spans="1:26" ht="14.4">
      <c r="A536" s="450"/>
      <c r="B536" s="451" t="s">
        <v>614</v>
      </c>
      <c r="C536" s="431"/>
      <c r="D536" s="321"/>
      <c r="E536" s="321"/>
      <c r="F536" s="429">
        <f t="shared" si="98"/>
        <v>0</v>
      </c>
      <c r="G536" s="203">
        <v>75000</v>
      </c>
      <c r="H536" s="203">
        <v>80000</v>
      </c>
      <c r="I536" s="204"/>
      <c r="J536" s="205">
        <f t="shared" si="99"/>
        <v>0</v>
      </c>
      <c r="K536" s="205">
        <f t="shared" si="100"/>
        <v>0</v>
      </c>
      <c r="L536" s="430">
        <f t="shared" si="101"/>
        <v>0</v>
      </c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 spans="1:26" ht="14.4">
      <c r="A537" s="450"/>
      <c r="B537" s="451" t="s">
        <v>615</v>
      </c>
      <c r="C537" s="321">
        <v>3</v>
      </c>
      <c r="D537" s="321"/>
      <c r="E537" s="321"/>
      <c r="F537" s="429">
        <f t="shared" si="98"/>
        <v>3</v>
      </c>
      <c r="G537" s="203">
        <v>129187</v>
      </c>
      <c r="H537" s="203">
        <v>131000</v>
      </c>
      <c r="I537" s="204"/>
      <c r="J537" s="205">
        <f t="shared" si="99"/>
        <v>0</v>
      </c>
      <c r="K537" s="205">
        <f t="shared" si="100"/>
        <v>0</v>
      </c>
      <c r="L537" s="430">
        <f t="shared" si="101"/>
        <v>387561</v>
      </c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 spans="1:26" ht="14.4">
      <c r="A538" s="450"/>
      <c r="B538" s="451" t="s">
        <v>616</v>
      </c>
      <c r="C538" s="431"/>
      <c r="D538" s="321"/>
      <c r="E538" s="321"/>
      <c r="F538" s="429">
        <f t="shared" si="98"/>
        <v>0</v>
      </c>
      <c r="G538" s="203">
        <v>11000</v>
      </c>
      <c r="H538" s="203">
        <v>13000</v>
      </c>
      <c r="I538" s="204"/>
      <c r="J538" s="205">
        <f t="shared" si="99"/>
        <v>0</v>
      </c>
      <c r="K538" s="205">
        <f t="shared" si="100"/>
        <v>0</v>
      </c>
      <c r="L538" s="430">
        <f t="shared" si="101"/>
        <v>0</v>
      </c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 spans="1:26" ht="14.4">
      <c r="A539" s="450"/>
      <c r="B539" s="451" t="s">
        <v>617</v>
      </c>
      <c r="C539" s="431"/>
      <c r="D539" s="321"/>
      <c r="E539" s="321"/>
      <c r="F539" s="429">
        <f t="shared" si="98"/>
        <v>0</v>
      </c>
      <c r="G539" s="203">
        <v>61000</v>
      </c>
      <c r="H539" s="203">
        <v>66000</v>
      </c>
      <c r="I539" s="204"/>
      <c r="J539" s="205">
        <f t="shared" si="99"/>
        <v>0</v>
      </c>
      <c r="K539" s="205">
        <f t="shared" si="100"/>
        <v>0</v>
      </c>
      <c r="L539" s="430">
        <f t="shared" si="101"/>
        <v>0</v>
      </c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 spans="1:26" ht="14.4">
      <c r="A540" s="450"/>
      <c r="B540" s="451" t="s">
        <v>618</v>
      </c>
      <c r="C540" s="431">
        <v>3</v>
      </c>
      <c r="D540" s="321"/>
      <c r="E540" s="321"/>
      <c r="F540" s="429">
        <f t="shared" si="98"/>
        <v>3</v>
      </c>
      <c r="G540" s="203">
        <v>19000</v>
      </c>
      <c r="H540" s="203">
        <v>22000</v>
      </c>
      <c r="I540" s="204"/>
      <c r="J540" s="205">
        <f t="shared" si="99"/>
        <v>0</v>
      </c>
      <c r="K540" s="205">
        <f t="shared" si="100"/>
        <v>0</v>
      </c>
      <c r="L540" s="430">
        <f t="shared" si="101"/>
        <v>57000</v>
      </c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 spans="1:26" ht="14.4">
      <c r="A541" s="450"/>
      <c r="B541" s="451" t="s">
        <v>619</v>
      </c>
      <c r="C541" s="431"/>
      <c r="D541" s="321"/>
      <c r="E541" s="321"/>
      <c r="F541" s="429">
        <f t="shared" si="98"/>
        <v>0</v>
      </c>
      <c r="G541" s="203">
        <v>10000</v>
      </c>
      <c r="H541" s="203">
        <v>12000</v>
      </c>
      <c r="I541" s="204"/>
      <c r="J541" s="205">
        <f t="shared" si="99"/>
        <v>0</v>
      </c>
      <c r="K541" s="205">
        <f t="shared" si="100"/>
        <v>0</v>
      </c>
      <c r="L541" s="430">
        <f t="shared" si="101"/>
        <v>0</v>
      </c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 spans="1:26" ht="14.4">
      <c r="A542" s="450"/>
      <c r="B542" s="451" t="s">
        <v>676</v>
      </c>
      <c r="C542" s="431">
        <v>4</v>
      </c>
      <c r="D542" s="321"/>
      <c r="E542" s="321"/>
      <c r="F542" s="429">
        <f t="shared" si="98"/>
        <v>4</v>
      </c>
      <c r="G542" s="203">
        <v>21000</v>
      </c>
      <c r="H542" s="203">
        <v>24000</v>
      </c>
      <c r="I542" s="204"/>
      <c r="J542" s="205">
        <f t="shared" si="99"/>
        <v>0</v>
      </c>
      <c r="K542" s="205">
        <f t="shared" si="100"/>
        <v>0</v>
      </c>
      <c r="L542" s="430">
        <f t="shared" si="101"/>
        <v>84000</v>
      </c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 spans="1:26" ht="14.4">
      <c r="A543" s="450"/>
      <c r="B543" s="451" t="s">
        <v>621</v>
      </c>
      <c r="C543" s="431"/>
      <c r="D543" s="321"/>
      <c r="E543" s="321"/>
      <c r="F543" s="429">
        <f t="shared" si="98"/>
        <v>0</v>
      </c>
      <c r="G543" s="203">
        <v>11000</v>
      </c>
      <c r="H543" s="203">
        <v>13000</v>
      </c>
      <c r="I543" s="204"/>
      <c r="J543" s="205">
        <f t="shared" si="99"/>
        <v>0</v>
      </c>
      <c r="K543" s="205">
        <f t="shared" si="100"/>
        <v>0</v>
      </c>
      <c r="L543" s="430">
        <f t="shared" si="101"/>
        <v>0</v>
      </c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 spans="1:26" ht="14.4">
      <c r="A544" s="450"/>
      <c r="B544" s="451" t="s">
        <v>622</v>
      </c>
      <c r="C544" s="431">
        <v>1</v>
      </c>
      <c r="D544" s="321"/>
      <c r="E544" s="321"/>
      <c r="F544" s="429">
        <f t="shared" si="98"/>
        <v>1</v>
      </c>
      <c r="G544" s="203">
        <v>28000</v>
      </c>
      <c r="H544" s="203">
        <v>31000</v>
      </c>
      <c r="I544" s="204"/>
      <c r="J544" s="205">
        <f t="shared" si="99"/>
        <v>0</v>
      </c>
      <c r="K544" s="205">
        <f t="shared" si="100"/>
        <v>0</v>
      </c>
      <c r="L544" s="430">
        <f t="shared" si="101"/>
        <v>28000</v>
      </c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 spans="1:26" ht="14.4">
      <c r="A545" s="450"/>
      <c r="B545" s="451" t="s">
        <v>623</v>
      </c>
      <c r="C545" s="431">
        <v>2</v>
      </c>
      <c r="D545" s="321"/>
      <c r="E545" s="321"/>
      <c r="F545" s="429">
        <f t="shared" si="98"/>
        <v>2</v>
      </c>
      <c r="G545" s="203">
        <v>11000</v>
      </c>
      <c r="H545" s="203">
        <v>13000</v>
      </c>
      <c r="I545" s="204"/>
      <c r="J545" s="205">
        <f t="shared" si="99"/>
        <v>0</v>
      </c>
      <c r="K545" s="205">
        <f t="shared" si="100"/>
        <v>0</v>
      </c>
      <c r="L545" s="430">
        <f t="shared" si="101"/>
        <v>22000</v>
      </c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 spans="1:26" ht="14.4">
      <c r="A546" s="450"/>
      <c r="B546" s="451" t="s">
        <v>624</v>
      </c>
      <c r="C546" s="431">
        <v>17</v>
      </c>
      <c r="D546" s="321"/>
      <c r="E546" s="321"/>
      <c r="F546" s="429">
        <f t="shared" si="98"/>
        <v>17</v>
      </c>
      <c r="G546" s="203">
        <v>23000</v>
      </c>
      <c r="H546" s="203">
        <v>26000</v>
      </c>
      <c r="I546" s="204"/>
      <c r="J546" s="205">
        <f t="shared" si="99"/>
        <v>0</v>
      </c>
      <c r="K546" s="205">
        <f t="shared" si="100"/>
        <v>0</v>
      </c>
      <c r="L546" s="430">
        <f t="shared" si="101"/>
        <v>391000</v>
      </c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 spans="1:26" ht="14.4">
      <c r="A547" s="450"/>
      <c r="B547" s="451" t="s">
        <v>625</v>
      </c>
      <c r="C547" s="431">
        <v>2</v>
      </c>
      <c r="D547" s="321"/>
      <c r="E547" s="321"/>
      <c r="F547" s="429">
        <f t="shared" si="98"/>
        <v>2</v>
      </c>
      <c r="G547" s="203">
        <v>37000</v>
      </c>
      <c r="H547" s="203">
        <v>40000</v>
      </c>
      <c r="I547" s="204"/>
      <c r="J547" s="205">
        <f t="shared" si="99"/>
        <v>0</v>
      </c>
      <c r="K547" s="205">
        <f t="shared" si="100"/>
        <v>0</v>
      </c>
      <c r="L547" s="430">
        <f t="shared" si="101"/>
        <v>74000</v>
      </c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 spans="1:26" ht="14.4">
      <c r="A548" s="450"/>
      <c r="B548" s="451" t="s">
        <v>626</v>
      </c>
      <c r="C548" s="431">
        <v>1</v>
      </c>
      <c r="D548" s="321"/>
      <c r="E548" s="321"/>
      <c r="F548" s="429">
        <f t="shared" si="98"/>
        <v>1</v>
      </c>
      <c r="G548" s="203">
        <v>18800</v>
      </c>
      <c r="H548" s="203">
        <v>21000</v>
      </c>
      <c r="I548" s="204"/>
      <c r="J548" s="205">
        <f t="shared" si="99"/>
        <v>0</v>
      </c>
      <c r="K548" s="205">
        <f t="shared" si="100"/>
        <v>0</v>
      </c>
      <c r="L548" s="430">
        <f t="shared" si="101"/>
        <v>18800</v>
      </c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 spans="1:26" ht="14.4">
      <c r="A549" s="450"/>
      <c r="B549" s="451" t="s">
        <v>627</v>
      </c>
      <c r="C549" s="431">
        <v>0</v>
      </c>
      <c r="D549" s="321"/>
      <c r="E549" s="321"/>
      <c r="F549" s="429">
        <f t="shared" si="98"/>
        <v>0</v>
      </c>
      <c r="G549" s="203">
        <v>11500</v>
      </c>
      <c r="H549" s="203">
        <v>13000</v>
      </c>
      <c r="I549" s="204"/>
      <c r="J549" s="205">
        <f t="shared" si="99"/>
        <v>0</v>
      </c>
      <c r="K549" s="205">
        <f t="shared" si="100"/>
        <v>0</v>
      </c>
      <c r="L549" s="430">
        <f t="shared" si="101"/>
        <v>0</v>
      </c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 spans="1:26" ht="14.4">
      <c r="A550" s="450"/>
      <c r="B550" s="451" t="s">
        <v>628</v>
      </c>
      <c r="C550" s="431"/>
      <c r="D550" s="321"/>
      <c r="E550" s="321"/>
      <c r="F550" s="429">
        <f t="shared" si="98"/>
        <v>0</v>
      </c>
      <c r="G550" s="203">
        <v>22000</v>
      </c>
      <c r="H550" s="203">
        <v>24500</v>
      </c>
      <c r="I550" s="204"/>
      <c r="J550" s="205">
        <f t="shared" si="99"/>
        <v>0</v>
      </c>
      <c r="K550" s="205">
        <f t="shared" si="100"/>
        <v>0</v>
      </c>
      <c r="L550" s="430">
        <f t="shared" si="101"/>
        <v>0</v>
      </c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 spans="1:26" ht="14.4">
      <c r="A551" s="450"/>
      <c r="B551" s="451" t="s">
        <v>629</v>
      </c>
      <c r="C551" s="431">
        <v>3</v>
      </c>
      <c r="D551" s="321"/>
      <c r="E551" s="321"/>
      <c r="F551" s="429">
        <f t="shared" si="98"/>
        <v>3</v>
      </c>
      <c r="G551" s="203">
        <v>40000</v>
      </c>
      <c r="H551" s="203">
        <v>44000</v>
      </c>
      <c r="I551" s="204"/>
      <c r="J551" s="205">
        <f t="shared" si="99"/>
        <v>0</v>
      </c>
      <c r="K551" s="205">
        <f t="shared" si="100"/>
        <v>0</v>
      </c>
      <c r="L551" s="430">
        <f t="shared" si="101"/>
        <v>120000</v>
      </c>
      <c r="M551" s="452">
        <f>8*64</f>
        <v>512</v>
      </c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 spans="1:26" ht="14.4">
      <c r="A552" s="450"/>
      <c r="B552" s="451" t="s">
        <v>677</v>
      </c>
      <c r="C552" s="431">
        <v>3</v>
      </c>
      <c r="D552" s="321"/>
      <c r="E552" s="321"/>
      <c r="F552" s="429">
        <f t="shared" si="98"/>
        <v>3</v>
      </c>
      <c r="G552" s="203">
        <v>57000</v>
      </c>
      <c r="H552" s="203">
        <v>71000</v>
      </c>
      <c r="I552" s="204"/>
      <c r="J552" s="205">
        <f t="shared" si="99"/>
        <v>0</v>
      </c>
      <c r="K552" s="205">
        <f t="shared" si="100"/>
        <v>0</v>
      </c>
      <c r="L552" s="430">
        <f t="shared" si="101"/>
        <v>171000</v>
      </c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 spans="1:26" ht="14.4">
      <c r="A553" s="450"/>
      <c r="B553" s="451" t="s">
        <v>631</v>
      </c>
      <c r="C553" s="431">
        <v>1</v>
      </c>
      <c r="D553" s="321"/>
      <c r="E553" s="321"/>
      <c r="F553" s="429">
        <f t="shared" si="98"/>
        <v>1</v>
      </c>
      <c r="G553" s="203">
        <v>51000</v>
      </c>
      <c r="H553" s="203">
        <v>58000</v>
      </c>
      <c r="I553" s="204"/>
      <c r="J553" s="205">
        <f t="shared" si="99"/>
        <v>0</v>
      </c>
      <c r="K553" s="205">
        <f t="shared" si="100"/>
        <v>0</v>
      </c>
      <c r="L553" s="430">
        <f t="shared" si="101"/>
        <v>51000</v>
      </c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 spans="1:26" ht="14.4">
      <c r="A554" s="450"/>
      <c r="B554" s="451" t="s">
        <v>632</v>
      </c>
      <c r="C554" s="431">
        <v>2</v>
      </c>
      <c r="D554" s="321"/>
      <c r="E554" s="321"/>
      <c r="F554" s="429">
        <f t="shared" si="98"/>
        <v>2</v>
      </c>
      <c r="G554" s="203">
        <v>6500</v>
      </c>
      <c r="H554" s="203">
        <v>7500</v>
      </c>
      <c r="I554" s="204"/>
      <c r="J554" s="205">
        <f t="shared" si="99"/>
        <v>0</v>
      </c>
      <c r="K554" s="205">
        <f t="shared" si="100"/>
        <v>0</v>
      </c>
      <c r="L554" s="430">
        <f t="shared" si="101"/>
        <v>13000</v>
      </c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 spans="1:26" ht="14.4">
      <c r="A555" s="450"/>
      <c r="B555" s="451" t="s">
        <v>633</v>
      </c>
      <c r="C555" s="431">
        <v>2</v>
      </c>
      <c r="D555" s="321"/>
      <c r="E555" s="321"/>
      <c r="F555" s="429">
        <f t="shared" si="98"/>
        <v>2</v>
      </c>
      <c r="G555" s="203">
        <v>75000</v>
      </c>
      <c r="H555" s="203">
        <v>80000</v>
      </c>
      <c r="I555" s="204"/>
      <c r="J555" s="205">
        <f t="shared" si="99"/>
        <v>0</v>
      </c>
      <c r="K555" s="205">
        <f t="shared" si="100"/>
        <v>0</v>
      </c>
      <c r="L555" s="430">
        <f t="shared" si="101"/>
        <v>150000</v>
      </c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 spans="1:26" ht="14.4">
      <c r="A556" s="450"/>
      <c r="B556" s="451" t="s">
        <v>634</v>
      </c>
      <c r="C556" s="431">
        <v>1</v>
      </c>
      <c r="D556" s="321"/>
      <c r="E556" s="321"/>
      <c r="F556" s="429">
        <f t="shared" si="98"/>
        <v>1</v>
      </c>
      <c r="G556" s="203">
        <v>31000</v>
      </c>
      <c r="H556" s="203">
        <v>35000</v>
      </c>
      <c r="I556" s="204"/>
      <c r="J556" s="205">
        <f t="shared" si="99"/>
        <v>0</v>
      </c>
      <c r="K556" s="205">
        <f t="shared" si="100"/>
        <v>0</v>
      </c>
      <c r="L556" s="430">
        <f t="shared" si="101"/>
        <v>31000</v>
      </c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 spans="1:26" ht="14.4">
      <c r="A557" s="450"/>
      <c r="B557" s="451" t="s">
        <v>635</v>
      </c>
      <c r="C557" s="431">
        <v>2</v>
      </c>
      <c r="D557" s="321"/>
      <c r="E557" s="321"/>
      <c r="F557" s="429">
        <f t="shared" si="98"/>
        <v>2</v>
      </c>
      <c r="G557" s="203">
        <v>55000</v>
      </c>
      <c r="H557" s="203">
        <v>59000</v>
      </c>
      <c r="I557" s="204"/>
      <c r="J557" s="205">
        <f t="shared" si="99"/>
        <v>0</v>
      </c>
      <c r="K557" s="205">
        <f t="shared" si="100"/>
        <v>0</v>
      </c>
      <c r="L557" s="430">
        <f t="shared" si="101"/>
        <v>110000</v>
      </c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 spans="1:26" ht="14.4">
      <c r="A558" s="450"/>
      <c r="B558" s="451" t="s">
        <v>636</v>
      </c>
      <c r="C558" s="431">
        <v>0</v>
      </c>
      <c r="D558" s="321"/>
      <c r="E558" s="321"/>
      <c r="F558" s="429">
        <f t="shared" si="98"/>
        <v>0</v>
      </c>
      <c r="G558" s="203">
        <v>22700</v>
      </c>
      <c r="H558" s="203">
        <v>26000</v>
      </c>
      <c r="I558" s="204"/>
      <c r="J558" s="205">
        <f t="shared" si="99"/>
        <v>0</v>
      </c>
      <c r="K558" s="205">
        <f t="shared" si="100"/>
        <v>0</v>
      </c>
      <c r="L558" s="430">
        <f t="shared" si="101"/>
        <v>0</v>
      </c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 spans="1:26" ht="14.4">
      <c r="A559" s="450"/>
      <c r="B559" s="451" t="s">
        <v>637</v>
      </c>
      <c r="C559" s="431">
        <v>1</v>
      </c>
      <c r="D559" s="321"/>
      <c r="E559" s="321"/>
      <c r="F559" s="429">
        <f t="shared" si="98"/>
        <v>1</v>
      </c>
      <c r="G559" s="203">
        <v>27000</v>
      </c>
      <c r="H559" s="203">
        <v>30000</v>
      </c>
      <c r="I559" s="204"/>
      <c r="J559" s="205">
        <f t="shared" si="99"/>
        <v>0</v>
      </c>
      <c r="K559" s="205">
        <f t="shared" si="100"/>
        <v>0</v>
      </c>
      <c r="L559" s="430">
        <f t="shared" si="101"/>
        <v>27000</v>
      </c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 spans="1:26" ht="14.4">
      <c r="A560" s="450"/>
      <c r="B560" s="451" t="s">
        <v>638</v>
      </c>
      <c r="C560" s="431">
        <v>0</v>
      </c>
      <c r="D560" s="321"/>
      <c r="E560" s="321"/>
      <c r="F560" s="429">
        <f t="shared" si="98"/>
        <v>0</v>
      </c>
      <c r="G560" s="203">
        <v>11000</v>
      </c>
      <c r="H560" s="203">
        <v>13000</v>
      </c>
      <c r="I560" s="204"/>
      <c r="J560" s="205">
        <f t="shared" si="99"/>
        <v>0</v>
      </c>
      <c r="K560" s="205">
        <f t="shared" si="100"/>
        <v>0</v>
      </c>
      <c r="L560" s="430">
        <f t="shared" si="101"/>
        <v>0</v>
      </c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 spans="1:26" ht="14.4">
      <c r="A561" s="450"/>
      <c r="B561" s="451" t="s">
        <v>678</v>
      </c>
      <c r="C561" s="431">
        <v>2</v>
      </c>
      <c r="D561" s="321"/>
      <c r="E561" s="321"/>
      <c r="F561" s="429">
        <f t="shared" si="98"/>
        <v>2</v>
      </c>
      <c r="G561" s="203">
        <v>37000</v>
      </c>
      <c r="H561" s="203">
        <v>40000</v>
      </c>
      <c r="I561" s="204"/>
      <c r="J561" s="205">
        <f t="shared" si="99"/>
        <v>0</v>
      </c>
      <c r="K561" s="205">
        <f t="shared" si="100"/>
        <v>0</v>
      </c>
      <c r="L561" s="430">
        <f t="shared" si="101"/>
        <v>74000</v>
      </c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 spans="1:26" ht="14.4">
      <c r="A562" s="450"/>
      <c r="B562" s="451" t="s">
        <v>640</v>
      </c>
      <c r="C562" s="431">
        <v>2</v>
      </c>
      <c r="D562" s="321"/>
      <c r="E562" s="321"/>
      <c r="F562" s="429">
        <f t="shared" si="98"/>
        <v>2</v>
      </c>
      <c r="G562" s="203">
        <v>49000</v>
      </c>
      <c r="H562" s="203">
        <v>52000</v>
      </c>
      <c r="I562" s="204"/>
      <c r="J562" s="205">
        <f t="shared" si="99"/>
        <v>0</v>
      </c>
      <c r="K562" s="205">
        <f t="shared" si="100"/>
        <v>0</v>
      </c>
      <c r="L562" s="430">
        <f t="shared" si="101"/>
        <v>98000</v>
      </c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 spans="1:26" ht="14.4">
      <c r="A563" s="450"/>
      <c r="B563" s="451" t="s">
        <v>641</v>
      </c>
      <c r="C563" s="431">
        <v>3</v>
      </c>
      <c r="D563" s="321"/>
      <c r="E563" s="321"/>
      <c r="F563" s="429">
        <f t="shared" si="98"/>
        <v>3</v>
      </c>
      <c r="G563" s="203">
        <v>49000</v>
      </c>
      <c r="H563" s="203">
        <v>52000</v>
      </c>
      <c r="I563" s="204"/>
      <c r="J563" s="205">
        <f t="shared" si="99"/>
        <v>0</v>
      </c>
      <c r="K563" s="205">
        <f t="shared" si="100"/>
        <v>0</v>
      </c>
      <c r="L563" s="430">
        <f t="shared" si="101"/>
        <v>147000</v>
      </c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 spans="1:26" ht="14.4">
      <c r="A564" s="450"/>
      <c r="B564" s="451" t="s">
        <v>679</v>
      </c>
      <c r="C564" s="431">
        <v>0</v>
      </c>
      <c r="D564" s="321"/>
      <c r="E564" s="321"/>
      <c r="F564" s="429">
        <f t="shared" si="98"/>
        <v>0</v>
      </c>
      <c r="G564" s="203">
        <v>27000</v>
      </c>
      <c r="H564" s="203">
        <v>30000</v>
      </c>
      <c r="I564" s="204"/>
      <c r="J564" s="205">
        <f t="shared" si="99"/>
        <v>0</v>
      </c>
      <c r="K564" s="205">
        <f t="shared" si="100"/>
        <v>0</v>
      </c>
      <c r="L564" s="430">
        <f t="shared" si="101"/>
        <v>0</v>
      </c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 spans="1:26" ht="14.4">
      <c r="A565" s="450"/>
      <c r="B565" s="451" t="s">
        <v>643</v>
      </c>
      <c r="C565" s="431">
        <v>4</v>
      </c>
      <c r="D565" s="321"/>
      <c r="E565" s="321"/>
      <c r="F565" s="429">
        <f t="shared" si="98"/>
        <v>4</v>
      </c>
      <c r="G565" s="203">
        <v>27000</v>
      </c>
      <c r="H565" s="203">
        <v>30000</v>
      </c>
      <c r="I565" s="204"/>
      <c r="J565" s="205">
        <f t="shared" si="99"/>
        <v>0</v>
      </c>
      <c r="K565" s="205">
        <f t="shared" si="100"/>
        <v>0</v>
      </c>
      <c r="L565" s="430">
        <f t="shared" si="101"/>
        <v>108000</v>
      </c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 spans="1:26" ht="14.4">
      <c r="A566" s="450"/>
      <c r="B566" s="451" t="s">
        <v>644</v>
      </c>
      <c r="C566" s="431"/>
      <c r="D566" s="321"/>
      <c r="E566" s="321"/>
      <c r="F566" s="429">
        <f t="shared" si="98"/>
        <v>0</v>
      </c>
      <c r="G566" s="203">
        <v>28800</v>
      </c>
      <c r="H566" s="203">
        <v>31000</v>
      </c>
      <c r="I566" s="204"/>
      <c r="J566" s="205">
        <f t="shared" si="99"/>
        <v>0</v>
      </c>
      <c r="K566" s="205">
        <f t="shared" si="100"/>
        <v>0</v>
      </c>
      <c r="L566" s="430">
        <f t="shared" si="101"/>
        <v>0</v>
      </c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 spans="1:26" ht="14.4">
      <c r="A567" s="450"/>
      <c r="B567" s="451" t="s">
        <v>645</v>
      </c>
      <c r="C567" s="431">
        <v>1</v>
      </c>
      <c r="D567" s="321"/>
      <c r="E567" s="321"/>
      <c r="F567" s="429">
        <f t="shared" si="98"/>
        <v>1</v>
      </c>
      <c r="G567" s="203">
        <v>13000</v>
      </c>
      <c r="H567" s="203">
        <v>15000</v>
      </c>
      <c r="I567" s="204"/>
      <c r="J567" s="205">
        <f t="shared" si="99"/>
        <v>0</v>
      </c>
      <c r="K567" s="205">
        <f t="shared" si="100"/>
        <v>0</v>
      </c>
      <c r="L567" s="430">
        <f t="shared" si="101"/>
        <v>13000</v>
      </c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 spans="1:26" ht="14.4">
      <c r="A568" s="450"/>
      <c r="B568" s="451" t="s">
        <v>646</v>
      </c>
      <c r="C568" s="431"/>
      <c r="D568" s="321"/>
      <c r="E568" s="321"/>
      <c r="F568" s="429">
        <f t="shared" si="98"/>
        <v>0</v>
      </c>
      <c r="G568" s="203">
        <v>16000</v>
      </c>
      <c r="H568" s="203">
        <v>19000</v>
      </c>
      <c r="I568" s="204"/>
      <c r="J568" s="205">
        <f t="shared" si="99"/>
        <v>0</v>
      </c>
      <c r="K568" s="205">
        <f t="shared" si="100"/>
        <v>0</v>
      </c>
      <c r="L568" s="430">
        <f t="shared" si="101"/>
        <v>0</v>
      </c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 spans="1:26" ht="14.4">
      <c r="A569" s="450"/>
      <c r="B569" s="451" t="s">
        <v>647</v>
      </c>
      <c r="C569" s="431">
        <v>2</v>
      </c>
      <c r="D569" s="321"/>
      <c r="E569" s="321"/>
      <c r="F569" s="429">
        <f t="shared" si="98"/>
        <v>2</v>
      </c>
      <c r="G569" s="203">
        <v>56000</v>
      </c>
      <c r="H569" s="203">
        <v>60000</v>
      </c>
      <c r="I569" s="204"/>
      <c r="J569" s="205">
        <f t="shared" si="99"/>
        <v>0</v>
      </c>
      <c r="K569" s="205">
        <f t="shared" si="100"/>
        <v>0</v>
      </c>
      <c r="L569" s="430">
        <f t="shared" si="101"/>
        <v>112000</v>
      </c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 spans="1:26" ht="14.4">
      <c r="A570" s="450"/>
      <c r="B570" s="451" t="s">
        <v>648</v>
      </c>
      <c r="C570" s="431">
        <v>2</v>
      </c>
      <c r="D570" s="321"/>
      <c r="E570" s="321"/>
      <c r="F570" s="429">
        <f t="shared" si="98"/>
        <v>2</v>
      </c>
      <c r="G570" s="203">
        <v>25400</v>
      </c>
      <c r="H570" s="203">
        <v>28000</v>
      </c>
      <c r="I570" s="204"/>
      <c r="J570" s="205">
        <f t="shared" si="99"/>
        <v>0</v>
      </c>
      <c r="K570" s="205">
        <f t="shared" si="100"/>
        <v>0</v>
      </c>
      <c r="L570" s="430">
        <f t="shared" si="101"/>
        <v>50800</v>
      </c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 spans="1:26" ht="14.4">
      <c r="A571" s="450"/>
      <c r="B571" s="451" t="s">
        <v>680</v>
      </c>
      <c r="C571" s="431">
        <v>2</v>
      </c>
      <c r="D571" s="321"/>
      <c r="E571" s="321"/>
      <c r="F571" s="429">
        <f t="shared" si="98"/>
        <v>2</v>
      </c>
      <c r="G571" s="203">
        <v>24000</v>
      </c>
      <c r="H571" s="203">
        <v>26000</v>
      </c>
      <c r="I571" s="204"/>
      <c r="J571" s="205">
        <f t="shared" si="99"/>
        <v>0</v>
      </c>
      <c r="K571" s="205">
        <f t="shared" si="100"/>
        <v>0</v>
      </c>
      <c r="L571" s="430">
        <f t="shared" si="101"/>
        <v>48000</v>
      </c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 spans="1:26" ht="14.4">
      <c r="A572" s="450"/>
      <c r="B572" s="451" t="s">
        <v>650</v>
      </c>
      <c r="C572" s="431">
        <v>0</v>
      </c>
      <c r="D572" s="321"/>
      <c r="E572" s="321"/>
      <c r="F572" s="429">
        <f t="shared" si="98"/>
        <v>0</v>
      </c>
      <c r="G572" s="203">
        <v>25470</v>
      </c>
      <c r="H572" s="203">
        <v>27000</v>
      </c>
      <c r="I572" s="204"/>
      <c r="J572" s="205">
        <f t="shared" si="99"/>
        <v>0</v>
      </c>
      <c r="K572" s="205">
        <f t="shared" si="100"/>
        <v>0</v>
      </c>
      <c r="L572" s="430">
        <f t="shared" si="101"/>
        <v>0</v>
      </c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 spans="1:26" ht="14.4">
      <c r="A573" s="450"/>
      <c r="B573" s="451" t="s">
        <v>651</v>
      </c>
      <c r="C573" s="431">
        <v>3</v>
      </c>
      <c r="D573" s="321"/>
      <c r="E573" s="321"/>
      <c r="F573" s="429">
        <f t="shared" si="98"/>
        <v>3</v>
      </c>
      <c r="G573" s="203">
        <v>45400</v>
      </c>
      <c r="H573" s="203">
        <v>48000</v>
      </c>
      <c r="I573" s="204"/>
      <c r="J573" s="205">
        <f t="shared" si="99"/>
        <v>0</v>
      </c>
      <c r="K573" s="205">
        <f t="shared" si="100"/>
        <v>0</v>
      </c>
      <c r="L573" s="430">
        <f t="shared" si="101"/>
        <v>136200</v>
      </c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 spans="1:26" ht="14.4">
      <c r="A574" s="450"/>
      <c r="B574" s="451" t="s">
        <v>652</v>
      </c>
      <c r="C574" s="431">
        <v>3</v>
      </c>
      <c r="D574" s="321"/>
      <c r="E574" s="321"/>
      <c r="F574" s="429">
        <f t="shared" si="98"/>
        <v>3</v>
      </c>
      <c r="G574" s="203">
        <v>21000</v>
      </c>
      <c r="H574" s="203">
        <v>24500</v>
      </c>
      <c r="I574" s="204"/>
      <c r="J574" s="205">
        <f t="shared" si="99"/>
        <v>0</v>
      </c>
      <c r="K574" s="205">
        <f t="shared" si="100"/>
        <v>0</v>
      </c>
      <c r="L574" s="430">
        <f t="shared" si="101"/>
        <v>63000</v>
      </c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 spans="1:26" ht="14.4">
      <c r="A575" s="450"/>
      <c r="B575" s="451" t="s">
        <v>653</v>
      </c>
      <c r="C575" s="431">
        <v>3</v>
      </c>
      <c r="D575" s="321"/>
      <c r="E575" s="321"/>
      <c r="F575" s="429">
        <f t="shared" si="98"/>
        <v>3</v>
      </c>
      <c r="G575" s="203">
        <v>48000</v>
      </c>
      <c r="H575" s="203">
        <v>55000</v>
      </c>
      <c r="I575" s="204"/>
      <c r="J575" s="205">
        <f t="shared" si="99"/>
        <v>0</v>
      </c>
      <c r="K575" s="205">
        <f t="shared" si="100"/>
        <v>0</v>
      </c>
      <c r="L575" s="430">
        <f t="shared" si="101"/>
        <v>144000</v>
      </c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 spans="1:26" ht="14.4">
      <c r="A576" s="450"/>
      <c r="B576" s="451" t="s">
        <v>654</v>
      </c>
      <c r="C576" s="431">
        <v>3</v>
      </c>
      <c r="D576" s="321"/>
      <c r="E576" s="321"/>
      <c r="F576" s="429">
        <f t="shared" si="98"/>
        <v>3</v>
      </c>
      <c r="G576" s="203">
        <v>46750</v>
      </c>
      <c r="H576" s="203">
        <v>50000</v>
      </c>
      <c r="I576" s="204"/>
      <c r="J576" s="205">
        <f t="shared" si="99"/>
        <v>0</v>
      </c>
      <c r="K576" s="205">
        <f t="shared" si="100"/>
        <v>0</v>
      </c>
      <c r="L576" s="430">
        <f t="shared" si="101"/>
        <v>140250</v>
      </c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 spans="1:26" ht="14.4">
      <c r="A577" s="450"/>
      <c r="B577" s="451" t="s">
        <v>655</v>
      </c>
      <c r="C577" s="431"/>
      <c r="D577" s="321"/>
      <c r="E577" s="321"/>
      <c r="F577" s="429">
        <f t="shared" si="98"/>
        <v>0</v>
      </c>
      <c r="G577" s="203">
        <v>25250</v>
      </c>
      <c r="H577" s="203">
        <v>27000</v>
      </c>
      <c r="I577" s="204"/>
      <c r="J577" s="205">
        <f t="shared" si="99"/>
        <v>0</v>
      </c>
      <c r="K577" s="205">
        <f t="shared" si="100"/>
        <v>0</v>
      </c>
      <c r="L577" s="430">
        <f t="shared" si="101"/>
        <v>0</v>
      </c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 spans="1:26" ht="14.4">
      <c r="A578" s="450"/>
      <c r="B578" s="451" t="s">
        <v>656</v>
      </c>
      <c r="C578" s="431">
        <v>6</v>
      </c>
      <c r="D578" s="321"/>
      <c r="E578" s="321"/>
      <c r="F578" s="429">
        <f t="shared" si="98"/>
        <v>6</v>
      </c>
      <c r="G578" s="210">
        <v>38000</v>
      </c>
      <c r="H578" s="210">
        <v>40000</v>
      </c>
      <c r="I578" s="445"/>
      <c r="J578" s="205">
        <f t="shared" si="99"/>
        <v>0</v>
      </c>
      <c r="K578" s="205">
        <f t="shared" si="100"/>
        <v>0</v>
      </c>
      <c r="L578" s="430">
        <f t="shared" si="101"/>
        <v>228000</v>
      </c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 spans="1:26" ht="14.4">
      <c r="A579" s="450"/>
      <c r="B579" s="453" t="s">
        <v>681</v>
      </c>
      <c r="C579" s="431">
        <v>9</v>
      </c>
      <c r="D579" s="321"/>
      <c r="E579" s="321"/>
      <c r="F579" s="429">
        <f t="shared" si="98"/>
        <v>9</v>
      </c>
      <c r="G579" s="210">
        <v>13500</v>
      </c>
      <c r="H579" s="210">
        <v>15000</v>
      </c>
      <c r="I579" s="445"/>
      <c r="J579" s="205">
        <f t="shared" si="99"/>
        <v>0</v>
      </c>
      <c r="K579" s="205">
        <f t="shared" si="100"/>
        <v>0</v>
      </c>
      <c r="L579" s="430">
        <f t="shared" si="101"/>
        <v>121500</v>
      </c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 spans="1:26" ht="14.4">
      <c r="A580" s="450"/>
      <c r="B580" s="453" t="s">
        <v>682</v>
      </c>
      <c r="C580" s="431">
        <v>1</v>
      </c>
      <c r="D580" s="321"/>
      <c r="E580" s="321"/>
      <c r="F580" s="429">
        <f t="shared" si="98"/>
        <v>1</v>
      </c>
      <c r="G580" s="239">
        <v>14500</v>
      </c>
      <c r="H580" s="239">
        <v>17000</v>
      </c>
      <c r="I580" s="468"/>
      <c r="J580" s="205"/>
      <c r="K580" s="205"/>
      <c r="L580" s="430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 spans="1:26" ht="14.4">
      <c r="A581" s="450"/>
      <c r="B581" s="454" t="s">
        <v>658</v>
      </c>
      <c r="C581" s="431">
        <v>2</v>
      </c>
      <c r="D581" s="321"/>
      <c r="E581" s="321"/>
      <c r="F581" s="429">
        <f t="shared" si="98"/>
        <v>2</v>
      </c>
      <c r="G581" s="298">
        <v>38000</v>
      </c>
      <c r="H581" s="298">
        <v>40000</v>
      </c>
      <c r="I581" s="213"/>
      <c r="J581" s="205">
        <f>+I581*H581</f>
        <v>0</v>
      </c>
      <c r="K581" s="205">
        <f>+(H581-G581)*I581</f>
        <v>0</v>
      </c>
      <c r="L581" s="430">
        <f>+G581*F581</f>
        <v>76000</v>
      </c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 spans="1:26" ht="14.4">
      <c r="A582" s="455"/>
      <c r="B582" s="456"/>
      <c r="C582" s="457">
        <f t="shared" ref="C582:F582" si="102">+SUM(C473:C581)</f>
        <v>300</v>
      </c>
      <c r="D582" s="458">
        <f t="shared" si="102"/>
        <v>0</v>
      </c>
      <c r="E582" s="458">
        <f t="shared" si="102"/>
        <v>0</v>
      </c>
      <c r="F582" s="458">
        <f t="shared" si="102"/>
        <v>300</v>
      </c>
      <c r="G582" s="459">
        <f t="shared" ref="G582:L582" si="103">SUM(G473:G581)</f>
        <v>3907164.25</v>
      </c>
      <c r="H582" s="459">
        <f t="shared" si="103"/>
        <v>4265300</v>
      </c>
      <c r="I582" s="460">
        <f t="shared" si="103"/>
        <v>0</v>
      </c>
      <c r="J582" s="459">
        <f t="shared" si="103"/>
        <v>0</v>
      </c>
      <c r="K582" s="459">
        <f t="shared" si="103"/>
        <v>0</v>
      </c>
      <c r="L582" s="459">
        <f t="shared" si="103"/>
        <v>9334930.75</v>
      </c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 spans="1:26" ht="14.4">
      <c r="A583" s="191"/>
      <c r="B583" s="191"/>
      <c r="C583" s="439">
        <v>515</v>
      </c>
      <c r="D583" s="439">
        <f t="shared" ref="D583:L583" si="104">D582+D472+D443+D430</f>
        <v>0</v>
      </c>
      <c r="E583" s="439">
        <f t="shared" si="104"/>
        <v>0</v>
      </c>
      <c r="F583" s="439">
        <f t="shared" si="104"/>
        <v>638</v>
      </c>
      <c r="G583" s="461">
        <f t="shared" si="104"/>
        <v>13380877.25</v>
      </c>
      <c r="H583" s="461">
        <f t="shared" si="104"/>
        <v>14034400</v>
      </c>
      <c r="I583" s="462">
        <f t="shared" si="104"/>
        <v>0</v>
      </c>
      <c r="J583" s="439">
        <f t="shared" si="104"/>
        <v>0</v>
      </c>
      <c r="K583" s="439">
        <f t="shared" si="104"/>
        <v>0</v>
      </c>
      <c r="L583" s="439">
        <f t="shared" si="104"/>
        <v>31534873.75</v>
      </c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 spans="1:26" ht="14.4">
      <c r="A584" s="191"/>
      <c r="B584" s="191"/>
      <c r="C584" s="191"/>
      <c r="D584" s="191"/>
      <c r="E584" s="191"/>
      <c r="F584" s="191"/>
      <c r="G584" s="386"/>
      <c r="H584" s="386"/>
      <c r="I584" s="46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 spans="1:26" ht="14.4">
      <c r="A585" s="191"/>
      <c r="B585" s="191"/>
      <c r="C585" s="191"/>
      <c r="D585" s="191"/>
      <c r="E585" s="191"/>
      <c r="F585" s="191"/>
      <c r="G585" s="386"/>
      <c r="H585" s="386"/>
      <c r="I585" s="46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 spans="1:26" ht="14.4">
      <c r="A586" s="191"/>
      <c r="B586" s="191"/>
      <c r="C586" s="191"/>
      <c r="D586" s="191"/>
      <c r="E586" s="191"/>
      <c r="F586" s="191"/>
      <c r="G586" s="386"/>
      <c r="H586" s="386"/>
      <c r="I586" s="46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 spans="1:26" ht="14.4">
      <c r="A587" s="191"/>
      <c r="B587" s="191"/>
      <c r="C587" s="191"/>
      <c r="D587" s="191"/>
      <c r="E587" s="191"/>
      <c r="F587" s="191"/>
      <c r="G587" s="386"/>
      <c r="H587" s="386"/>
      <c r="I587" s="46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 spans="1:26" ht="14.4">
      <c r="A588" s="191"/>
      <c r="B588" s="191"/>
      <c r="C588" s="191"/>
      <c r="D588" s="191"/>
      <c r="E588" s="191"/>
      <c r="F588" s="191"/>
      <c r="G588" s="386"/>
      <c r="H588" s="386"/>
      <c r="I588" s="46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 spans="1:26" ht="14.4">
      <c r="A589" s="191"/>
      <c r="B589" s="191"/>
      <c r="C589" s="191"/>
      <c r="D589" s="191"/>
      <c r="E589" s="191"/>
      <c r="F589" s="191"/>
      <c r="G589" s="386"/>
      <c r="H589" s="386"/>
      <c r="I589" s="46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 spans="1:26" ht="14.4">
      <c r="A590" s="191"/>
      <c r="B590" s="191"/>
      <c r="C590" s="191"/>
      <c r="D590" s="191"/>
      <c r="E590" s="191"/>
      <c r="F590" s="191"/>
      <c r="G590" s="386"/>
      <c r="H590" s="386"/>
      <c r="I590" s="46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 spans="1:26" ht="14.4">
      <c r="A591" s="191"/>
      <c r="B591" s="191"/>
      <c r="C591" s="191"/>
      <c r="D591" s="191"/>
      <c r="E591" s="191"/>
      <c r="F591" s="191"/>
      <c r="G591" s="386"/>
      <c r="H591" s="386"/>
      <c r="I591" s="46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 spans="1:26" ht="14.4">
      <c r="A592" s="191"/>
      <c r="B592" s="191"/>
      <c r="C592" s="191"/>
      <c r="D592" s="191"/>
      <c r="E592" s="191"/>
      <c r="F592" s="191"/>
      <c r="G592" s="386"/>
      <c r="H592" s="386"/>
      <c r="I592" s="46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 spans="1:26" ht="14.4">
      <c r="A593" s="191"/>
      <c r="B593" s="191"/>
      <c r="C593" s="191"/>
      <c r="D593" s="191"/>
      <c r="E593" s="191"/>
      <c r="F593" s="191"/>
      <c r="G593" s="386"/>
      <c r="H593" s="386"/>
      <c r="I593" s="46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 spans="1:26" ht="14.4">
      <c r="A594" s="191"/>
      <c r="B594" s="191"/>
      <c r="C594" s="191"/>
      <c r="D594" s="191"/>
      <c r="E594" s="191"/>
      <c r="F594" s="191"/>
      <c r="G594" s="386"/>
      <c r="H594" s="386"/>
      <c r="I594" s="46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 spans="1:26" ht="14.4">
      <c r="A595" s="191"/>
      <c r="B595" s="191"/>
      <c r="C595" s="191"/>
      <c r="D595" s="191"/>
      <c r="E595" s="191"/>
      <c r="F595" s="191"/>
      <c r="G595" s="386"/>
      <c r="H595" s="386"/>
      <c r="I595" s="46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 spans="1:26" ht="14.4">
      <c r="A596" s="191"/>
      <c r="B596" s="191"/>
      <c r="C596" s="191"/>
      <c r="D596" s="191"/>
      <c r="E596" s="191"/>
      <c r="F596" s="191"/>
      <c r="G596" s="386"/>
      <c r="H596" s="386"/>
      <c r="I596" s="46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 spans="1:26" ht="14.4">
      <c r="A597" s="191"/>
      <c r="B597" s="191"/>
      <c r="C597" s="191"/>
      <c r="D597" s="191"/>
      <c r="E597" s="191"/>
      <c r="F597" s="191"/>
      <c r="G597" s="386"/>
      <c r="H597" s="386"/>
      <c r="I597" s="46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 spans="1:26" ht="14.4">
      <c r="A598" s="191"/>
      <c r="B598" s="191"/>
      <c r="C598" s="191"/>
      <c r="D598" s="191"/>
      <c r="E598" s="191"/>
      <c r="F598" s="191"/>
      <c r="G598" s="386"/>
      <c r="H598" s="386"/>
      <c r="I598" s="46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 spans="1:26" ht="14.4">
      <c r="A599" s="191"/>
      <c r="B599" s="191"/>
      <c r="C599" s="191"/>
      <c r="D599" s="191"/>
      <c r="E599" s="191"/>
      <c r="F599" s="191"/>
      <c r="G599" s="386"/>
      <c r="H599" s="386"/>
      <c r="I599" s="46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 spans="1:26" ht="14.4">
      <c r="A600" s="191"/>
      <c r="B600" s="191"/>
      <c r="C600" s="191"/>
      <c r="D600" s="191"/>
      <c r="E600" s="191"/>
      <c r="F600" s="191"/>
      <c r="G600" s="386"/>
      <c r="H600" s="386"/>
      <c r="I600" s="46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 spans="1:26" ht="14.4">
      <c r="A601" s="191"/>
      <c r="B601" s="191"/>
      <c r="C601" s="191"/>
      <c r="D601" s="191"/>
      <c r="E601" s="191"/>
      <c r="F601" s="191"/>
      <c r="G601" s="386"/>
      <c r="H601" s="386"/>
      <c r="I601" s="46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 spans="1:26" ht="14.4">
      <c r="A602" s="191"/>
      <c r="B602" s="191"/>
      <c r="C602" s="191"/>
      <c r="D602" s="191"/>
      <c r="E602" s="191"/>
      <c r="F602" s="191"/>
      <c r="G602" s="386"/>
      <c r="H602" s="386"/>
      <c r="I602" s="46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 spans="1:26" ht="14.4">
      <c r="A603" s="191"/>
      <c r="B603" s="191"/>
      <c r="C603" s="191"/>
      <c r="D603" s="191"/>
      <c r="E603" s="191"/>
      <c r="F603" s="191"/>
      <c r="G603" s="386"/>
      <c r="H603" s="386"/>
      <c r="I603" s="46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 spans="1:26" ht="14.4">
      <c r="A604" s="191"/>
      <c r="B604" s="191"/>
      <c r="C604" s="191"/>
      <c r="D604" s="191"/>
      <c r="E604" s="191"/>
      <c r="F604" s="191"/>
      <c r="G604" s="386"/>
      <c r="H604" s="386"/>
      <c r="I604" s="46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 spans="1:26" ht="14.4">
      <c r="A605" s="191"/>
      <c r="B605" s="191"/>
      <c r="C605" s="191"/>
      <c r="D605" s="191"/>
      <c r="E605" s="191"/>
      <c r="F605" s="191"/>
      <c r="G605" s="386"/>
      <c r="H605" s="386"/>
      <c r="I605" s="46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 spans="1:26" ht="14.4">
      <c r="A606" s="191"/>
      <c r="B606" s="191"/>
      <c r="C606" s="191"/>
      <c r="D606" s="191"/>
      <c r="E606" s="191"/>
      <c r="F606" s="191"/>
      <c r="G606" s="386"/>
      <c r="H606" s="386"/>
      <c r="I606" s="46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 spans="1:26" ht="14.4">
      <c r="A607" s="191"/>
      <c r="B607" s="191"/>
      <c r="C607" s="191"/>
      <c r="D607" s="191"/>
      <c r="E607" s="191"/>
      <c r="F607" s="191"/>
      <c r="G607" s="386"/>
      <c r="H607" s="386"/>
      <c r="I607" s="46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 spans="1:26" ht="14.4">
      <c r="A608" s="191"/>
      <c r="B608" s="191"/>
      <c r="C608" s="191"/>
      <c r="D608" s="191"/>
      <c r="E608" s="191"/>
      <c r="F608" s="191"/>
      <c r="G608" s="386"/>
      <c r="H608" s="386"/>
      <c r="I608" s="46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 spans="1:26" ht="14.4">
      <c r="A609" s="191"/>
      <c r="B609" s="191"/>
      <c r="C609" s="191"/>
      <c r="D609" s="191"/>
      <c r="E609" s="191"/>
      <c r="F609" s="191"/>
      <c r="G609" s="386"/>
      <c r="H609" s="386"/>
      <c r="I609" s="46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 spans="1:26" ht="14.4">
      <c r="A610" s="191"/>
      <c r="B610" s="191"/>
      <c r="C610" s="191"/>
      <c r="D610" s="191"/>
      <c r="E610" s="191"/>
      <c r="F610" s="191"/>
      <c r="G610" s="386"/>
      <c r="H610" s="386"/>
      <c r="I610" s="46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 spans="1:26" ht="14.4">
      <c r="A611" s="191"/>
      <c r="B611" s="191"/>
      <c r="C611" s="191"/>
      <c r="D611" s="191"/>
      <c r="E611" s="191"/>
      <c r="F611" s="191"/>
      <c r="G611" s="386"/>
      <c r="H611" s="386"/>
      <c r="I611" s="46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 spans="1:26" ht="14.4">
      <c r="A612" s="191"/>
      <c r="B612" s="191"/>
      <c r="C612" s="191"/>
      <c r="D612" s="191"/>
      <c r="E612" s="191"/>
      <c r="F612" s="191"/>
      <c r="G612" s="386"/>
      <c r="H612" s="386"/>
      <c r="I612" s="46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 spans="1:26" ht="14.4">
      <c r="A613" s="191"/>
      <c r="B613" s="191"/>
      <c r="C613" s="191"/>
      <c r="D613" s="191"/>
      <c r="E613" s="191"/>
      <c r="F613" s="191"/>
      <c r="G613" s="386"/>
      <c r="H613" s="386"/>
      <c r="I613" s="46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 spans="1:26" ht="14.4">
      <c r="A614" s="191"/>
      <c r="B614" s="191"/>
      <c r="C614" s="191"/>
      <c r="D614" s="191"/>
      <c r="E614" s="191"/>
      <c r="F614" s="191"/>
      <c r="G614" s="386"/>
      <c r="H614" s="386"/>
      <c r="I614" s="46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 spans="1:26" ht="14.4">
      <c r="A615" s="191"/>
      <c r="B615" s="191"/>
      <c r="C615" s="191"/>
      <c r="D615" s="191"/>
      <c r="E615" s="191"/>
      <c r="F615" s="191"/>
      <c r="G615" s="386"/>
      <c r="H615" s="386"/>
      <c r="I615" s="46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spans="1:26" ht="14.4">
      <c r="A616" s="191"/>
      <c r="B616" s="191"/>
      <c r="C616" s="191"/>
      <c r="D616" s="191"/>
      <c r="E616" s="191"/>
      <c r="F616" s="191"/>
      <c r="G616" s="386"/>
      <c r="H616" s="386"/>
      <c r="I616" s="46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spans="1:26" ht="14.4">
      <c r="A617" s="191"/>
      <c r="B617" s="191"/>
      <c r="C617" s="191"/>
      <c r="D617" s="191"/>
      <c r="E617" s="191"/>
      <c r="F617" s="191"/>
      <c r="G617" s="386"/>
      <c r="H617" s="386"/>
      <c r="I617" s="46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spans="1:26" ht="14.4">
      <c r="A618" s="191"/>
      <c r="B618" s="191"/>
      <c r="C618" s="191"/>
      <c r="D618" s="191"/>
      <c r="E618" s="191"/>
      <c r="F618" s="191"/>
      <c r="G618" s="386"/>
      <c r="H618" s="386"/>
      <c r="I618" s="46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spans="1:26" ht="14.4">
      <c r="A619" s="191"/>
      <c r="B619" s="191"/>
      <c r="C619" s="191"/>
      <c r="D619" s="191"/>
      <c r="E619" s="191"/>
      <c r="F619" s="191"/>
      <c r="G619" s="386"/>
      <c r="H619" s="386"/>
      <c r="I619" s="46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spans="1:26" ht="14.4">
      <c r="A620" s="191"/>
      <c r="B620" s="191"/>
      <c r="C620" s="191"/>
      <c r="D620" s="191"/>
      <c r="E620" s="191"/>
      <c r="F620" s="191"/>
      <c r="G620" s="386"/>
      <c r="H620" s="386"/>
      <c r="I620" s="46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spans="1:26" ht="14.4">
      <c r="A621" s="191"/>
      <c r="B621" s="191"/>
      <c r="C621" s="191"/>
      <c r="D621" s="191"/>
      <c r="E621" s="191"/>
      <c r="F621" s="191"/>
      <c r="G621" s="386"/>
      <c r="H621" s="386"/>
      <c r="I621" s="46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spans="1:26" ht="14.4">
      <c r="A622" s="191"/>
      <c r="B622" s="191"/>
      <c r="C622" s="191"/>
      <c r="D622" s="191"/>
      <c r="E622" s="191"/>
      <c r="F622" s="191"/>
      <c r="G622" s="386"/>
      <c r="H622" s="386"/>
      <c r="I622" s="46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spans="1:26" ht="14.4">
      <c r="A623" s="191"/>
      <c r="B623" s="191"/>
      <c r="C623" s="191"/>
      <c r="D623" s="191"/>
      <c r="E623" s="191"/>
      <c r="F623" s="191"/>
      <c r="G623" s="386"/>
      <c r="H623" s="386"/>
      <c r="I623" s="46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spans="1:26" ht="14.4">
      <c r="A624" s="191"/>
      <c r="B624" s="191"/>
      <c r="C624" s="191"/>
      <c r="D624" s="191"/>
      <c r="E624" s="191"/>
      <c r="F624" s="191"/>
      <c r="G624" s="386"/>
      <c r="H624" s="386"/>
      <c r="I624" s="46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spans="1:26" ht="14.4">
      <c r="A625" s="191"/>
      <c r="B625" s="191"/>
      <c r="C625" s="191"/>
      <c r="D625" s="191"/>
      <c r="E625" s="191"/>
      <c r="F625" s="191"/>
      <c r="G625" s="386"/>
      <c r="H625" s="386"/>
      <c r="I625" s="46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spans="1:26" ht="14.4">
      <c r="A626" s="191"/>
      <c r="B626" s="191"/>
      <c r="C626" s="191"/>
      <c r="D626" s="191"/>
      <c r="E626" s="191"/>
      <c r="F626" s="191"/>
      <c r="G626" s="386"/>
      <c r="H626" s="386"/>
      <c r="I626" s="46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spans="1:26" ht="14.4">
      <c r="A627" s="191"/>
      <c r="B627" s="191"/>
      <c r="C627" s="191"/>
      <c r="D627" s="191"/>
      <c r="E627" s="191"/>
      <c r="F627" s="191"/>
      <c r="G627" s="386"/>
      <c r="H627" s="386"/>
      <c r="I627" s="46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spans="1:26" ht="14.4">
      <c r="A628" s="191"/>
      <c r="B628" s="191"/>
      <c r="C628" s="191"/>
      <c r="D628" s="191"/>
      <c r="E628" s="191"/>
      <c r="F628" s="191"/>
      <c r="G628" s="386"/>
      <c r="H628" s="386"/>
      <c r="I628" s="46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spans="1:26" ht="14.4">
      <c r="A629" s="191"/>
      <c r="B629" s="191"/>
      <c r="C629" s="191"/>
      <c r="D629" s="191"/>
      <c r="E629" s="191"/>
      <c r="F629" s="191"/>
      <c r="G629" s="386"/>
      <c r="H629" s="386"/>
      <c r="I629" s="46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spans="1:26" ht="14.4">
      <c r="A630" s="191"/>
      <c r="B630" s="191"/>
      <c r="C630" s="191"/>
      <c r="D630" s="191"/>
      <c r="E630" s="191"/>
      <c r="F630" s="191"/>
      <c r="G630" s="386"/>
      <c r="H630" s="386"/>
      <c r="I630" s="46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 spans="1:26" ht="14.4">
      <c r="A631" s="191"/>
      <c r="B631" s="191"/>
      <c r="C631" s="191"/>
      <c r="D631" s="191"/>
      <c r="E631" s="191"/>
      <c r="F631" s="191"/>
      <c r="G631" s="386"/>
      <c r="H631" s="386"/>
      <c r="I631" s="46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 spans="1:26" ht="14.4">
      <c r="A632" s="191"/>
      <c r="B632" s="191"/>
      <c r="C632" s="191"/>
      <c r="D632" s="191"/>
      <c r="E632" s="191"/>
      <c r="F632" s="191"/>
      <c r="G632" s="386"/>
      <c r="H632" s="386"/>
      <c r="I632" s="46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 spans="1:26" ht="14.4">
      <c r="A633" s="191"/>
      <c r="B633" s="191"/>
      <c r="C633" s="191"/>
      <c r="D633" s="191"/>
      <c r="E633" s="191"/>
      <c r="F633" s="191"/>
      <c r="G633" s="386"/>
      <c r="H633" s="386"/>
      <c r="I633" s="46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 spans="1:26" ht="14.4">
      <c r="A634" s="191"/>
      <c r="B634" s="191"/>
      <c r="C634" s="191"/>
      <c r="D634" s="191"/>
      <c r="E634" s="191"/>
      <c r="F634" s="191"/>
      <c r="G634" s="386"/>
      <c r="H634" s="386"/>
      <c r="I634" s="46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 spans="1:26" ht="14.4">
      <c r="A635" s="191"/>
      <c r="B635" s="191"/>
      <c r="C635" s="191"/>
      <c r="D635" s="191"/>
      <c r="E635" s="191"/>
      <c r="F635" s="191"/>
      <c r="G635" s="386"/>
      <c r="H635" s="386"/>
      <c r="I635" s="46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 spans="1:26" ht="14.4">
      <c r="A636" s="191"/>
      <c r="B636" s="191"/>
      <c r="C636" s="191"/>
      <c r="D636" s="191"/>
      <c r="E636" s="191"/>
      <c r="F636" s="191"/>
      <c r="G636" s="386"/>
      <c r="H636" s="386"/>
      <c r="I636" s="46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 spans="1:26" ht="14.4">
      <c r="A637" s="191"/>
      <c r="B637" s="191"/>
      <c r="C637" s="191"/>
      <c r="D637" s="191"/>
      <c r="E637" s="191"/>
      <c r="F637" s="191"/>
      <c r="G637" s="386"/>
      <c r="H637" s="386"/>
      <c r="I637" s="46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 spans="1:26" ht="14.4">
      <c r="A638" s="191"/>
      <c r="B638" s="191"/>
      <c r="C638" s="191"/>
      <c r="D638" s="191"/>
      <c r="E638" s="191"/>
      <c r="F638" s="191"/>
      <c r="G638" s="386"/>
      <c r="H638" s="386"/>
      <c r="I638" s="46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 spans="1:26" ht="14.4">
      <c r="A639" s="191"/>
      <c r="B639" s="191"/>
      <c r="C639" s="191"/>
      <c r="D639" s="191"/>
      <c r="E639" s="191"/>
      <c r="F639" s="191"/>
      <c r="G639" s="386"/>
      <c r="H639" s="386"/>
      <c r="I639" s="46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 spans="1:26" ht="14.4">
      <c r="A640" s="191"/>
      <c r="B640" s="191"/>
      <c r="C640" s="191"/>
      <c r="D640" s="191"/>
      <c r="E640" s="191"/>
      <c r="F640" s="191"/>
      <c r="G640" s="386"/>
      <c r="H640" s="386"/>
      <c r="I640" s="46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 spans="1:26" ht="14.4">
      <c r="A641" s="191"/>
      <c r="B641" s="191"/>
      <c r="C641" s="191"/>
      <c r="D641" s="191"/>
      <c r="E641" s="191"/>
      <c r="F641" s="191"/>
      <c r="G641" s="386"/>
      <c r="H641" s="386"/>
      <c r="I641" s="46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 spans="1:26" ht="14.4">
      <c r="A642" s="191"/>
      <c r="B642" s="191"/>
      <c r="C642" s="191"/>
      <c r="D642" s="191"/>
      <c r="E642" s="191"/>
      <c r="F642" s="191"/>
      <c r="G642" s="386"/>
      <c r="H642" s="386"/>
      <c r="I642" s="46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 spans="1:26" ht="14.4">
      <c r="A643" s="191"/>
      <c r="B643" s="191"/>
      <c r="C643" s="191"/>
      <c r="D643" s="191"/>
      <c r="E643" s="191"/>
      <c r="F643" s="191"/>
      <c r="G643" s="386"/>
      <c r="H643" s="386"/>
      <c r="I643" s="46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 spans="1:26" ht="14.4">
      <c r="A644" s="191"/>
      <c r="B644" s="191"/>
      <c r="C644" s="191"/>
      <c r="D644" s="191"/>
      <c r="E644" s="191"/>
      <c r="F644" s="191"/>
      <c r="G644" s="386"/>
      <c r="H644" s="386"/>
      <c r="I644" s="46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 spans="1:26" ht="14.4">
      <c r="A645" s="191"/>
      <c r="B645" s="191"/>
      <c r="C645" s="191"/>
      <c r="D645" s="191"/>
      <c r="E645" s="191"/>
      <c r="F645" s="191"/>
      <c r="G645" s="386"/>
      <c r="H645" s="386"/>
      <c r="I645" s="46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 spans="1:26" ht="14.4">
      <c r="A646" s="191"/>
      <c r="B646" s="191"/>
      <c r="C646" s="191"/>
      <c r="D646" s="191"/>
      <c r="E646" s="191"/>
      <c r="F646" s="191"/>
      <c r="G646" s="386"/>
      <c r="H646" s="386"/>
      <c r="I646" s="46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 spans="1:26" ht="14.4">
      <c r="A647" s="191"/>
      <c r="B647" s="191"/>
      <c r="C647" s="191"/>
      <c r="D647" s="191"/>
      <c r="E647" s="191"/>
      <c r="F647" s="191"/>
      <c r="G647" s="386"/>
      <c r="H647" s="386"/>
      <c r="I647" s="46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 spans="1:26" ht="14.4">
      <c r="A648" s="191"/>
      <c r="B648" s="191"/>
      <c r="C648" s="191"/>
      <c r="D648" s="191"/>
      <c r="E648" s="191"/>
      <c r="F648" s="191"/>
      <c r="G648" s="386"/>
      <c r="H648" s="386"/>
      <c r="I648" s="46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 spans="1:26" ht="14.4">
      <c r="A649" s="191"/>
      <c r="B649" s="191"/>
      <c r="C649" s="191"/>
      <c r="D649" s="191"/>
      <c r="E649" s="191"/>
      <c r="F649" s="191"/>
      <c r="G649" s="386"/>
      <c r="H649" s="386"/>
      <c r="I649" s="46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 spans="1:26" ht="14.4">
      <c r="A650" s="191"/>
      <c r="B650" s="191"/>
      <c r="C650" s="191"/>
      <c r="D650" s="191"/>
      <c r="E650" s="191"/>
      <c r="F650" s="191"/>
      <c r="G650" s="386"/>
      <c r="H650" s="386"/>
      <c r="I650" s="46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 spans="1:26" ht="14.4">
      <c r="A651" s="191"/>
      <c r="B651" s="191"/>
      <c r="C651" s="191"/>
      <c r="D651" s="191"/>
      <c r="E651" s="191"/>
      <c r="F651" s="191"/>
      <c r="G651" s="386"/>
      <c r="H651" s="386"/>
      <c r="I651" s="46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 spans="1:26" ht="14.4">
      <c r="A652" s="191"/>
      <c r="B652" s="191"/>
      <c r="C652" s="191"/>
      <c r="D652" s="191"/>
      <c r="E652" s="191"/>
      <c r="F652" s="191"/>
      <c r="G652" s="386"/>
      <c r="H652" s="386"/>
      <c r="I652" s="46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 spans="1:26" ht="14.4">
      <c r="A653" s="191"/>
      <c r="B653" s="191"/>
      <c r="C653" s="191"/>
      <c r="D653" s="191"/>
      <c r="E653" s="191"/>
      <c r="F653" s="191"/>
      <c r="G653" s="386"/>
      <c r="H653" s="386"/>
      <c r="I653" s="46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 spans="1:26" ht="14.4">
      <c r="A654" s="191"/>
      <c r="B654" s="191"/>
      <c r="C654" s="191"/>
      <c r="D654" s="191"/>
      <c r="E654" s="191"/>
      <c r="F654" s="191"/>
      <c r="G654" s="386"/>
      <c r="H654" s="386"/>
      <c r="I654" s="46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 spans="1:26" ht="14.4">
      <c r="A655" s="191"/>
      <c r="B655" s="191"/>
      <c r="C655" s="191"/>
      <c r="D655" s="191"/>
      <c r="E655" s="191"/>
      <c r="F655" s="191"/>
      <c r="G655" s="386"/>
      <c r="H655" s="386"/>
      <c r="I655" s="46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 spans="1:26" ht="14.4">
      <c r="A656" s="191"/>
      <c r="B656" s="191"/>
      <c r="C656" s="191"/>
      <c r="D656" s="191"/>
      <c r="E656" s="191"/>
      <c r="F656" s="191"/>
      <c r="G656" s="386"/>
      <c r="H656" s="386"/>
      <c r="I656" s="46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 spans="1:26" ht="14.4">
      <c r="A657" s="191"/>
      <c r="B657" s="191"/>
      <c r="C657" s="191"/>
      <c r="D657" s="191"/>
      <c r="E657" s="191"/>
      <c r="F657" s="191"/>
      <c r="G657" s="386"/>
      <c r="H657" s="386"/>
      <c r="I657" s="46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 spans="1:26" ht="14.4">
      <c r="A658" s="191"/>
      <c r="B658" s="191"/>
      <c r="C658" s="191"/>
      <c r="D658" s="191"/>
      <c r="E658" s="191"/>
      <c r="F658" s="191"/>
      <c r="G658" s="386"/>
      <c r="H658" s="386"/>
      <c r="I658" s="46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 spans="1:26" ht="14.4">
      <c r="A659" s="191"/>
      <c r="B659" s="191"/>
      <c r="C659" s="191"/>
      <c r="D659" s="191"/>
      <c r="E659" s="191"/>
      <c r="F659" s="191"/>
      <c r="G659" s="386"/>
      <c r="H659" s="386"/>
      <c r="I659" s="46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 spans="1:26" ht="14.4">
      <c r="A660" s="191"/>
      <c r="B660" s="191"/>
      <c r="C660" s="191"/>
      <c r="D660" s="191"/>
      <c r="E660" s="191"/>
      <c r="F660" s="191"/>
      <c r="G660" s="386"/>
      <c r="H660" s="386"/>
      <c r="I660" s="46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 spans="1:26" ht="14.4">
      <c r="A661" s="191"/>
      <c r="B661" s="191"/>
      <c r="C661" s="191"/>
      <c r="D661" s="191"/>
      <c r="E661" s="191"/>
      <c r="F661" s="191"/>
      <c r="G661" s="386"/>
      <c r="H661" s="386"/>
      <c r="I661" s="46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 spans="1:26" ht="14.4">
      <c r="A662" s="191"/>
      <c r="B662" s="191"/>
      <c r="C662" s="191"/>
      <c r="D662" s="191"/>
      <c r="E662" s="191"/>
      <c r="F662" s="191"/>
      <c r="G662" s="386"/>
      <c r="H662" s="386"/>
      <c r="I662" s="46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 spans="1:26" ht="14.4">
      <c r="A663" s="191"/>
      <c r="B663" s="191"/>
      <c r="C663" s="191"/>
      <c r="D663" s="191"/>
      <c r="E663" s="191"/>
      <c r="F663" s="191"/>
      <c r="G663" s="386"/>
      <c r="H663" s="386"/>
      <c r="I663" s="46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 spans="1:26" ht="14.4">
      <c r="A664" s="191"/>
      <c r="B664" s="191"/>
      <c r="C664" s="191"/>
      <c r="D664" s="191"/>
      <c r="E664" s="191"/>
      <c r="F664" s="191"/>
      <c r="G664" s="386"/>
      <c r="H664" s="386"/>
      <c r="I664" s="46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 spans="1:26" ht="14.4">
      <c r="A665" s="191"/>
      <c r="B665" s="191"/>
      <c r="C665" s="191"/>
      <c r="D665" s="191"/>
      <c r="E665" s="191"/>
      <c r="F665" s="191"/>
      <c r="G665" s="386"/>
      <c r="H665" s="386"/>
      <c r="I665" s="46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 spans="1:26" ht="14.4">
      <c r="A666" s="191"/>
      <c r="B666" s="191"/>
      <c r="C666" s="191"/>
      <c r="D666" s="191"/>
      <c r="E666" s="191"/>
      <c r="F666" s="191"/>
      <c r="G666" s="386"/>
      <c r="H666" s="386"/>
      <c r="I666" s="46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 spans="1:26" ht="14.4">
      <c r="A667" s="191"/>
      <c r="B667" s="191"/>
      <c r="C667" s="191"/>
      <c r="D667" s="191"/>
      <c r="E667" s="191"/>
      <c r="F667" s="191"/>
      <c r="G667" s="386"/>
      <c r="H667" s="386"/>
      <c r="I667" s="46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 spans="1:26" ht="14.4">
      <c r="A668" s="191"/>
      <c r="B668" s="191"/>
      <c r="C668" s="191"/>
      <c r="D668" s="191"/>
      <c r="E668" s="191"/>
      <c r="F668" s="191"/>
      <c r="G668" s="386"/>
      <c r="H668" s="386"/>
      <c r="I668" s="46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 spans="1:26" ht="14.4">
      <c r="A669" s="191"/>
      <c r="B669" s="191"/>
      <c r="C669" s="191"/>
      <c r="D669" s="191"/>
      <c r="E669" s="191"/>
      <c r="F669" s="191"/>
      <c r="G669" s="386"/>
      <c r="H669" s="386"/>
      <c r="I669" s="46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 spans="1:26" ht="14.4">
      <c r="A670" s="191"/>
      <c r="B670" s="191"/>
      <c r="C670" s="191"/>
      <c r="D670" s="191"/>
      <c r="E670" s="191"/>
      <c r="F670" s="191"/>
      <c r="G670" s="386"/>
      <c r="H670" s="386"/>
      <c r="I670" s="46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 spans="1:26" ht="14.4">
      <c r="A671" s="191"/>
      <c r="B671" s="191"/>
      <c r="C671" s="191"/>
      <c r="D671" s="191"/>
      <c r="E671" s="191"/>
      <c r="F671" s="191"/>
      <c r="G671" s="386"/>
      <c r="H671" s="386"/>
      <c r="I671" s="46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 spans="1:26" ht="14.4">
      <c r="A672" s="191"/>
      <c r="B672" s="191"/>
      <c r="C672" s="191"/>
      <c r="D672" s="191"/>
      <c r="E672" s="191"/>
      <c r="F672" s="191"/>
      <c r="G672" s="386"/>
      <c r="H672" s="386"/>
      <c r="I672" s="46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 spans="1:26" ht="14.4">
      <c r="A673" s="191"/>
      <c r="B673" s="191"/>
      <c r="C673" s="191"/>
      <c r="D673" s="191"/>
      <c r="E673" s="191"/>
      <c r="F673" s="191"/>
      <c r="G673" s="386"/>
      <c r="H673" s="386"/>
      <c r="I673" s="46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 spans="1:26" ht="14.4">
      <c r="A674" s="191"/>
      <c r="B674" s="191"/>
      <c r="C674" s="191"/>
      <c r="D674" s="191"/>
      <c r="E674" s="191"/>
      <c r="F674" s="191"/>
      <c r="G674" s="386"/>
      <c r="H674" s="386"/>
      <c r="I674" s="46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 spans="1:26" ht="14.4">
      <c r="A675" s="191"/>
      <c r="B675" s="191"/>
      <c r="C675" s="191"/>
      <c r="D675" s="191"/>
      <c r="E675" s="191"/>
      <c r="F675" s="191"/>
      <c r="G675" s="386"/>
      <c r="H675" s="386"/>
      <c r="I675" s="46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 spans="1:26" ht="14.4">
      <c r="A676" s="191"/>
      <c r="B676" s="191"/>
      <c r="C676" s="191"/>
      <c r="D676" s="191"/>
      <c r="E676" s="191"/>
      <c r="F676" s="191"/>
      <c r="G676" s="386"/>
      <c r="H676" s="386"/>
      <c r="I676" s="46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 spans="1:26" ht="14.4">
      <c r="A677" s="191"/>
      <c r="B677" s="191"/>
      <c r="C677" s="191"/>
      <c r="D677" s="191"/>
      <c r="E677" s="191"/>
      <c r="F677" s="191"/>
      <c r="G677" s="386"/>
      <c r="H677" s="386"/>
      <c r="I677" s="46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 spans="1:26" ht="14.4">
      <c r="A678" s="191"/>
      <c r="B678" s="191"/>
      <c r="C678" s="191"/>
      <c r="D678" s="191"/>
      <c r="E678" s="191"/>
      <c r="F678" s="191"/>
      <c r="G678" s="386"/>
      <c r="H678" s="386"/>
      <c r="I678" s="46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 spans="1:26" ht="14.4">
      <c r="A679" s="191"/>
      <c r="B679" s="191"/>
      <c r="C679" s="191"/>
      <c r="D679" s="191"/>
      <c r="E679" s="191"/>
      <c r="F679" s="191"/>
      <c r="G679" s="386"/>
      <c r="H679" s="386"/>
      <c r="I679" s="46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 spans="1:26" ht="14.4">
      <c r="A680" s="191"/>
      <c r="B680" s="191"/>
      <c r="C680" s="191"/>
      <c r="D680" s="191"/>
      <c r="E680" s="191"/>
      <c r="F680" s="191"/>
      <c r="G680" s="386"/>
      <c r="H680" s="386"/>
      <c r="I680" s="46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 spans="1:26" ht="14.4">
      <c r="A681" s="191"/>
      <c r="B681" s="191"/>
      <c r="C681" s="191"/>
      <c r="D681" s="191"/>
      <c r="E681" s="191"/>
      <c r="F681" s="191"/>
      <c r="G681" s="386"/>
      <c r="H681" s="386"/>
      <c r="I681" s="46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 spans="1:26" ht="14.4">
      <c r="A682" s="191"/>
      <c r="B682" s="191"/>
      <c r="C682" s="191"/>
      <c r="D682" s="191"/>
      <c r="E682" s="191"/>
      <c r="F682" s="191"/>
      <c r="G682" s="386"/>
      <c r="H682" s="386"/>
      <c r="I682" s="46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 spans="1:26" ht="14.4">
      <c r="A683" s="191"/>
      <c r="B683" s="191"/>
      <c r="C683" s="191"/>
      <c r="D683" s="191"/>
      <c r="E683" s="191"/>
      <c r="F683" s="191"/>
      <c r="G683" s="386"/>
      <c r="H683" s="386"/>
      <c r="I683" s="46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 spans="1:26" ht="14.4">
      <c r="A684" s="191"/>
      <c r="B684" s="191"/>
      <c r="C684" s="191"/>
      <c r="D684" s="191"/>
      <c r="E684" s="191"/>
      <c r="F684" s="191"/>
      <c r="G684" s="386"/>
      <c r="H684" s="386"/>
      <c r="I684" s="46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spans="1:26" ht="14.4">
      <c r="A685" s="191"/>
      <c r="B685" s="191"/>
      <c r="C685" s="191"/>
      <c r="D685" s="191"/>
      <c r="E685" s="191"/>
      <c r="F685" s="191"/>
      <c r="G685" s="386"/>
      <c r="H685" s="386"/>
      <c r="I685" s="46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spans="1:26" ht="14.4">
      <c r="A686" s="191"/>
      <c r="B686" s="191"/>
      <c r="C686" s="191"/>
      <c r="D686" s="191"/>
      <c r="E686" s="191"/>
      <c r="F686" s="191"/>
      <c r="G686" s="386"/>
      <c r="H686" s="386"/>
      <c r="I686" s="46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spans="1:26" ht="14.4">
      <c r="A687" s="191"/>
      <c r="B687" s="191"/>
      <c r="C687" s="191"/>
      <c r="D687" s="191"/>
      <c r="E687" s="191"/>
      <c r="F687" s="191"/>
      <c r="G687" s="386"/>
      <c r="H687" s="386"/>
      <c r="I687" s="46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spans="1:26" ht="14.4">
      <c r="A688" s="191"/>
      <c r="B688" s="191"/>
      <c r="C688" s="191"/>
      <c r="D688" s="191"/>
      <c r="E688" s="191"/>
      <c r="F688" s="191"/>
      <c r="G688" s="386"/>
      <c r="H688" s="386"/>
      <c r="I688" s="46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spans="1:26" ht="14.4">
      <c r="A689" s="191"/>
      <c r="B689" s="191"/>
      <c r="C689" s="191"/>
      <c r="D689" s="191"/>
      <c r="E689" s="191"/>
      <c r="F689" s="191"/>
      <c r="G689" s="386"/>
      <c r="H689" s="386"/>
      <c r="I689" s="46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 spans="1:26" ht="14.4">
      <c r="A690" s="191"/>
      <c r="B690" s="191"/>
      <c r="C690" s="191"/>
      <c r="D690" s="191"/>
      <c r="E690" s="191"/>
      <c r="F690" s="191"/>
      <c r="G690" s="386"/>
      <c r="H690" s="386"/>
      <c r="I690" s="46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 spans="1:26" ht="14.4">
      <c r="A691" s="191"/>
      <c r="B691" s="191"/>
      <c r="C691" s="191"/>
      <c r="D691" s="191"/>
      <c r="E691" s="191"/>
      <c r="F691" s="191"/>
      <c r="G691" s="386"/>
      <c r="H691" s="386"/>
      <c r="I691" s="46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 spans="1:26" ht="14.4">
      <c r="A692" s="191"/>
      <c r="B692" s="191"/>
      <c r="C692" s="191"/>
      <c r="D692" s="191"/>
      <c r="E692" s="191"/>
      <c r="F692" s="191"/>
      <c r="G692" s="386"/>
      <c r="H692" s="386"/>
      <c r="I692" s="46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 spans="1:26" ht="14.4">
      <c r="A693" s="191"/>
      <c r="B693" s="191"/>
      <c r="C693" s="191"/>
      <c r="D693" s="191"/>
      <c r="E693" s="191"/>
      <c r="F693" s="191"/>
      <c r="G693" s="386"/>
      <c r="H693" s="386"/>
      <c r="I693" s="46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 spans="1:26" ht="14.4">
      <c r="A694" s="191"/>
      <c r="B694" s="191"/>
      <c r="C694" s="191"/>
      <c r="D694" s="191"/>
      <c r="E694" s="191"/>
      <c r="F694" s="191"/>
      <c r="G694" s="386"/>
      <c r="H694" s="386"/>
      <c r="I694" s="46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 spans="1:26" ht="14.4">
      <c r="A695" s="191"/>
      <c r="B695" s="191"/>
      <c r="C695" s="191"/>
      <c r="D695" s="191"/>
      <c r="E695" s="191"/>
      <c r="F695" s="191"/>
      <c r="G695" s="386"/>
      <c r="H695" s="386"/>
      <c r="I695" s="46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 spans="1:26" ht="14.4">
      <c r="A696" s="191"/>
      <c r="B696" s="191"/>
      <c r="C696" s="191"/>
      <c r="D696" s="191"/>
      <c r="E696" s="191"/>
      <c r="F696" s="191"/>
      <c r="G696" s="386"/>
      <c r="H696" s="386"/>
      <c r="I696" s="46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 spans="1:26" ht="14.4">
      <c r="A697" s="191"/>
      <c r="B697" s="191"/>
      <c r="C697" s="191"/>
      <c r="D697" s="191"/>
      <c r="E697" s="191"/>
      <c r="F697" s="191"/>
      <c r="G697" s="386"/>
      <c r="H697" s="386"/>
      <c r="I697" s="46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 spans="1:26" ht="14.4">
      <c r="A698" s="191"/>
      <c r="B698" s="191"/>
      <c r="C698" s="191"/>
      <c r="D698" s="191"/>
      <c r="E698" s="191"/>
      <c r="F698" s="191"/>
      <c r="G698" s="386"/>
      <c r="H698" s="386"/>
      <c r="I698" s="46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 spans="1:26" ht="14.4">
      <c r="A699" s="191"/>
      <c r="B699" s="191"/>
      <c r="C699" s="191"/>
      <c r="D699" s="191"/>
      <c r="E699" s="191"/>
      <c r="F699" s="191"/>
      <c r="G699" s="386"/>
      <c r="H699" s="386"/>
      <c r="I699" s="46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 spans="1:26" ht="14.4">
      <c r="A700" s="191"/>
      <c r="B700" s="191"/>
      <c r="C700" s="191"/>
      <c r="D700" s="191"/>
      <c r="E700" s="191"/>
      <c r="F700" s="191"/>
      <c r="G700" s="386"/>
      <c r="H700" s="386"/>
      <c r="I700" s="46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 spans="1:26" ht="14.4">
      <c r="A701" s="191"/>
      <c r="B701" s="191"/>
      <c r="C701" s="191"/>
      <c r="D701" s="191"/>
      <c r="E701" s="191"/>
      <c r="F701" s="191"/>
      <c r="G701" s="386"/>
      <c r="H701" s="386"/>
      <c r="I701" s="46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 spans="1:26" ht="14.4">
      <c r="A702" s="191"/>
      <c r="B702" s="191"/>
      <c r="C702" s="191"/>
      <c r="D702" s="191"/>
      <c r="E702" s="191"/>
      <c r="F702" s="191"/>
      <c r="G702" s="386"/>
      <c r="H702" s="386"/>
      <c r="I702" s="46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 spans="1:26" ht="14.4">
      <c r="A703" s="191"/>
      <c r="B703" s="191"/>
      <c r="C703" s="191"/>
      <c r="D703" s="191"/>
      <c r="E703" s="191"/>
      <c r="F703" s="191"/>
      <c r="G703" s="386"/>
      <c r="H703" s="386"/>
      <c r="I703" s="46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 spans="1:26" ht="14.4">
      <c r="A704" s="191"/>
      <c r="B704" s="191"/>
      <c r="C704" s="191"/>
      <c r="D704" s="191"/>
      <c r="E704" s="191"/>
      <c r="F704" s="191"/>
      <c r="G704" s="386"/>
      <c r="H704" s="386"/>
      <c r="I704" s="46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 spans="1:26" ht="14.4">
      <c r="A705" s="191"/>
      <c r="B705" s="191"/>
      <c r="C705" s="191"/>
      <c r="D705" s="191"/>
      <c r="E705" s="191"/>
      <c r="F705" s="191"/>
      <c r="G705" s="386"/>
      <c r="H705" s="386"/>
      <c r="I705" s="46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 spans="1:26" ht="14.4">
      <c r="A706" s="191"/>
      <c r="B706" s="191"/>
      <c r="C706" s="191"/>
      <c r="D706" s="191"/>
      <c r="E706" s="191"/>
      <c r="F706" s="191"/>
      <c r="G706" s="386"/>
      <c r="H706" s="386"/>
      <c r="I706" s="46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 spans="1:26" ht="14.4">
      <c r="A707" s="191"/>
      <c r="B707" s="191"/>
      <c r="C707" s="191"/>
      <c r="D707" s="191"/>
      <c r="E707" s="191"/>
      <c r="F707" s="191"/>
      <c r="G707" s="386"/>
      <c r="H707" s="386"/>
      <c r="I707" s="46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 spans="1:26" ht="14.4">
      <c r="A708" s="191"/>
      <c r="B708" s="191"/>
      <c r="C708" s="191"/>
      <c r="D708" s="191"/>
      <c r="E708" s="191"/>
      <c r="F708" s="191"/>
      <c r="G708" s="386"/>
      <c r="H708" s="386"/>
      <c r="I708" s="46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 spans="1:26" ht="14.4">
      <c r="A709" s="191"/>
      <c r="B709" s="191"/>
      <c r="C709" s="191"/>
      <c r="D709" s="191"/>
      <c r="E709" s="191"/>
      <c r="F709" s="191"/>
      <c r="G709" s="386"/>
      <c r="H709" s="386"/>
      <c r="I709" s="46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 spans="1:26" ht="14.4">
      <c r="A710" s="191"/>
      <c r="B710" s="191"/>
      <c r="C710" s="191"/>
      <c r="D710" s="191"/>
      <c r="E710" s="191"/>
      <c r="F710" s="191"/>
      <c r="G710" s="386"/>
      <c r="H710" s="386"/>
      <c r="I710" s="46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 spans="1:26" ht="14.4">
      <c r="A711" s="191"/>
      <c r="B711" s="191"/>
      <c r="C711" s="191"/>
      <c r="D711" s="191"/>
      <c r="E711" s="191"/>
      <c r="F711" s="191"/>
      <c r="G711" s="386"/>
      <c r="H711" s="386"/>
      <c r="I711" s="46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 spans="1:26" ht="14.4">
      <c r="A712" s="191"/>
      <c r="B712" s="191"/>
      <c r="C712" s="191"/>
      <c r="D712" s="191"/>
      <c r="E712" s="191"/>
      <c r="F712" s="191"/>
      <c r="G712" s="386"/>
      <c r="H712" s="386"/>
      <c r="I712" s="46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 spans="1:26" ht="14.4">
      <c r="A713" s="191"/>
      <c r="B713" s="191"/>
      <c r="C713" s="191"/>
      <c r="D713" s="191"/>
      <c r="E713" s="191"/>
      <c r="F713" s="191"/>
      <c r="G713" s="386"/>
      <c r="H713" s="386"/>
      <c r="I713" s="46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 spans="1:26" ht="14.4">
      <c r="A714" s="191"/>
      <c r="B714" s="191"/>
      <c r="C714" s="191"/>
      <c r="D714" s="191"/>
      <c r="E714" s="191"/>
      <c r="F714" s="191"/>
      <c r="G714" s="386"/>
      <c r="H714" s="386"/>
      <c r="I714" s="46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 spans="1:26" ht="14.4">
      <c r="A715" s="191"/>
      <c r="B715" s="191"/>
      <c r="C715" s="191"/>
      <c r="D715" s="191"/>
      <c r="E715" s="191"/>
      <c r="F715" s="191"/>
      <c r="G715" s="386"/>
      <c r="H715" s="386"/>
      <c r="I715" s="46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 spans="1:26" ht="14.4">
      <c r="A716" s="191"/>
      <c r="B716" s="191"/>
      <c r="C716" s="191"/>
      <c r="D716" s="191"/>
      <c r="E716" s="191"/>
      <c r="F716" s="191"/>
      <c r="G716" s="386"/>
      <c r="H716" s="386"/>
      <c r="I716" s="46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 spans="1:26" ht="14.4">
      <c r="A717" s="191"/>
      <c r="B717" s="191"/>
      <c r="C717" s="191"/>
      <c r="D717" s="191"/>
      <c r="E717" s="191"/>
      <c r="F717" s="191"/>
      <c r="G717" s="386"/>
      <c r="H717" s="386"/>
      <c r="I717" s="46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 spans="1:26" ht="14.4">
      <c r="A718" s="191"/>
      <c r="B718" s="191"/>
      <c r="C718" s="191"/>
      <c r="D718" s="191"/>
      <c r="E718" s="191"/>
      <c r="F718" s="191"/>
      <c r="G718" s="386"/>
      <c r="H718" s="386"/>
      <c r="I718" s="46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 spans="1:26" ht="14.4">
      <c r="A719" s="191"/>
      <c r="B719" s="191"/>
      <c r="C719" s="191"/>
      <c r="D719" s="191"/>
      <c r="E719" s="191"/>
      <c r="F719" s="191"/>
      <c r="G719" s="386"/>
      <c r="H719" s="386"/>
      <c r="I719" s="46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 spans="1:26" ht="14.4">
      <c r="A720" s="191"/>
      <c r="B720" s="191"/>
      <c r="C720" s="191"/>
      <c r="D720" s="191"/>
      <c r="E720" s="191"/>
      <c r="F720" s="191"/>
      <c r="G720" s="386"/>
      <c r="H720" s="386"/>
      <c r="I720" s="46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 spans="1:26" ht="14.4">
      <c r="A721" s="191"/>
      <c r="B721" s="191"/>
      <c r="C721" s="191"/>
      <c r="D721" s="191"/>
      <c r="E721" s="191"/>
      <c r="F721" s="191"/>
      <c r="G721" s="386"/>
      <c r="H721" s="386"/>
      <c r="I721" s="46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 spans="1:26" ht="14.4">
      <c r="A722" s="191"/>
      <c r="B722" s="191"/>
      <c r="C722" s="191"/>
      <c r="D722" s="191"/>
      <c r="E722" s="191"/>
      <c r="F722" s="191"/>
      <c r="G722" s="386"/>
      <c r="H722" s="386"/>
      <c r="I722" s="46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 spans="1:26" ht="14.4">
      <c r="A723" s="191"/>
      <c r="B723" s="191"/>
      <c r="C723" s="191"/>
      <c r="D723" s="191"/>
      <c r="E723" s="191"/>
      <c r="F723" s="191"/>
      <c r="G723" s="386"/>
      <c r="H723" s="386"/>
      <c r="I723" s="46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 spans="1:26" ht="14.4">
      <c r="A724" s="191"/>
      <c r="B724" s="191"/>
      <c r="C724" s="191"/>
      <c r="D724" s="191"/>
      <c r="E724" s="191"/>
      <c r="F724" s="191"/>
      <c r="G724" s="386"/>
      <c r="H724" s="386"/>
      <c r="I724" s="46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 spans="1:26" ht="14.4">
      <c r="A725" s="191"/>
      <c r="B725" s="191"/>
      <c r="C725" s="191"/>
      <c r="D725" s="191"/>
      <c r="E725" s="191"/>
      <c r="F725" s="191"/>
      <c r="G725" s="386"/>
      <c r="H725" s="386"/>
      <c r="I725" s="46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 spans="1:26" ht="14.4">
      <c r="A726" s="191"/>
      <c r="B726" s="191"/>
      <c r="C726" s="191"/>
      <c r="D726" s="191"/>
      <c r="E726" s="191"/>
      <c r="F726" s="191"/>
      <c r="G726" s="386"/>
      <c r="H726" s="386"/>
      <c r="I726" s="46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 spans="1:26" ht="14.4">
      <c r="A727" s="191"/>
      <c r="B727" s="191"/>
      <c r="C727" s="191"/>
      <c r="D727" s="191"/>
      <c r="E727" s="191"/>
      <c r="F727" s="191"/>
      <c r="G727" s="386"/>
      <c r="H727" s="386"/>
      <c r="I727" s="46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 spans="1:26" ht="14.4">
      <c r="A728" s="191"/>
      <c r="B728" s="191"/>
      <c r="C728" s="191"/>
      <c r="D728" s="191"/>
      <c r="E728" s="191"/>
      <c r="F728" s="191"/>
      <c r="G728" s="386"/>
      <c r="H728" s="386"/>
      <c r="I728" s="46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 spans="1:26" ht="14.4">
      <c r="A729" s="191"/>
      <c r="B729" s="191"/>
      <c r="C729" s="191"/>
      <c r="D729" s="191"/>
      <c r="E729" s="191"/>
      <c r="F729" s="191"/>
      <c r="G729" s="386"/>
      <c r="H729" s="386"/>
      <c r="I729" s="46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 spans="1:26" ht="14.4">
      <c r="A730" s="191"/>
      <c r="B730" s="191"/>
      <c r="C730" s="191"/>
      <c r="D730" s="191"/>
      <c r="E730" s="191"/>
      <c r="F730" s="191"/>
      <c r="G730" s="386"/>
      <c r="H730" s="386"/>
      <c r="I730" s="46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 spans="1:26" ht="14.4">
      <c r="A731" s="191"/>
      <c r="B731" s="191"/>
      <c r="C731" s="191"/>
      <c r="D731" s="191"/>
      <c r="E731" s="191"/>
      <c r="F731" s="191"/>
      <c r="G731" s="386"/>
      <c r="H731" s="386"/>
      <c r="I731" s="46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 spans="1:26" ht="14.4">
      <c r="A732" s="191"/>
      <c r="B732" s="191"/>
      <c r="C732" s="191"/>
      <c r="D732" s="191"/>
      <c r="E732" s="191"/>
      <c r="F732" s="191"/>
      <c r="G732" s="386"/>
      <c r="H732" s="386"/>
      <c r="I732" s="46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 spans="1:26" ht="14.4">
      <c r="A733" s="191"/>
      <c r="B733" s="191"/>
      <c r="C733" s="191"/>
      <c r="D733" s="191"/>
      <c r="E733" s="191"/>
      <c r="F733" s="191"/>
      <c r="G733" s="386"/>
      <c r="H733" s="386"/>
      <c r="I733" s="46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 spans="1:26" ht="14.4">
      <c r="A734" s="191"/>
      <c r="B734" s="191"/>
      <c r="C734" s="191"/>
      <c r="D734" s="191"/>
      <c r="E734" s="191"/>
      <c r="F734" s="191"/>
      <c r="G734" s="386"/>
      <c r="H734" s="386"/>
      <c r="I734" s="46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 spans="1:26" ht="14.4">
      <c r="A735" s="191"/>
      <c r="B735" s="191"/>
      <c r="C735" s="191"/>
      <c r="D735" s="191"/>
      <c r="E735" s="191"/>
      <c r="F735" s="191"/>
      <c r="G735" s="386"/>
      <c r="H735" s="386"/>
      <c r="I735" s="46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 spans="1:26" ht="14.4">
      <c r="A736" s="191"/>
      <c r="B736" s="191"/>
      <c r="C736" s="191"/>
      <c r="D736" s="191"/>
      <c r="E736" s="191"/>
      <c r="F736" s="191"/>
      <c r="G736" s="386"/>
      <c r="H736" s="386"/>
      <c r="I736" s="46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 spans="1:26" ht="14.4">
      <c r="A737" s="191"/>
      <c r="B737" s="191"/>
      <c r="C737" s="191"/>
      <c r="D737" s="191"/>
      <c r="E737" s="191"/>
      <c r="F737" s="191"/>
      <c r="G737" s="386"/>
      <c r="H737" s="386"/>
      <c r="I737" s="46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 spans="1:26" ht="14.4">
      <c r="A738" s="191"/>
      <c r="B738" s="191"/>
      <c r="C738" s="191"/>
      <c r="D738" s="191"/>
      <c r="E738" s="191"/>
      <c r="F738" s="191"/>
      <c r="G738" s="386"/>
      <c r="H738" s="386"/>
      <c r="I738" s="46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 spans="1:26" ht="14.4">
      <c r="A739" s="191"/>
      <c r="B739" s="191"/>
      <c r="C739" s="191"/>
      <c r="D739" s="191"/>
      <c r="E739" s="191"/>
      <c r="F739" s="191"/>
      <c r="G739" s="386"/>
      <c r="H739" s="386"/>
      <c r="I739" s="46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 spans="1:26" ht="14.4">
      <c r="A740" s="191"/>
      <c r="B740" s="191"/>
      <c r="C740" s="191"/>
      <c r="D740" s="191"/>
      <c r="E740" s="191"/>
      <c r="F740" s="191"/>
      <c r="G740" s="386"/>
      <c r="H740" s="386"/>
      <c r="I740" s="46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 spans="1:26" ht="14.4">
      <c r="A741" s="191"/>
      <c r="B741" s="191"/>
      <c r="C741" s="191"/>
      <c r="D741" s="191"/>
      <c r="E741" s="191"/>
      <c r="F741" s="191"/>
      <c r="G741" s="386"/>
      <c r="H741" s="386"/>
      <c r="I741" s="46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 spans="1:26" ht="14.4">
      <c r="A742" s="191"/>
      <c r="B742" s="191"/>
      <c r="C742" s="191"/>
      <c r="D742" s="191"/>
      <c r="E742" s="191"/>
      <c r="F742" s="191"/>
      <c r="G742" s="386"/>
      <c r="H742" s="386"/>
      <c r="I742" s="46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 spans="1:26" ht="14.4">
      <c r="A743" s="191"/>
      <c r="B743" s="191"/>
      <c r="C743" s="191"/>
      <c r="D743" s="191"/>
      <c r="E743" s="191"/>
      <c r="F743" s="191"/>
      <c r="G743" s="386"/>
      <c r="H743" s="386"/>
      <c r="I743" s="46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 spans="1:26" ht="14.4">
      <c r="A744" s="191"/>
      <c r="B744" s="191"/>
      <c r="C744" s="191"/>
      <c r="D744" s="191"/>
      <c r="E744" s="191"/>
      <c r="F744" s="191"/>
      <c r="G744" s="386"/>
      <c r="H744" s="386"/>
      <c r="I744" s="46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 spans="1:26" ht="14.4">
      <c r="A745" s="191"/>
      <c r="B745" s="191"/>
      <c r="C745" s="191"/>
      <c r="D745" s="191"/>
      <c r="E745" s="191"/>
      <c r="F745" s="191"/>
      <c r="G745" s="386"/>
      <c r="H745" s="386"/>
      <c r="I745" s="46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 spans="1:26" ht="14.4">
      <c r="A746" s="191"/>
      <c r="B746" s="191"/>
      <c r="C746" s="191"/>
      <c r="D746" s="191"/>
      <c r="E746" s="191"/>
      <c r="F746" s="191"/>
      <c r="G746" s="386"/>
      <c r="H746" s="386"/>
      <c r="I746" s="46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 spans="1:26" ht="14.4">
      <c r="A747" s="191"/>
      <c r="B747" s="191"/>
      <c r="C747" s="191"/>
      <c r="D747" s="191"/>
      <c r="E747" s="191"/>
      <c r="F747" s="191"/>
      <c r="G747" s="386"/>
      <c r="H747" s="386"/>
      <c r="I747" s="46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 spans="1:26" ht="14.4">
      <c r="A748" s="191"/>
      <c r="B748" s="191"/>
      <c r="C748" s="191"/>
      <c r="D748" s="191"/>
      <c r="E748" s="191"/>
      <c r="F748" s="191"/>
      <c r="G748" s="386"/>
      <c r="H748" s="386"/>
      <c r="I748" s="46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 spans="1:26" ht="14.4">
      <c r="A749" s="191"/>
      <c r="B749" s="191"/>
      <c r="C749" s="191"/>
      <c r="D749" s="191"/>
      <c r="E749" s="191"/>
      <c r="F749" s="191"/>
      <c r="G749" s="386"/>
      <c r="H749" s="386"/>
      <c r="I749" s="46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 spans="1:26" ht="14.4">
      <c r="A750" s="191"/>
      <c r="B750" s="191"/>
      <c r="C750" s="191"/>
      <c r="D750" s="191"/>
      <c r="E750" s="191"/>
      <c r="F750" s="191"/>
      <c r="G750" s="386"/>
      <c r="H750" s="386"/>
      <c r="I750" s="46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 spans="1:26" ht="14.4">
      <c r="A751" s="191"/>
      <c r="B751" s="191"/>
      <c r="C751" s="191"/>
      <c r="D751" s="191"/>
      <c r="E751" s="191"/>
      <c r="F751" s="191"/>
      <c r="G751" s="386"/>
      <c r="H751" s="386"/>
      <c r="I751" s="46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 spans="1:26" ht="14.4">
      <c r="A752" s="191"/>
      <c r="B752" s="191"/>
      <c r="C752" s="191"/>
      <c r="D752" s="191"/>
      <c r="E752" s="191"/>
      <c r="F752" s="191"/>
      <c r="G752" s="386"/>
      <c r="H752" s="386"/>
      <c r="I752" s="46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 spans="1:26" ht="14.4">
      <c r="A753" s="191"/>
      <c r="B753" s="191"/>
      <c r="C753" s="191"/>
      <c r="D753" s="191"/>
      <c r="E753" s="191"/>
      <c r="F753" s="191"/>
      <c r="G753" s="386"/>
      <c r="H753" s="386"/>
      <c r="I753" s="46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 spans="1:26" ht="14.4">
      <c r="A754" s="191"/>
      <c r="B754" s="191"/>
      <c r="C754" s="191"/>
      <c r="D754" s="191"/>
      <c r="E754" s="191"/>
      <c r="F754" s="191"/>
      <c r="G754" s="386"/>
      <c r="H754" s="386"/>
      <c r="I754" s="46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 spans="1:26" ht="14.4">
      <c r="A755" s="191"/>
      <c r="B755" s="191"/>
      <c r="C755" s="191"/>
      <c r="D755" s="191"/>
      <c r="E755" s="191"/>
      <c r="F755" s="191"/>
      <c r="G755" s="386"/>
      <c r="H755" s="386"/>
      <c r="I755" s="46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 spans="1:26" ht="14.4">
      <c r="A756" s="191"/>
      <c r="B756" s="191"/>
      <c r="C756" s="191"/>
      <c r="D756" s="191"/>
      <c r="E756" s="191"/>
      <c r="F756" s="191"/>
      <c r="G756" s="386"/>
      <c r="H756" s="386"/>
      <c r="I756" s="46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 spans="1:26" ht="14.4">
      <c r="A757" s="191"/>
      <c r="B757" s="191"/>
      <c r="C757" s="191"/>
      <c r="D757" s="191"/>
      <c r="E757" s="191"/>
      <c r="F757" s="191"/>
      <c r="G757" s="386"/>
      <c r="H757" s="386"/>
      <c r="I757" s="46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 spans="1:26" ht="14.4">
      <c r="A758" s="191"/>
      <c r="B758" s="191"/>
      <c r="C758" s="191"/>
      <c r="D758" s="191"/>
      <c r="E758" s="191"/>
      <c r="F758" s="191"/>
      <c r="G758" s="386"/>
      <c r="H758" s="386"/>
      <c r="I758" s="46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 spans="1:26" ht="14.4">
      <c r="A759" s="191"/>
      <c r="B759" s="191"/>
      <c r="C759" s="191"/>
      <c r="D759" s="191"/>
      <c r="E759" s="191"/>
      <c r="F759" s="191"/>
      <c r="G759" s="386"/>
      <c r="H759" s="386"/>
      <c r="I759" s="46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 spans="1:26" ht="14.4">
      <c r="A760" s="191"/>
      <c r="B760" s="191"/>
      <c r="C760" s="191"/>
      <c r="D760" s="191"/>
      <c r="E760" s="191"/>
      <c r="F760" s="191"/>
      <c r="G760" s="386"/>
      <c r="H760" s="386"/>
      <c r="I760" s="46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 spans="1:26" ht="14.4">
      <c r="A761" s="191"/>
      <c r="B761" s="191"/>
      <c r="C761" s="191"/>
      <c r="D761" s="191"/>
      <c r="E761" s="191"/>
      <c r="F761" s="191"/>
      <c r="G761" s="386"/>
      <c r="H761" s="386"/>
      <c r="I761" s="46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 spans="1:26" ht="14.4">
      <c r="A762" s="191"/>
      <c r="B762" s="191"/>
      <c r="C762" s="191"/>
      <c r="D762" s="191"/>
      <c r="E762" s="191"/>
      <c r="F762" s="191"/>
      <c r="G762" s="386"/>
      <c r="H762" s="386"/>
      <c r="I762" s="46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 spans="1:26" ht="14.4">
      <c r="A763" s="191"/>
      <c r="B763" s="191"/>
      <c r="C763" s="191"/>
      <c r="D763" s="191"/>
      <c r="E763" s="191"/>
      <c r="F763" s="191"/>
      <c r="G763" s="386"/>
      <c r="H763" s="386"/>
      <c r="I763" s="46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 spans="1:26" ht="14.4">
      <c r="A764" s="191"/>
      <c r="B764" s="191"/>
      <c r="C764" s="191"/>
      <c r="D764" s="191"/>
      <c r="E764" s="191"/>
      <c r="F764" s="191"/>
      <c r="G764" s="386"/>
      <c r="H764" s="386"/>
      <c r="I764" s="46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 spans="1:26" ht="14.4">
      <c r="A765" s="191"/>
      <c r="B765" s="191"/>
      <c r="C765" s="191"/>
      <c r="D765" s="191"/>
      <c r="E765" s="191"/>
      <c r="F765" s="191"/>
      <c r="G765" s="386"/>
      <c r="H765" s="386"/>
      <c r="I765" s="46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 spans="1:26" ht="14.4">
      <c r="A766" s="191"/>
      <c r="B766" s="191"/>
      <c r="C766" s="191"/>
      <c r="D766" s="191"/>
      <c r="E766" s="191"/>
      <c r="F766" s="191"/>
      <c r="G766" s="386"/>
      <c r="H766" s="386"/>
      <c r="I766" s="46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 spans="1:26" ht="14.4">
      <c r="A767" s="191"/>
      <c r="B767" s="191"/>
      <c r="C767" s="191"/>
      <c r="D767" s="191"/>
      <c r="E767" s="191"/>
      <c r="F767" s="191"/>
      <c r="G767" s="386"/>
      <c r="H767" s="386"/>
      <c r="I767" s="46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 spans="1:26" ht="14.4">
      <c r="A768" s="191"/>
      <c r="B768" s="191"/>
      <c r="C768" s="191"/>
      <c r="D768" s="191"/>
      <c r="E768" s="191"/>
      <c r="F768" s="191"/>
      <c r="G768" s="386"/>
      <c r="H768" s="386"/>
      <c r="I768" s="46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 spans="1:26" ht="14.4">
      <c r="A769" s="191"/>
      <c r="B769" s="191"/>
      <c r="C769" s="191"/>
      <c r="D769" s="191"/>
      <c r="E769" s="191"/>
      <c r="F769" s="191"/>
      <c r="G769" s="386"/>
      <c r="H769" s="386"/>
      <c r="I769" s="46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 spans="1:26" ht="14.4">
      <c r="A770" s="191"/>
      <c r="B770" s="191"/>
      <c r="C770" s="191"/>
      <c r="D770" s="191"/>
      <c r="E770" s="191"/>
      <c r="F770" s="191"/>
      <c r="G770" s="386"/>
      <c r="H770" s="386"/>
      <c r="I770" s="46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 spans="1:26" ht="14.4">
      <c r="A771" s="191"/>
      <c r="B771" s="191"/>
      <c r="C771" s="191"/>
      <c r="D771" s="191"/>
      <c r="E771" s="191"/>
      <c r="F771" s="191"/>
      <c r="G771" s="386"/>
      <c r="H771" s="386"/>
      <c r="I771" s="46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 spans="1:26" ht="14.4">
      <c r="A772" s="191"/>
      <c r="B772" s="191"/>
      <c r="C772" s="191"/>
      <c r="D772" s="191"/>
      <c r="E772" s="191"/>
      <c r="F772" s="191"/>
      <c r="G772" s="386"/>
      <c r="H772" s="386"/>
      <c r="I772" s="46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 spans="1:26" ht="14.4">
      <c r="A773" s="191"/>
      <c r="B773" s="191"/>
      <c r="C773" s="191"/>
      <c r="D773" s="191"/>
      <c r="E773" s="191"/>
      <c r="F773" s="191"/>
      <c r="G773" s="386"/>
      <c r="H773" s="386"/>
      <c r="I773" s="46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 spans="1:26" ht="14.4">
      <c r="A774" s="191"/>
      <c r="B774" s="191"/>
      <c r="C774" s="191"/>
      <c r="D774" s="191"/>
      <c r="E774" s="191"/>
      <c r="F774" s="191"/>
      <c r="G774" s="386"/>
      <c r="H774" s="386"/>
      <c r="I774" s="46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 spans="1:26" ht="14.4">
      <c r="A775" s="191"/>
      <c r="B775" s="191"/>
      <c r="C775" s="191"/>
      <c r="D775" s="191"/>
      <c r="E775" s="191"/>
      <c r="F775" s="191"/>
      <c r="G775" s="386"/>
      <c r="H775" s="386"/>
      <c r="I775" s="46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 spans="1:26" ht="14.4">
      <c r="A776" s="191"/>
      <c r="B776" s="191"/>
      <c r="C776" s="191"/>
      <c r="D776" s="191"/>
      <c r="E776" s="191"/>
      <c r="F776" s="191"/>
      <c r="G776" s="386"/>
      <c r="H776" s="386"/>
      <c r="I776" s="46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 spans="1:26" ht="14.4">
      <c r="A777" s="191"/>
      <c r="B777" s="191"/>
      <c r="C777" s="191"/>
      <c r="D777" s="191"/>
      <c r="E777" s="191"/>
      <c r="F777" s="191"/>
      <c r="G777" s="386"/>
      <c r="H777" s="386"/>
      <c r="I777" s="46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 spans="1:26" ht="14.4">
      <c r="A778" s="191"/>
      <c r="B778" s="191"/>
      <c r="C778" s="191"/>
      <c r="D778" s="191"/>
      <c r="E778" s="191"/>
      <c r="F778" s="191"/>
      <c r="G778" s="386"/>
      <c r="H778" s="386"/>
      <c r="I778" s="46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 spans="1:26" ht="14.4">
      <c r="A779" s="191"/>
      <c r="B779" s="191"/>
      <c r="C779" s="191"/>
      <c r="D779" s="191"/>
      <c r="E779" s="191"/>
      <c r="F779" s="191"/>
      <c r="G779" s="386"/>
      <c r="H779" s="386"/>
      <c r="I779" s="46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 spans="1:26" ht="14.4">
      <c r="A780" s="191"/>
      <c r="B780" s="191"/>
      <c r="C780" s="191"/>
      <c r="D780" s="191"/>
      <c r="E780" s="191"/>
      <c r="F780" s="191"/>
      <c r="G780" s="386"/>
      <c r="H780" s="386"/>
      <c r="I780" s="46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 spans="1:26" ht="14.4">
      <c r="A781" s="191"/>
      <c r="B781" s="191"/>
      <c r="C781" s="191"/>
      <c r="D781" s="191"/>
      <c r="E781" s="191"/>
      <c r="F781" s="191"/>
      <c r="G781" s="386"/>
      <c r="H781" s="386"/>
      <c r="I781" s="46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 spans="1:26" ht="14.4">
      <c r="A782" s="191"/>
      <c r="B782" s="191"/>
      <c r="C782" s="191"/>
      <c r="D782" s="191"/>
      <c r="E782" s="191"/>
      <c r="F782" s="191"/>
      <c r="G782" s="386"/>
      <c r="H782" s="386"/>
      <c r="I782" s="46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 spans="1:26" ht="14.4">
      <c r="A783" s="191"/>
      <c r="B783" s="191"/>
      <c r="C783" s="191"/>
      <c r="D783" s="191"/>
      <c r="E783" s="191"/>
      <c r="F783" s="191"/>
      <c r="G783" s="386"/>
      <c r="H783" s="386"/>
      <c r="I783" s="46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 spans="1:26" ht="14.4">
      <c r="A784" s="191"/>
      <c r="B784" s="191"/>
      <c r="C784" s="191"/>
      <c r="D784" s="191"/>
      <c r="E784" s="191"/>
      <c r="F784" s="191"/>
      <c r="G784" s="386"/>
      <c r="H784" s="386"/>
      <c r="I784" s="46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 spans="1:26" ht="14.4">
      <c r="A785" s="191"/>
      <c r="B785" s="191"/>
      <c r="C785" s="191"/>
      <c r="D785" s="191"/>
      <c r="E785" s="191"/>
      <c r="F785" s="191"/>
      <c r="G785" s="386"/>
      <c r="H785" s="386"/>
      <c r="I785" s="46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 spans="1:26" ht="14.4">
      <c r="A786" s="191"/>
      <c r="B786" s="191"/>
      <c r="C786" s="191"/>
      <c r="D786" s="191"/>
      <c r="E786" s="191"/>
      <c r="F786" s="191"/>
      <c r="G786" s="386"/>
      <c r="H786" s="386"/>
      <c r="I786" s="46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 spans="1:26" ht="14.4">
      <c r="A787" s="191"/>
      <c r="B787" s="191"/>
      <c r="C787" s="191"/>
      <c r="D787" s="191"/>
      <c r="E787" s="191"/>
      <c r="F787" s="191"/>
      <c r="G787" s="386"/>
      <c r="H787" s="386"/>
      <c r="I787" s="46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 spans="1:26" ht="14.4">
      <c r="A788" s="191"/>
      <c r="B788" s="191"/>
      <c r="C788" s="191"/>
      <c r="D788" s="191"/>
      <c r="E788" s="191"/>
      <c r="F788" s="191"/>
      <c r="G788" s="386"/>
      <c r="H788" s="386"/>
      <c r="I788" s="46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 spans="1:26" ht="14.4">
      <c r="A789" s="191"/>
      <c r="B789" s="191"/>
      <c r="C789" s="191"/>
      <c r="D789" s="191"/>
      <c r="E789" s="191"/>
      <c r="F789" s="191"/>
      <c r="G789" s="386"/>
      <c r="H789" s="386"/>
      <c r="I789" s="46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 spans="1:26" ht="14.4">
      <c r="A790" s="191"/>
      <c r="B790" s="191"/>
      <c r="C790" s="191"/>
      <c r="D790" s="191"/>
      <c r="E790" s="191"/>
      <c r="F790" s="191"/>
      <c r="G790" s="386"/>
      <c r="H790" s="386"/>
      <c r="I790" s="46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 spans="1:26" ht="14.4">
      <c r="A791" s="191"/>
      <c r="B791" s="191"/>
      <c r="C791" s="191"/>
      <c r="D791" s="191"/>
      <c r="E791" s="191"/>
      <c r="F791" s="191"/>
      <c r="G791" s="386"/>
      <c r="H791" s="386"/>
      <c r="I791" s="46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 spans="1:26" ht="14.4">
      <c r="A792" s="191"/>
      <c r="B792" s="191"/>
      <c r="C792" s="191"/>
      <c r="D792" s="191"/>
      <c r="E792" s="191"/>
      <c r="F792" s="191"/>
      <c r="G792" s="386"/>
      <c r="H792" s="386"/>
      <c r="I792" s="46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 spans="1:26" ht="14.4">
      <c r="A793" s="191"/>
      <c r="B793" s="191"/>
      <c r="C793" s="191"/>
      <c r="D793" s="191"/>
      <c r="E793" s="191"/>
      <c r="F793" s="191"/>
      <c r="G793" s="386"/>
      <c r="H793" s="386"/>
      <c r="I793" s="46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 spans="1:26" ht="14.4">
      <c r="A794" s="191"/>
      <c r="B794" s="191"/>
      <c r="C794" s="191"/>
      <c r="D794" s="191"/>
      <c r="E794" s="191"/>
      <c r="F794" s="191"/>
      <c r="G794" s="386"/>
      <c r="H794" s="386"/>
      <c r="I794" s="46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 spans="1:26" ht="14.4">
      <c r="A795" s="191"/>
      <c r="B795" s="191"/>
      <c r="C795" s="191"/>
      <c r="D795" s="191"/>
      <c r="E795" s="191"/>
      <c r="F795" s="191"/>
      <c r="G795" s="386"/>
      <c r="H795" s="386"/>
      <c r="I795" s="46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 spans="1:26" ht="14.4">
      <c r="A796" s="191"/>
      <c r="B796" s="191"/>
      <c r="C796" s="191"/>
      <c r="D796" s="191"/>
      <c r="E796" s="191"/>
      <c r="F796" s="191"/>
      <c r="G796" s="386"/>
      <c r="H796" s="386"/>
      <c r="I796" s="46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 spans="1:26" ht="14.4">
      <c r="A797" s="191"/>
      <c r="B797" s="191"/>
      <c r="C797" s="191"/>
      <c r="D797" s="191"/>
      <c r="E797" s="191"/>
      <c r="F797" s="191"/>
      <c r="G797" s="386"/>
      <c r="H797" s="386"/>
      <c r="I797" s="46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 spans="1:26" ht="14.4">
      <c r="A798" s="191"/>
      <c r="B798" s="191"/>
      <c r="C798" s="191"/>
      <c r="D798" s="191"/>
      <c r="E798" s="191"/>
      <c r="F798" s="191"/>
      <c r="G798" s="386"/>
      <c r="H798" s="386"/>
      <c r="I798" s="46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 spans="1:26" ht="14.4">
      <c r="A799" s="191"/>
      <c r="B799" s="191"/>
      <c r="C799" s="191"/>
      <c r="D799" s="191"/>
      <c r="E799" s="191"/>
      <c r="F799" s="191"/>
      <c r="G799" s="386"/>
      <c r="H799" s="386"/>
      <c r="I799" s="46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 spans="1:26" ht="14.4">
      <c r="A800" s="191"/>
      <c r="B800" s="191"/>
      <c r="C800" s="191"/>
      <c r="D800" s="191"/>
      <c r="E800" s="191"/>
      <c r="F800" s="191"/>
      <c r="G800" s="386"/>
      <c r="H800" s="386"/>
      <c r="I800" s="46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 spans="1:26" ht="14.4">
      <c r="A801" s="191"/>
      <c r="B801" s="191"/>
      <c r="C801" s="191"/>
      <c r="D801" s="191"/>
      <c r="E801" s="191"/>
      <c r="F801" s="191"/>
      <c r="G801" s="386"/>
      <c r="H801" s="386"/>
      <c r="I801" s="46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 spans="1:26" ht="14.4">
      <c r="A802" s="191"/>
      <c r="B802" s="191"/>
      <c r="C802" s="191"/>
      <c r="D802" s="191"/>
      <c r="E802" s="191"/>
      <c r="F802" s="191"/>
      <c r="G802" s="386"/>
      <c r="H802" s="386"/>
      <c r="I802" s="46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 spans="1:26" ht="14.4">
      <c r="A803" s="191"/>
      <c r="B803" s="191"/>
      <c r="C803" s="191"/>
      <c r="D803" s="191"/>
      <c r="E803" s="191"/>
      <c r="F803" s="191"/>
      <c r="G803" s="386"/>
      <c r="H803" s="386"/>
      <c r="I803" s="46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 spans="1:26" ht="14.4">
      <c r="A804" s="191"/>
      <c r="B804" s="191"/>
      <c r="C804" s="191"/>
      <c r="D804" s="191"/>
      <c r="E804" s="191"/>
      <c r="F804" s="191"/>
      <c r="G804" s="386"/>
      <c r="H804" s="386"/>
      <c r="I804" s="46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 spans="1:26" ht="14.4">
      <c r="A805" s="191"/>
      <c r="B805" s="191"/>
      <c r="C805" s="191"/>
      <c r="D805" s="191"/>
      <c r="E805" s="191"/>
      <c r="F805" s="191"/>
      <c r="G805" s="386"/>
      <c r="H805" s="386"/>
      <c r="I805" s="46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 spans="1:26" ht="14.4">
      <c r="A806" s="191"/>
      <c r="B806" s="191"/>
      <c r="C806" s="191"/>
      <c r="D806" s="191"/>
      <c r="E806" s="191"/>
      <c r="F806" s="191"/>
      <c r="G806" s="386"/>
      <c r="H806" s="386"/>
      <c r="I806" s="46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 spans="1:26" ht="14.4">
      <c r="A807" s="191"/>
      <c r="B807" s="191"/>
      <c r="C807" s="191"/>
      <c r="D807" s="191"/>
      <c r="E807" s="191"/>
      <c r="F807" s="191"/>
      <c r="G807" s="386"/>
      <c r="H807" s="386"/>
      <c r="I807" s="46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 spans="1:26" ht="14.4">
      <c r="A808" s="191"/>
      <c r="B808" s="191"/>
      <c r="C808" s="191"/>
      <c r="D808" s="191"/>
      <c r="E808" s="191"/>
      <c r="F808" s="191"/>
      <c r="G808" s="386"/>
      <c r="H808" s="386"/>
      <c r="I808" s="46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 spans="1:26" ht="14.4">
      <c r="A809" s="191"/>
      <c r="B809" s="191"/>
      <c r="C809" s="191"/>
      <c r="D809" s="191"/>
      <c r="E809" s="191"/>
      <c r="F809" s="191"/>
      <c r="G809" s="386"/>
      <c r="H809" s="386"/>
      <c r="I809" s="46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 spans="1:26" ht="14.4">
      <c r="A810" s="191"/>
      <c r="B810" s="191"/>
      <c r="C810" s="191"/>
      <c r="D810" s="191"/>
      <c r="E810" s="191"/>
      <c r="F810" s="191"/>
      <c r="G810" s="386"/>
      <c r="H810" s="386"/>
      <c r="I810" s="46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 spans="1:26" ht="14.4">
      <c r="A811" s="191"/>
      <c r="B811" s="191"/>
      <c r="C811" s="191"/>
      <c r="D811" s="191"/>
      <c r="E811" s="191"/>
      <c r="F811" s="191"/>
      <c r="G811" s="386"/>
      <c r="H811" s="386"/>
      <c r="I811" s="46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 spans="1:26" ht="14.4">
      <c r="A812" s="191"/>
      <c r="B812" s="191"/>
      <c r="C812" s="191"/>
      <c r="D812" s="191"/>
      <c r="E812" s="191"/>
      <c r="F812" s="191"/>
      <c r="G812" s="386"/>
      <c r="H812" s="386"/>
      <c r="I812" s="46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 spans="1:26" ht="14.4">
      <c r="A813" s="191"/>
      <c r="B813" s="191"/>
      <c r="C813" s="191"/>
      <c r="D813" s="191"/>
      <c r="E813" s="191"/>
      <c r="F813" s="191"/>
      <c r="G813" s="386"/>
      <c r="H813" s="386"/>
      <c r="I813" s="46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 spans="1:26" ht="14.4">
      <c r="A814" s="191"/>
      <c r="B814" s="191"/>
      <c r="C814" s="191"/>
      <c r="D814" s="191"/>
      <c r="E814" s="191"/>
      <c r="F814" s="191"/>
      <c r="G814" s="386"/>
      <c r="H814" s="386"/>
      <c r="I814" s="46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 spans="1:26" ht="14.4">
      <c r="A815" s="191"/>
      <c r="B815" s="191"/>
      <c r="C815" s="191"/>
      <c r="D815" s="191"/>
      <c r="E815" s="191"/>
      <c r="F815" s="191"/>
      <c r="G815" s="386"/>
      <c r="H815" s="386"/>
      <c r="I815" s="46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 spans="1:26" ht="14.4">
      <c r="A816" s="191"/>
      <c r="B816" s="191"/>
      <c r="C816" s="191"/>
      <c r="D816" s="191"/>
      <c r="E816" s="191"/>
      <c r="F816" s="191"/>
      <c r="G816" s="386"/>
      <c r="H816" s="386"/>
      <c r="I816" s="46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 spans="1:26" ht="14.4">
      <c r="A817" s="191"/>
      <c r="B817" s="191"/>
      <c r="C817" s="191"/>
      <c r="D817" s="191"/>
      <c r="E817" s="191"/>
      <c r="F817" s="191"/>
      <c r="G817" s="386"/>
      <c r="H817" s="386"/>
      <c r="I817" s="46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 spans="1:26" ht="14.4">
      <c r="A818" s="191"/>
      <c r="B818" s="191"/>
      <c r="C818" s="191"/>
      <c r="D818" s="191"/>
      <c r="E818" s="191"/>
      <c r="F818" s="191"/>
      <c r="G818" s="386"/>
      <c r="H818" s="386"/>
      <c r="I818" s="46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 spans="1:26" ht="14.4">
      <c r="A819" s="191"/>
      <c r="B819" s="191"/>
      <c r="C819" s="191"/>
      <c r="D819" s="191"/>
      <c r="E819" s="191"/>
      <c r="F819" s="191"/>
      <c r="G819" s="386"/>
      <c r="H819" s="386"/>
      <c r="I819" s="46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 spans="1:26" ht="14.4">
      <c r="A820" s="191"/>
      <c r="B820" s="191"/>
      <c r="C820" s="191"/>
      <c r="D820" s="191"/>
      <c r="E820" s="191"/>
      <c r="F820" s="191"/>
      <c r="G820" s="386"/>
      <c r="H820" s="386"/>
      <c r="I820" s="46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 spans="1:26" ht="14.4">
      <c r="A821" s="191"/>
      <c r="B821" s="191"/>
      <c r="C821" s="191"/>
      <c r="D821" s="191"/>
      <c r="E821" s="191"/>
      <c r="F821" s="191"/>
      <c r="G821" s="386"/>
      <c r="H821" s="386"/>
      <c r="I821" s="46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 spans="1:26" ht="14.4">
      <c r="A822" s="191"/>
      <c r="B822" s="191"/>
      <c r="C822" s="191"/>
      <c r="D822" s="191"/>
      <c r="E822" s="191"/>
      <c r="F822" s="191"/>
      <c r="G822" s="386"/>
      <c r="H822" s="386"/>
      <c r="I822" s="46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 spans="1:26" ht="14.4">
      <c r="A823" s="191"/>
      <c r="B823" s="191"/>
      <c r="C823" s="191"/>
      <c r="D823" s="191"/>
      <c r="E823" s="191"/>
      <c r="F823" s="191"/>
      <c r="G823" s="386"/>
      <c r="H823" s="386"/>
      <c r="I823" s="46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 spans="1:26" ht="14.4">
      <c r="A824" s="191"/>
      <c r="B824" s="191"/>
      <c r="C824" s="191"/>
      <c r="D824" s="191"/>
      <c r="E824" s="191"/>
      <c r="F824" s="191"/>
      <c r="G824" s="386"/>
      <c r="H824" s="386"/>
      <c r="I824" s="46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 spans="1:26" ht="14.4">
      <c r="A825" s="191"/>
      <c r="B825" s="191"/>
      <c r="C825" s="191"/>
      <c r="D825" s="191"/>
      <c r="E825" s="191"/>
      <c r="F825" s="191"/>
      <c r="G825" s="386"/>
      <c r="H825" s="386"/>
      <c r="I825" s="46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 spans="1:26" ht="14.4">
      <c r="A826" s="191"/>
      <c r="B826" s="191"/>
      <c r="C826" s="191"/>
      <c r="D826" s="191"/>
      <c r="E826" s="191"/>
      <c r="F826" s="191"/>
      <c r="G826" s="386"/>
      <c r="H826" s="386"/>
      <c r="I826" s="46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 spans="1:26" ht="14.4">
      <c r="A827" s="191"/>
      <c r="B827" s="191"/>
      <c r="C827" s="191"/>
      <c r="D827" s="191"/>
      <c r="E827" s="191"/>
      <c r="F827" s="191"/>
      <c r="G827" s="386"/>
      <c r="H827" s="386"/>
      <c r="I827" s="46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 spans="1:26" ht="14.4">
      <c r="A828" s="191"/>
      <c r="B828" s="191"/>
      <c r="C828" s="191"/>
      <c r="D828" s="191"/>
      <c r="E828" s="191"/>
      <c r="F828" s="191"/>
      <c r="G828" s="386"/>
      <c r="H828" s="386"/>
      <c r="I828" s="46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 spans="1:26" ht="14.4">
      <c r="A829" s="191"/>
      <c r="B829" s="191"/>
      <c r="C829" s="191"/>
      <c r="D829" s="191"/>
      <c r="E829" s="191"/>
      <c r="F829" s="191"/>
      <c r="G829" s="386"/>
      <c r="H829" s="386"/>
      <c r="I829" s="46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 spans="1:26" ht="14.4">
      <c r="A830" s="191"/>
      <c r="B830" s="191"/>
      <c r="C830" s="191"/>
      <c r="D830" s="191"/>
      <c r="E830" s="191"/>
      <c r="F830" s="191"/>
      <c r="G830" s="386"/>
      <c r="H830" s="386"/>
      <c r="I830" s="46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 spans="1:26" ht="14.4">
      <c r="A831" s="191"/>
      <c r="B831" s="191"/>
      <c r="C831" s="191"/>
      <c r="D831" s="191"/>
      <c r="E831" s="191"/>
      <c r="F831" s="191"/>
      <c r="G831" s="386"/>
      <c r="H831" s="386"/>
      <c r="I831" s="46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 spans="1:26" ht="14.4">
      <c r="A832" s="191"/>
      <c r="B832" s="191"/>
      <c r="C832" s="191"/>
      <c r="D832" s="191"/>
      <c r="E832" s="191"/>
      <c r="F832" s="191"/>
      <c r="G832" s="386"/>
      <c r="H832" s="386"/>
      <c r="I832" s="46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 spans="1:26" ht="14.4">
      <c r="A833" s="191"/>
      <c r="B833" s="191"/>
      <c r="C833" s="191"/>
      <c r="D833" s="191"/>
      <c r="E833" s="191"/>
      <c r="F833" s="191"/>
      <c r="G833" s="386"/>
      <c r="H833" s="386"/>
      <c r="I833" s="46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 spans="1:26" ht="14.4">
      <c r="A834" s="191"/>
      <c r="B834" s="191"/>
      <c r="C834" s="191"/>
      <c r="D834" s="191"/>
      <c r="E834" s="191"/>
      <c r="F834" s="191"/>
      <c r="G834" s="386"/>
      <c r="H834" s="386"/>
      <c r="I834" s="46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 spans="1:26" ht="14.4">
      <c r="A835" s="191"/>
      <c r="B835" s="191"/>
      <c r="C835" s="191"/>
      <c r="D835" s="191"/>
      <c r="E835" s="191"/>
      <c r="F835" s="191"/>
      <c r="G835" s="386"/>
      <c r="H835" s="386"/>
      <c r="I835" s="46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 spans="1:26" ht="14.4">
      <c r="A836" s="191"/>
      <c r="B836" s="191"/>
      <c r="C836" s="191"/>
      <c r="D836" s="191"/>
      <c r="E836" s="191"/>
      <c r="F836" s="191"/>
      <c r="G836" s="386"/>
      <c r="H836" s="386"/>
      <c r="I836" s="46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 spans="1:26" ht="14.4">
      <c r="A837" s="191"/>
      <c r="B837" s="191"/>
      <c r="C837" s="191"/>
      <c r="D837" s="191"/>
      <c r="E837" s="191"/>
      <c r="F837" s="191"/>
      <c r="G837" s="386"/>
      <c r="H837" s="386"/>
      <c r="I837" s="46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 spans="1:26" ht="14.4">
      <c r="A838" s="191"/>
      <c r="B838" s="191"/>
      <c r="C838" s="191"/>
      <c r="D838" s="191"/>
      <c r="E838" s="191"/>
      <c r="F838" s="191"/>
      <c r="G838" s="386"/>
      <c r="H838" s="386"/>
      <c r="I838" s="46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 spans="1:26" ht="14.4">
      <c r="A839" s="191"/>
      <c r="B839" s="191"/>
      <c r="C839" s="191"/>
      <c r="D839" s="191"/>
      <c r="E839" s="191"/>
      <c r="F839" s="191"/>
      <c r="G839" s="386"/>
      <c r="H839" s="386"/>
      <c r="I839" s="46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 spans="1:26" ht="14.4">
      <c r="A840" s="191"/>
      <c r="B840" s="191"/>
      <c r="C840" s="191"/>
      <c r="D840" s="191"/>
      <c r="E840" s="191"/>
      <c r="F840" s="191"/>
      <c r="G840" s="386"/>
      <c r="H840" s="386"/>
      <c r="I840" s="46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 spans="1:26" ht="14.4">
      <c r="A841" s="191"/>
      <c r="B841" s="191"/>
      <c r="C841" s="191"/>
      <c r="D841" s="191"/>
      <c r="E841" s="191"/>
      <c r="F841" s="191"/>
      <c r="G841" s="386"/>
      <c r="H841" s="386"/>
      <c r="I841" s="46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 spans="1:26" ht="14.4">
      <c r="A842" s="191"/>
      <c r="B842" s="191"/>
      <c r="C842" s="191"/>
      <c r="D842" s="191"/>
      <c r="E842" s="191"/>
      <c r="F842" s="191"/>
      <c r="G842" s="386"/>
      <c r="H842" s="386"/>
      <c r="I842" s="46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 spans="1:26" ht="14.4">
      <c r="A843" s="191"/>
      <c r="B843" s="191"/>
      <c r="C843" s="191"/>
      <c r="D843" s="191"/>
      <c r="E843" s="191"/>
      <c r="F843" s="191"/>
      <c r="G843" s="386"/>
      <c r="H843" s="386"/>
      <c r="I843" s="46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 spans="1:26" ht="14.4">
      <c r="A844" s="191"/>
      <c r="B844" s="191"/>
      <c r="C844" s="191"/>
      <c r="D844" s="191"/>
      <c r="E844" s="191"/>
      <c r="F844" s="191"/>
      <c r="G844" s="386"/>
      <c r="H844" s="386"/>
      <c r="I844" s="46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 spans="1:26" ht="14.4">
      <c r="A845" s="191"/>
      <c r="B845" s="191"/>
      <c r="C845" s="191"/>
      <c r="D845" s="191"/>
      <c r="E845" s="191"/>
      <c r="F845" s="191"/>
      <c r="G845" s="386"/>
      <c r="H845" s="386"/>
      <c r="I845" s="46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 spans="1:26" ht="14.4">
      <c r="A846" s="191"/>
      <c r="B846" s="191"/>
      <c r="C846" s="191"/>
      <c r="D846" s="191"/>
      <c r="E846" s="191"/>
      <c r="F846" s="191"/>
      <c r="G846" s="386"/>
      <c r="H846" s="386"/>
      <c r="I846" s="46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 spans="1:26" ht="14.4">
      <c r="A847" s="191"/>
      <c r="B847" s="191"/>
      <c r="C847" s="191"/>
      <c r="D847" s="191"/>
      <c r="E847" s="191"/>
      <c r="F847" s="191"/>
      <c r="G847" s="386"/>
      <c r="H847" s="386"/>
      <c r="I847" s="46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 spans="1:26" ht="14.4">
      <c r="A848" s="191"/>
      <c r="B848" s="191"/>
      <c r="C848" s="191"/>
      <c r="D848" s="191"/>
      <c r="E848" s="191"/>
      <c r="F848" s="191"/>
      <c r="G848" s="386"/>
      <c r="H848" s="386"/>
      <c r="I848" s="46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 spans="1:26" ht="14.4">
      <c r="A849" s="191"/>
      <c r="B849" s="191"/>
      <c r="C849" s="191"/>
      <c r="D849" s="191"/>
      <c r="E849" s="191"/>
      <c r="F849" s="191"/>
      <c r="G849" s="386"/>
      <c r="H849" s="386"/>
      <c r="I849" s="46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 spans="1:26" ht="14.4">
      <c r="A850" s="191"/>
      <c r="B850" s="191"/>
      <c r="C850" s="191"/>
      <c r="D850" s="191"/>
      <c r="E850" s="191"/>
      <c r="F850" s="191"/>
      <c r="G850" s="386"/>
      <c r="H850" s="386"/>
      <c r="I850" s="46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 spans="1:26" ht="14.4">
      <c r="A851" s="191"/>
      <c r="B851" s="191"/>
      <c r="C851" s="191"/>
      <c r="D851" s="191"/>
      <c r="E851" s="191"/>
      <c r="F851" s="191"/>
      <c r="G851" s="386"/>
      <c r="H851" s="386"/>
      <c r="I851" s="46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 spans="1:26" ht="14.4">
      <c r="A852" s="191"/>
      <c r="B852" s="191"/>
      <c r="C852" s="191"/>
      <c r="D852" s="191"/>
      <c r="E852" s="191"/>
      <c r="F852" s="191"/>
      <c r="G852" s="386"/>
      <c r="H852" s="386"/>
      <c r="I852" s="46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 spans="1:26" ht="14.4">
      <c r="A853" s="191"/>
      <c r="B853" s="191"/>
      <c r="C853" s="191"/>
      <c r="D853" s="191"/>
      <c r="E853" s="191"/>
      <c r="F853" s="191"/>
      <c r="G853" s="386"/>
      <c r="H853" s="386"/>
      <c r="I853" s="46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 spans="1:26" ht="14.4">
      <c r="A854" s="191"/>
      <c r="B854" s="191"/>
      <c r="C854" s="191"/>
      <c r="D854" s="191"/>
      <c r="E854" s="191"/>
      <c r="F854" s="191"/>
      <c r="G854" s="386"/>
      <c r="H854" s="386"/>
      <c r="I854" s="46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 spans="1:26" ht="14.4">
      <c r="A855" s="191"/>
      <c r="B855" s="191"/>
      <c r="C855" s="191"/>
      <c r="D855" s="191"/>
      <c r="E855" s="191"/>
      <c r="F855" s="191"/>
      <c r="G855" s="386"/>
      <c r="H855" s="386"/>
      <c r="I855" s="46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 spans="1:26" ht="14.4">
      <c r="A856" s="191"/>
      <c r="B856" s="191"/>
      <c r="C856" s="191"/>
      <c r="D856" s="191"/>
      <c r="E856" s="191"/>
      <c r="F856" s="191"/>
      <c r="G856" s="386"/>
      <c r="H856" s="386"/>
      <c r="I856" s="46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 spans="1:26" ht="14.4">
      <c r="A857" s="191"/>
      <c r="B857" s="191"/>
      <c r="C857" s="191"/>
      <c r="D857" s="191"/>
      <c r="E857" s="191"/>
      <c r="F857" s="191"/>
      <c r="G857" s="386"/>
      <c r="H857" s="386"/>
      <c r="I857" s="46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 spans="1:26" ht="14.4">
      <c r="A858" s="191"/>
      <c r="B858" s="191"/>
      <c r="C858" s="191"/>
      <c r="D858" s="191"/>
      <c r="E858" s="191"/>
      <c r="F858" s="191"/>
      <c r="G858" s="386"/>
      <c r="H858" s="386"/>
      <c r="I858" s="46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 spans="1:26" ht="14.4">
      <c r="A859" s="191"/>
      <c r="B859" s="191"/>
      <c r="C859" s="191"/>
      <c r="D859" s="191"/>
      <c r="E859" s="191"/>
      <c r="F859" s="191"/>
      <c r="G859" s="386"/>
      <c r="H859" s="386"/>
      <c r="I859" s="46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 spans="1:26" ht="14.4">
      <c r="A860" s="191"/>
      <c r="B860" s="191"/>
      <c r="C860" s="191"/>
      <c r="D860" s="191"/>
      <c r="E860" s="191"/>
      <c r="F860" s="191"/>
      <c r="G860" s="386"/>
      <c r="H860" s="386"/>
      <c r="I860" s="46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 spans="1:26" ht="14.4">
      <c r="A861" s="191"/>
      <c r="B861" s="191"/>
      <c r="C861" s="191"/>
      <c r="D861" s="191"/>
      <c r="E861" s="191"/>
      <c r="F861" s="191"/>
      <c r="G861" s="386"/>
      <c r="H861" s="386"/>
      <c r="I861" s="46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 spans="1:26" ht="14.4">
      <c r="A862" s="191"/>
      <c r="B862" s="191"/>
      <c r="C862" s="191"/>
      <c r="D862" s="191"/>
      <c r="E862" s="191"/>
      <c r="F862" s="191"/>
      <c r="G862" s="386"/>
      <c r="H862" s="386"/>
      <c r="I862" s="46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 spans="1:26" ht="14.4">
      <c r="A863" s="191"/>
      <c r="B863" s="191"/>
      <c r="C863" s="191"/>
      <c r="D863" s="191"/>
      <c r="E863" s="191"/>
      <c r="F863" s="191"/>
      <c r="G863" s="386"/>
      <c r="H863" s="386"/>
      <c r="I863" s="46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 spans="1:26" ht="14.4">
      <c r="A864" s="191"/>
      <c r="B864" s="191"/>
      <c r="C864" s="191"/>
      <c r="D864" s="191"/>
      <c r="E864" s="191"/>
      <c r="F864" s="191"/>
      <c r="G864" s="386"/>
      <c r="H864" s="386"/>
      <c r="I864" s="46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 spans="1:26" ht="14.4">
      <c r="A865" s="191"/>
      <c r="B865" s="191"/>
      <c r="C865" s="191"/>
      <c r="D865" s="191"/>
      <c r="E865" s="191"/>
      <c r="F865" s="191"/>
      <c r="G865" s="386"/>
      <c r="H865" s="386"/>
      <c r="I865" s="46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 spans="1:26" ht="14.4">
      <c r="A866" s="191"/>
      <c r="B866" s="191"/>
      <c r="C866" s="191"/>
      <c r="D866" s="191"/>
      <c r="E866" s="191"/>
      <c r="F866" s="191"/>
      <c r="G866" s="386"/>
      <c r="H866" s="386"/>
      <c r="I866" s="46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 spans="1:26" ht="14.4">
      <c r="A867" s="191"/>
      <c r="B867" s="191"/>
      <c r="C867" s="191"/>
      <c r="D867" s="191"/>
      <c r="E867" s="191"/>
      <c r="F867" s="191"/>
      <c r="G867" s="386"/>
      <c r="H867" s="386"/>
      <c r="I867" s="46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 spans="1:26" ht="14.4">
      <c r="A868" s="191"/>
      <c r="B868" s="191"/>
      <c r="C868" s="191"/>
      <c r="D868" s="191"/>
      <c r="E868" s="191"/>
      <c r="F868" s="191"/>
      <c r="G868" s="386"/>
      <c r="H868" s="386"/>
      <c r="I868" s="46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 spans="1:26" ht="14.4">
      <c r="A869" s="191"/>
      <c r="B869" s="191"/>
      <c r="C869" s="191"/>
      <c r="D869" s="191"/>
      <c r="E869" s="191"/>
      <c r="F869" s="191"/>
      <c r="G869" s="386"/>
      <c r="H869" s="386"/>
      <c r="I869" s="46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 spans="1:26" ht="14.4">
      <c r="A870" s="191"/>
      <c r="B870" s="191"/>
      <c r="C870" s="191"/>
      <c r="D870" s="191"/>
      <c r="E870" s="191"/>
      <c r="F870" s="191"/>
      <c r="G870" s="386"/>
      <c r="H870" s="386"/>
      <c r="I870" s="46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 spans="1:26" ht="14.4">
      <c r="A871" s="191"/>
      <c r="B871" s="191"/>
      <c r="C871" s="191"/>
      <c r="D871" s="191"/>
      <c r="E871" s="191"/>
      <c r="F871" s="191"/>
      <c r="G871" s="386"/>
      <c r="H871" s="386"/>
      <c r="I871" s="46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 spans="1:26" ht="14.4">
      <c r="A872" s="191"/>
      <c r="B872" s="191"/>
      <c r="C872" s="191"/>
      <c r="D872" s="191"/>
      <c r="E872" s="191"/>
      <c r="F872" s="191"/>
      <c r="G872" s="386"/>
      <c r="H872" s="386"/>
      <c r="I872" s="46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 spans="1:26" ht="14.4">
      <c r="A873" s="191"/>
      <c r="B873" s="191"/>
      <c r="C873" s="191"/>
      <c r="D873" s="191"/>
      <c r="E873" s="191"/>
      <c r="F873" s="191"/>
      <c r="G873" s="386"/>
      <c r="H873" s="386"/>
      <c r="I873" s="46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 spans="1:26" ht="14.4">
      <c r="A874" s="191"/>
      <c r="B874" s="191"/>
      <c r="C874" s="191"/>
      <c r="D874" s="191"/>
      <c r="E874" s="191"/>
      <c r="F874" s="191"/>
      <c r="G874" s="386"/>
      <c r="H874" s="386"/>
      <c r="I874" s="46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 spans="1:26" ht="14.4">
      <c r="A875" s="191"/>
      <c r="B875" s="191"/>
      <c r="C875" s="191"/>
      <c r="D875" s="191"/>
      <c r="E875" s="191"/>
      <c r="F875" s="191"/>
      <c r="G875" s="386"/>
      <c r="H875" s="386"/>
      <c r="I875" s="46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 spans="1:26" ht="14.4">
      <c r="A876" s="191"/>
      <c r="B876" s="191"/>
      <c r="C876" s="191"/>
      <c r="D876" s="191"/>
      <c r="E876" s="191"/>
      <c r="F876" s="191"/>
      <c r="G876" s="386"/>
      <c r="H876" s="386"/>
      <c r="I876" s="46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 spans="1:26" ht="14.4">
      <c r="A877" s="191"/>
      <c r="B877" s="191"/>
      <c r="C877" s="191"/>
      <c r="D877" s="191"/>
      <c r="E877" s="191"/>
      <c r="F877" s="191"/>
      <c r="G877" s="386"/>
      <c r="H877" s="386"/>
      <c r="I877" s="46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 spans="1:26" ht="14.4">
      <c r="A878" s="191"/>
      <c r="B878" s="191"/>
      <c r="C878" s="191"/>
      <c r="D878" s="191"/>
      <c r="E878" s="191"/>
      <c r="F878" s="191"/>
      <c r="G878" s="386"/>
      <c r="H878" s="386"/>
      <c r="I878" s="46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 spans="1:26" ht="14.4">
      <c r="A879" s="191"/>
      <c r="B879" s="191"/>
      <c r="C879" s="191"/>
      <c r="D879" s="191"/>
      <c r="E879" s="191"/>
      <c r="F879" s="191"/>
      <c r="G879" s="386"/>
      <c r="H879" s="386"/>
      <c r="I879" s="46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 spans="1:26" ht="14.4">
      <c r="A880" s="191"/>
      <c r="B880" s="191"/>
      <c r="C880" s="191"/>
      <c r="D880" s="191"/>
      <c r="E880" s="191"/>
      <c r="F880" s="191"/>
      <c r="G880" s="386"/>
      <c r="H880" s="386"/>
      <c r="I880" s="46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 spans="1:26" ht="14.4">
      <c r="A881" s="191"/>
      <c r="B881" s="191"/>
      <c r="C881" s="191"/>
      <c r="D881" s="191"/>
      <c r="E881" s="191"/>
      <c r="F881" s="191"/>
      <c r="G881" s="386"/>
      <c r="H881" s="386"/>
      <c r="I881" s="46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 spans="1:26" ht="14.4">
      <c r="A882" s="191"/>
      <c r="B882" s="191"/>
      <c r="C882" s="191"/>
      <c r="D882" s="191"/>
      <c r="E882" s="191"/>
      <c r="F882" s="191"/>
      <c r="G882" s="386"/>
      <c r="H882" s="386"/>
      <c r="I882" s="46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 spans="1:26" ht="14.4">
      <c r="A883" s="191"/>
      <c r="B883" s="191"/>
      <c r="C883" s="191"/>
      <c r="D883" s="191"/>
      <c r="E883" s="191"/>
      <c r="F883" s="191"/>
      <c r="G883" s="386"/>
      <c r="H883" s="386"/>
      <c r="I883" s="46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 spans="1:26" ht="14.4">
      <c r="A884" s="191"/>
      <c r="B884" s="191"/>
      <c r="C884" s="191"/>
      <c r="D884" s="191"/>
      <c r="E884" s="191"/>
      <c r="F884" s="191"/>
      <c r="G884" s="386"/>
      <c r="H884" s="386"/>
      <c r="I884" s="46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 spans="1:26" ht="14.4">
      <c r="A885" s="191"/>
      <c r="B885" s="191"/>
      <c r="C885" s="191"/>
      <c r="D885" s="191"/>
      <c r="E885" s="191"/>
      <c r="F885" s="191"/>
      <c r="G885" s="386"/>
      <c r="H885" s="386"/>
      <c r="I885" s="46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 spans="1:26" ht="14.4">
      <c r="A886" s="191"/>
      <c r="B886" s="191"/>
      <c r="C886" s="191"/>
      <c r="D886" s="191"/>
      <c r="E886" s="191"/>
      <c r="F886" s="191"/>
      <c r="G886" s="386"/>
      <c r="H886" s="386"/>
      <c r="I886" s="46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 spans="1:26" ht="14.4">
      <c r="A887" s="191"/>
      <c r="B887" s="191"/>
      <c r="C887" s="191"/>
      <c r="D887" s="191"/>
      <c r="E887" s="191"/>
      <c r="F887" s="191"/>
      <c r="G887" s="386"/>
      <c r="H887" s="386"/>
      <c r="I887" s="46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 spans="1:26" ht="14.4">
      <c r="A888" s="191"/>
      <c r="B888" s="191"/>
      <c r="C888" s="191"/>
      <c r="D888" s="191"/>
      <c r="E888" s="191"/>
      <c r="F888" s="191"/>
      <c r="G888" s="386"/>
      <c r="H888" s="386"/>
      <c r="I888" s="46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 spans="1:26" ht="14.4">
      <c r="A889" s="191"/>
      <c r="B889" s="191"/>
      <c r="C889" s="191"/>
      <c r="D889" s="191"/>
      <c r="E889" s="191"/>
      <c r="F889" s="191"/>
      <c r="G889" s="386"/>
      <c r="H889" s="386"/>
      <c r="I889" s="46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 spans="1:26" ht="14.4">
      <c r="A890" s="191"/>
      <c r="B890" s="191"/>
      <c r="C890" s="191"/>
      <c r="D890" s="191"/>
      <c r="E890" s="191"/>
      <c r="F890" s="191"/>
      <c r="G890" s="386"/>
      <c r="H890" s="386"/>
      <c r="I890" s="46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 spans="1:26" ht="14.4">
      <c r="A891" s="191"/>
      <c r="B891" s="191"/>
      <c r="C891" s="191"/>
      <c r="D891" s="191"/>
      <c r="E891" s="191"/>
      <c r="F891" s="191"/>
      <c r="G891" s="386"/>
      <c r="H891" s="386"/>
      <c r="I891" s="46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 spans="1:26" ht="14.4">
      <c r="A892" s="191"/>
      <c r="B892" s="191"/>
      <c r="C892" s="191"/>
      <c r="D892" s="191"/>
      <c r="E892" s="191"/>
      <c r="F892" s="191"/>
      <c r="G892" s="386"/>
      <c r="H892" s="386"/>
      <c r="I892" s="46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 spans="1:26" ht="14.4">
      <c r="A893" s="191"/>
      <c r="B893" s="191"/>
      <c r="C893" s="191"/>
      <c r="D893" s="191"/>
      <c r="E893" s="191"/>
      <c r="F893" s="191"/>
      <c r="G893" s="386"/>
      <c r="H893" s="386"/>
      <c r="I893" s="46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 spans="1:26" ht="14.4">
      <c r="A894" s="191"/>
      <c r="B894" s="191"/>
      <c r="C894" s="191"/>
      <c r="D894" s="191"/>
      <c r="E894" s="191"/>
      <c r="F894" s="191"/>
      <c r="G894" s="386"/>
      <c r="H894" s="386"/>
      <c r="I894" s="46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 spans="1:26" ht="14.4">
      <c r="A895" s="191"/>
      <c r="B895" s="191"/>
      <c r="C895" s="191"/>
      <c r="D895" s="191"/>
      <c r="E895" s="191"/>
      <c r="F895" s="191"/>
      <c r="G895" s="386"/>
      <c r="H895" s="386"/>
      <c r="I895" s="46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 spans="1:26" ht="14.4">
      <c r="A896" s="191"/>
      <c r="B896" s="191"/>
      <c r="C896" s="191"/>
      <c r="D896" s="191"/>
      <c r="E896" s="191"/>
      <c r="F896" s="191"/>
      <c r="G896" s="386"/>
      <c r="H896" s="386"/>
      <c r="I896" s="46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 spans="1:26" ht="14.4">
      <c r="A897" s="191"/>
      <c r="B897" s="191"/>
      <c r="C897" s="191"/>
      <c r="D897" s="191"/>
      <c r="E897" s="191"/>
      <c r="F897" s="191"/>
      <c r="G897" s="386"/>
      <c r="H897" s="386"/>
      <c r="I897" s="46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 spans="1:26" ht="14.4">
      <c r="A898" s="191"/>
      <c r="B898" s="191"/>
      <c r="C898" s="191"/>
      <c r="D898" s="191"/>
      <c r="E898" s="191"/>
      <c r="F898" s="191"/>
      <c r="G898" s="386"/>
      <c r="H898" s="386"/>
      <c r="I898" s="46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 spans="1:26" ht="14.4">
      <c r="A899" s="191"/>
      <c r="B899" s="191"/>
      <c r="C899" s="191"/>
      <c r="D899" s="191"/>
      <c r="E899" s="191"/>
      <c r="F899" s="191"/>
      <c r="G899" s="386"/>
      <c r="H899" s="386"/>
      <c r="I899" s="46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 spans="1:26" ht="14.4">
      <c r="A900" s="191"/>
      <c r="B900" s="191"/>
      <c r="C900" s="191"/>
      <c r="D900" s="191"/>
      <c r="E900" s="191"/>
      <c r="F900" s="191"/>
      <c r="G900" s="386"/>
      <c r="H900" s="386"/>
      <c r="I900" s="46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 spans="1:26" ht="14.4">
      <c r="A901" s="191"/>
      <c r="B901" s="191"/>
      <c r="C901" s="191"/>
      <c r="D901" s="191"/>
      <c r="E901" s="191"/>
      <c r="F901" s="191"/>
      <c r="G901" s="386"/>
      <c r="H901" s="386"/>
      <c r="I901" s="46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 spans="1:26" ht="14.4">
      <c r="A902" s="191"/>
      <c r="B902" s="191"/>
      <c r="C902" s="191"/>
      <c r="D902" s="191"/>
      <c r="E902" s="191"/>
      <c r="F902" s="191"/>
      <c r="G902" s="386"/>
      <c r="H902" s="386"/>
      <c r="I902" s="46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 spans="1:26" ht="14.4">
      <c r="A903" s="191"/>
      <c r="B903" s="191"/>
      <c r="C903" s="191"/>
      <c r="D903" s="191"/>
      <c r="E903" s="191"/>
      <c r="F903" s="191"/>
      <c r="G903" s="386"/>
      <c r="H903" s="386"/>
      <c r="I903" s="46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 spans="1:26" ht="14.4">
      <c r="A904" s="191"/>
      <c r="B904" s="191"/>
      <c r="C904" s="191"/>
      <c r="D904" s="191"/>
      <c r="E904" s="191"/>
      <c r="F904" s="191"/>
      <c r="G904" s="386"/>
      <c r="H904" s="386"/>
      <c r="I904" s="46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 spans="1:26" ht="14.4">
      <c r="A905" s="191"/>
      <c r="B905" s="191"/>
      <c r="C905" s="191"/>
      <c r="D905" s="191"/>
      <c r="E905" s="191"/>
      <c r="F905" s="191"/>
      <c r="G905" s="386"/>
      <c r="H905" s="386"/>
      <c r="I905" s="46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 spans="1:26" ht="14.4">
      <c r="A906" s="191"/>
      <c r="B906" s="191"/>
      <c r="C906" s="191"/>
      <c r="D906" s="191"/>
      <c r="E906" s="191"/>
      <c r="F906" s="191"/>
      <c r="G906" s="386"/>
      <c r="H906" s="386"/>
      <c r="I906" s="46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 spans="1:26" ht="14.4">
      <c r="A907" s="191"/>
      <c r="B907" s="191"/>
      <c r="C907" s="191"/>
      <c r="D907" s="191"/>
      <c r="E907" s="191"/>
      <c r="F907" s="191"/>
      <c r="G907" s="386"/>
      <c r="H907" s="386"/>
      <c r="I907" s="46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 spans="1:26" ht="14.4">
      <c r="A908" s="191"/>
      <c r="B908" s="191"/>
      <c r="C908" s="191"/>
      <c r="D908" s="191"/>
      <c r="E908" s="191"/>
      <c r="F908" s="191"/>
      <c r="G908" s="386"/>
      <c r="H908" s="386"/>
      <c r="I908" s="46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 spans="1:26" ht="14.4">
      <c r="A909" s="191"/>
      <c r="B909" s="191"/>
      <c r="C909" s="191"/>
      <c r="D909" s="191"/>
      <c r="E909" s="191"/>
      <c r="F909" s="191"/>
      <c r="G909" s="386"/>
      <c r="H909" s="386"/>
      <c r="I909" s="46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 spans="1:26" ht="14.4">
      <c r="A910" s="191"/>
      <c r="B910" s="191"/>
      <c r="C910" s="191"/>
      <c r="D910" s="191"/>
      <c r="E910" s="191"/>
      <c r="F910" s="191"/>
      <c r="G910" s="386"/>
      <c r="H910" s="386"/>
      <c r="I910" s="46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 spans="1:26" ht="14.4">
      <c r="A911" s="191"/>
      <c r="B911" s="191"/>
      <c r="C911" s="191"/>
      <c r="D911" s="191"/>
      <c r="E911" s="191"/>
      <c r="F911" s="191"/>
      <c r="G911" s="386"/>
      <c r="H911" s="386"/>
      <c r="I911" s="46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 spans="1:26" ht="14.4">
      <c r="A912" s="191"/>
      <c r="B912" s="191"/>
      <c r="C912" s="191"/>
      <c r="D912" s="191"/>
      <c r="E912" s="191"/>
      <c r="F912" s="191"/>
      <c r="G912" s="386"/>
      <c r="H912" s="386"/>
      <c r="I912" s="46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 spans="1:26" ht="14.4">
      <c r="A913" s="191"/>
      <c r="B913" s="191"/>
      <c r="C913" s="191"/>
      <c r="D913" s="191"/>
      <c r="E913" s="191"/>
      <c r="F913" s="191"/>
      <c r="G913" s="386"/>
      <c r="H913" s="386"/>
      <c r="I913" s="46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 spans="1:26" ht="14.4">
      <c r="A914" s="191"/>
      <c r="B914" s="191"/>
      <c r="C914" s="191"/>
      <c r="D914" s="191"/>
      <c r="E914" s="191"/>
      <c r="F914" s="191"/>
      <c r="G914" s="386"/>
      <c r="H914" s="386"/>
      <c r="I914" s="46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 spans="1:26" ht="14.4">
      <c r="A915" s="191"/>
      <c r="B915" s="191"/>
      <c r="C915" s="191"/>
      <c r="D915" s="191"/>
      <c r="E915" s="191"/>
      <c r="F915" s="191"/>
      <c r="G915" s="386"/>
      <c r="H915" s="386"/>
      <c r="I915" s="46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 spans="1:26" ht="14.4">
      <c r="A916" s="191"/>
      <c r="B916" s="191"/>
      <c r="C916" s="191"/>
      <c r="D916" s="191"/>
      <c r="E916" s="191"/>
      <c r="F916" s="191"/>
      <c r="G916" s="386"/>
      <c r="H916" s="386"/>
      <c r="I916" s="46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 spans="1:26" ht="14.4">
      <c r="A917" s="191"/>
      <c r="B917" s="191"/>
      <c r="C917" s="191"/>
      <c r="D917" s="191"/>
      <c r="E917" s="191"/>
      <c r="F917" s="191"/>
      <c r="G917" s="386"/>
      <c r="H917" s="386"/>
      <c r="I917" s="46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 spans="1:26" ht="14.4">
      <c r="A918" s="191"/>
      <c r="B918" s="191"/>
      <c r="C918" s="191"/>
      <c r="D918" s="191"/>
      <c r="E918" s="191"/>
      <c r="F918" s="191"/>
      <c r="G918" s="386"/>
      <c r="H918" s="386"/>
      <c r="I918" s="46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 spans="1:26" ht="14.4">
      <c r="A919" s="191"/>
      <c r="B919" s="191"/>
      <c r="C919" s="191"/>
      <c r="D919" s="191"/>
      <c r="E919" s="191"/>
      <c r="F919" s="191"/>
      <c r="G919" s="386"/>
      <c r="H919" s="386"/>
      <c r="I919" s="46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 spans="1:26" ht="14.4">
      <c r="A920" s="191"/>
      <c r="B920" s="191"/>
      <c r="C920" s="191"/>
      <c r="D920" s="191"/>
      <c r="E920" s="191"/>
      <c r="F920" s="191"/>
      <c r="G920" s="386"/>
      <c r="H920" s="386"/>
      <c r="I920" s="46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 spans="1:26" ht="14.4">
      <c r="A921" s="191"/>
      <c r="B921" s="191"/>
      <c r="C921" s="191"/>
      <c r="D921" s="191"/>
      <c r="E921" s="191"/>
      <c r="F921" s="191"/>
      <c r="G921" s="386"/>
      <c r="H921" s="386"/>
      <c r="I921" s="46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 spans="1:26" ht="14.4">
      <c r="A922" s="191"/>
      <c r="B922" s="191"/>
      <c r="C922" s="191"/>
      <c r="D922" s="191"/>
      <c r="E922" s="191"/>
      <c r="F922" s="191"/>
      <c r="G922" s="386"/>
      <c r="H922" s="386"/>
      <c r="I922" s="46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 spans="1:26" ht="14.4">
      <c r="A923" s="191"/>
      <c r="B923" s="191"/>
      <c r="C923" s="191"/>
      <c r="D923" s="191"/>
      <c r="E923" s="191"/>
      <c r="F923" s="191"/>
      <c r="G923" s="386"/>
      <c r="H923" s="386"/>
      <c r="I923" s="46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 spans="1:26" ht="14.4">
      <c r="A924" s="191"/>
      <c r="B924" s="191"/>
      <c r="C924" s="191"/>
      <c r="D924" s="191"/>
      <c r="E924" s="191"/>
      <c r="F924" s="191"/>
      <c r="G924" s="386"/>
      <c r="H924" s="386"/>
      <c r="I924" s="46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 spans="1:26" ht="14.4">
      <c r="A925" s="191"/>
      <c r="B925" s="191"/>
      <c r="C925" s="191"/>
      <c r="D925" s="191"/>
      <c r="E925" s="191"/>
      <c r="F925" s="191"/>
      <c r="G925" s="386"/>
      <c r="H925" s="386"/>
      <c r="I925" s="46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 spans="1:26" ht="14.4">
      <c r="A926" s="191"/>
      <c r="B926" s="191"/>
      <c r="C926" s="191"/>
      <c r="D926" s="191"/>
      <c r="E926" s="191"/>
      <c r="F926" s="191"/>
      <c r="G926" s="386"/>
      <c r="H926" s="386"/>
      <c r="I926" s="46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 spans="1:26" ht="14.4">
      <c r="A927" s="191"/>
      <c r="B927" s="191"/>
      <c r="C927" s="191"/>
      <c r="D927" s="191"/>
      <c r="E927" s="191"/>
      <c r="F927" s="191"/>
      <c r="G927" s="386"/>
      <c r="H927" s="386"/>
      <c r="I927" s="46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 spans="1:26" ht="14.4">
      <c r="A928" s="191"/>
      <c r="B928" s="191"/>
      <c r="C928" s="191"/>
      <c r="D928" s="191"/>
      <c r="E928" s="191"/>
      <c r="F928" s="191"/>
      <c r="G928" s="386"/>
      <c r="H928" s="386"/>
      <c r="I928" s="46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 spans="1:26" ht="14.4">
      <c r="A929" s="191"/>
      <c r="B929" s="191"/>
      <c r="C929" s="191"/>
      <c r="D929" s="191"/>
      <c r="E929" s="191"/>
      <c r="F929" s="191"/>
      <c r="G929" s="386"/>
      <c r="H929" s="386"/>
      <c r="I929" s="46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 spans="1:26" ht="14.4">
      <c r="A930" s="191"/>
      <c r="B930" s="191"/>
      <c r="C930" s="191"/>
      <c r="D930" s="191"/>
      <c r="E930" s="191"/>
      <c r="F930" s="191"/>
      <c r="G930" s="386"/>
      <c r="H930" s="386"/>
      <c r="I930" s="46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 spans="1:26" ht="14.4">
      <c r="A931" s="191"/>
      <c r="B931" s="191"/>
      <c r="C931" s="191"/>
      <c r="D931" s="191"/>
      <c r="E931" s="191"/>
      <c r="F931" s="191"/>
      <c r="G931" s="386"/>
      <c r="H931" s="386"/>
      <c r="I931" s="46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 spans="1:26" ht="14.4">
      <c r="A932" s="191"/>
      <c r="B932" s="191"/>
      <c r="C932" s="191"/>
      <c r="D932" s="191"/>
      <c r="E932" s="191"/>
      <c r="F932" s="191"/>
      <c r="G932" s="386"/>
      <c r="H932" s="386"/>
      <c r="I932" s="46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 spans="1:26" ht="14.4">
      <c r="A933" s="191"/>
      <c r="B933" s="191"/>
      <c r="C933" s="191"/>
      <c r="D933" s="191"/>
      <c r="E933" s="191"/>
      <c r="F933" s="191"/>
      <c r="G933" s="386"/>
      <c r="H933" s="386"/>
      <c r="I933" s="46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 spans="1:26" ht="14.4">
      <c r="A934" s="191"/>
      <c r="B934" s="191"/>
      <c r="C934" s="191"/>
      <c r="D934" s="191"/>
      <c r="E934" s="191"/>
      <c r="F934" s="191"/>
      <c r="G934" s="386"/>
      <c r="H934" s="386"/>
      <c r="I934" s="46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 spans="1:26" ht="14.4">
      <c r="A935" s="191"/>
      <c r="B935" s="191"/>
      <c r="C935" s="191"/>
      <c r="D935" s="191"/>
      <c r="E935" s="191"/>
      <c r="F935" s="191"/>
      <c r="G935" s="386"/>
      <c r="H935" s="386"/>
      <c r="I935" s="46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 spans="1:26" ht="14.4">
      <c r="A936" s="191"/>
      <c r="B936" s="191"/>
      <c r="C936" s="191"/>
      <c r="D936" s="191"/>
      <c r="E936" s="191"/>
      <c r="F936" s="191"/>
      <c r="G936" s="386"/>
      <c r="H936" s="386"/>
      <c r="I936" s="46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 spans="1:26" ht="14.4">
      <c r="A937" s="191"/>
      <c r="B937" s="191"/>
      <c r="C937" s="191"/>
      <c r="D937" s="191"/>
      <c r="E937" s="191"/>
      <c r="F937" s="191"/>
      <c r="G937" s="386"/>
      <c r="H937" s="386"/>
      <c r="I937" s="46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 spans="1:26" ht="14.4">
      <c r="A938" s="191"/>
      <c r="B938" s="191"/>
      <c r="C938" s="191"/>
      <c r="D938" s="191"/>
      <c r="E938" s="191"/>
      <c r="F938" s="191"/>
      <c r="G938" s="386"/>
      <c r="H938" s="386"/>
      <c r="I938" s="46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 spans="1:26" ht="14.4">
      <c r="A939" s="191"/>
      <c r="B939" s="191"/>
      <c r="C939" s="191"/>
      <c r="D939" s="191"/>
      <c r="E939" s="191"/>
      <c r="F939" s="191"/>
      <c r="G939" s="386"/>
      <c r="H939" s="386"/>
      <c r="I939" s="46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 spans="1:26" ht="14.4">
      <c r="A940" s="191"/>
      <c r="B940" s="191"/>
      <c r="C940" s="191"/>
      <c r="D940" s="191"/>
      <c r="E940" s="191"/>
      <c r="F940" s="191"/>
      <c r="G940" s="386"/>
      <c r="H940" s="386"/>
      <c r="I940" s="46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 spans="1:26" ht="14.4">
      <c r="A941" s="191"/>
      <c r="B941" s="191"/>
      <c r="C941" s="191"/>
      <c r="D941" s="191"/>
      <c r="E941" s="191"/>
      <c r="F941" s="191"/>
      <c r="G941" s="386"/>
      <c r="H941" s="386"/>
      <c r="I941" s="46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 spans="1:26" ht="14.4">
      <c r="A942" s="191"/>
      <c r="B942" s="191"/>
      <c r="C942" s="191"/>
      <c r="D942" s="191"/>
      <c r="E942" s="191"/>
      <c r="F942" s="191"/>
      <c r="G942" s="386"/>
      <c r="H942" s="386"/>
      <c r="I942" s="46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 spans="1:26" ht="14.4">
      <c r="A943" s="191"/>
      <c r="B943" s="191"/>
      <c r="C943" s="191"/>
      <c r="D943" s="191"/>
      <c r="E943" s="191"/>
      <c r="F943" s="191"/>
      <c r="G943" s="386"/>
      <c r="H943" s="386"/>
      <c r="I943" s="46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 spans="1:26" ht="14.4">
      <c r="A944" s="191"/>
      <c r="B944" s="191"/>
      <c r="C944" s="191"/>
      <c r="D944" s="191"/>
      <c r="E944" s="191"/>
      <c r="F944" s="191"/>
      <c r="G944" s="386"/>
      <c r="H944" s="386"/>
      <c r="I944" s="46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 spans="1:26" ht="14.4">
      <c r="A945" s="191"/>
      <c r="B945" s="191"/>
      <c r="C945" s="191"/>
      <c r="D945" s="191"/>
      <c r="E945" s="191"/>
      <c r="F945" s="191"/>
      <c r="G945" s="386"/>
      <c r="H945" s="386"/>
      <c r="I945" s="46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 spans="1:26" ht="14.4">
      <c r="A946" s="191"/>
      <c r="B946" s="191"/>
      <c r="C946" s="191"/>
      <c r="D946" s="191"/>
      <c r="E946" s="191"/>
      <c r="F946" s="191"/>
      <c r="G946" s="386"/>
      <c r="H946" s="386"/>
      <c r="I946" s="46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 spans="1:26" ht="14.4">
      <c r="A947" s="191"/>
      <c r="B947" s="191"/>
      <c r="C947" s="191"/>
      <c r="D947" s="191"/>
      <c r="E947" s="191"/>
      <c r="F947" s="191"/>
      <c r="G947" s="386"/>
      <c r="H947" s="386"/>
      <c r="I947" s="46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 spans="1:26" ht="14.4">
      <c r="A948" s="191"/>
      <c r="B948" s="191"/>
      <c r="C948" s="191"/>
      <c r="D948" s="191"/>
      <c r="E948" s="191"/>
      <c r="F948" s="191"/>
      <c r="G948" s="386"/>
      <c r="H948" s="386"/>
      <c r="I948" s="46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 spans="1:26" ht="14.4">
      <c r="A949" s="191"/>
      <c r="B949" s="191"/>
      <c r="C949" s="191"/>
      <c r="D949" s="191"/>
      <c r="E949" s="191"/>
      <c r="F949" s="191"/>
      <c r="G949" s="386"/>
      <c r="H949" s="386"/>
      <c r="I949" s="46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 spans="1:26" ht="14.4">
      <c r="A950" s="191"/>
      <c r="B950" s="191"/>
      <c r="C950" s="191"/>
      <c r="D950" s="191"/>
      <c r="E950" s="191"/>
      <c r="F950" s="191"/>
      <c r="G950" s="386"/>
      <c r="H950" s="386"/>
      <c r="I950" s="46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 spans="1:26" ht="14.4">
      <c r="A951" s="191"/>
      <c r="B951" s="191"/>
      <c r="C951" s="191"/>
      <c r="D951" s="191"/>
      <c r="E951" s="191"/>
      <c r="F951" s="191"/>
      <c r="G951" s="386"/>
      <c r="H951" s="386"/>
      <c r="I951" s="46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 spans="1:26" ht="14.4">
      <c r="A952" s="191"/>
      <c r="B952" s="191"/>
      <c r="C952" s="191"/>
      <c r="D952" s="191"/>
      <c r="E952" s="191"/>
      <c r="F952" s="191"/>
      <c r="G952" s="386"/>
      <c r="H952" s="386"/>
      <c r="I952" s="46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 spans="1:26" ht="14.4">
      <c r="A953" s="191"/>
      <c r="B953" s="191"/>
      <c r="C953" s="191"/>
      <c r="D953" s="191"/>
      <c r="E953" s="191"/>
      <c r="F953" s="191"/>
      <c r="G953" s="386"/>
      <c r="H953" s="386"/>
      <c r="I953" s="46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 spans="1:26" ht="14.4">
      <c r="A954" s="191"/>
      <c r="B954" s="191"/>
      <c r="C954" s="191"/>
      <c r="D954" s="191"/>
      <c r="E954" s="191"/>
      <c r="F954" s="191"/>
      <c r="G954" s="386"/>
      <c r="H954" s="386"/>
      <c r="I954" s="46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 spans="1:26" ht="14.4">
      <c r="A955" s="191"/>
      <c r="B955" s="191"/>
      <c r="C955" s="191"/>
      <c r="D955" s="191"/>
      <c r="E955" s="191"/>
      <c r="F955" s="191"/>
      <c r="G955" s="386"/>
      <c r="H955" s="386"/>
      <c r="I955" s="46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 spans="1:26" ht="14.4">
      <c r="A956" s="191"/>
      <c r="B956" s="191"/>
      <c r="C956" s="191"/>
      <c r="D956" s="191"/>
      <c r="E956" s="191"/>
      <c r="F956" s="191"/>
      <c r="G956" s="386"/>
      <c r="H956" s="386"/>
      <c r="I956" s="46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 spans="1:26" ht="14.4">
      <c r="A957" s="191"/>
      <c r="B957" s="191"/>
      <c r="C957" s="191"/>
      <c r="D957" s="191"/>
      <c r="E957" s="191"/>
      <c r="F957" s="191"/>
      <c r="G957" s="386"/>
      <c r="H957" s="386"/>
      <c r="I957" s="46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 spans="1:26" ht="14.4">
      <c r="A958" s="191"/>
      <c r="B958" s="191"/>
      <c r="C958" s="191"/>
      <c r="D958" s="191"/>
      <c r="E958" s="191"/>
      <c r="F958" s="191"/>
      <c r="G958" s="386"/>
      <c r="H958" s="386"/>
      <c r="I958" s="46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 spans="1:26" ht="14.4">
      <c r="A959" s="191"/>
      <c r="B959" s="191"/>
      <c r="C959" s="191"/>
      <c r="D959" s="191"/>
      <c r="E959" s="191"/>
      <c r="F959" s="191"/>
      <c r="G959" s="386"/>
      <c r="H959" s="386"/>
      <c r="I959" s="46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 spans="1:26" ht="14.4">
      <c r="A960" s="191"/>
      <c r="B960" s="191"/>
      <c r="C960" s="191"/>
      <c r="D960" s="191"/>
      <c r="E960" s="191"/>
      <c r="F960" s="191"/>
      <c r="G960" s="386"/>
      <c r="H960" s="386"/>
      <c r="I960" s="46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 spans="1:26" ht="14.4">
      <c r="A961" s="191"/>
      <c r="B961" s="191"/>
      <c r="C961" s="191"/>
      <c r="D961" s="191"/>
      <c r="E961" s="191"/>
      <c r="F961" s="191"/>
      <c r="G961" s="386"/>
      <c r="H961" s="386"/>
      <c r="I961" s="46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 spans="1:26" ht="14.4">
      <c r="A962" s="191"/>
      <c r="B962" s="191"/>
      <c r="C962" s="191"/>
      <c r="D962" s="191"/>
      <c r="E962" s="191"/>
      <c r="F962" s="191"/>
      <c r="G962" s="386"/>
      <c r="H962" s="386"/>
      <c r="I962" s="46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 spans="1:26" ht="14.4">
      <c r="A963" s="191"/>
      <c r="B963" s="191"/>
      <c r="C963" s="191"/>
      <c r="D963" s="191"/>
      <c r="E963" s="191"/>
      <c r="F963" s="191"/>
      <c r="G963" s="386"/>
      <c r="H963" s="386"/>
      <c r="I963" s="46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  <row r="964" spans="1:26" ht="14.4">
      <c r="A964" s="191"/>
      <c r="B964" s="191"/>
      <c r="C964" s="191"/>
      <c r="D964" s="191"/>
      <c r="E964" s="191"/>
      <c r="F964" s="191"/>
      <c r="G964" s="386"/>
      <c r="H964" s="386"/>
      <c r="I964" s="463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</row>
    <row r="965" spans="1:26" ht="14.4">
      <c r="A965" s="191"/>
      <c r="B965" s="191"/>
      <c r="C965" s="191"/>
      <c r="D965" s="191"/>
      <c r="E965" s="191"/>
      <c r="F965" s="191"/>
      <c r="G965" s="386"/>
      <c r="H965" s="386"/>
      <c r="I965" s="463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</row>
    <row r="966" spans="1:26" ht="14.4">
      <c r="A966" s="191"/>
      <c r="B966" s="191"/>
      <c r="C966" s="191"/>
      <c r="D966" s="191"/>
      <c r="E966" s="191"/>
      <c r="F966" s="191"/>
      <c r="G966" s="386"/>
      <c r="H966" s="386"/>
      <c r="I966" s="463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</row>
    <row r="967" spans="1:26" ht="14.4">
      <c r="A967" s="191"/>
      <c r="B967" s="191"/>
      <c r="C967" s="191"/>
      <c r="D967" s="191"/>
      <c r="E967" s="191"/>
      <c r="F967" s="191"/>
      <c r="G967" s="386"/>
      <c r="H967" s="386"/>
      <c r="I967" s="463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</row>
    <row r="968" spans="1:26" ht="14.4">
      <c r="A968" s="191"/>
      <c r="B968" s="191"/>
      <c r="C968" s="191"/>
      <c r="D968" s="191"/>
      <c r="E968" s="191"/>
      <c r="F968" s="191"/>
      <c r="G968" s="386"/>
      <c r="H968" s="386"/>
      <c r="I968" s="463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</row>
    <row r="969" spans="1:26" ht="14.4">
      <c r="A969" s="191"/>
      <c r="B969" s="191"/>
      <c r="C969" s="191"/>
      <c r="D969" s="191"/>
      <c r="E969" s="191"/>
      <c r="F969" s="191"/>
      <c r="G969" s="386"/>
      <c r="H969" s="386"/>
      <c r="I969" s="463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</row>
    <row r="970" spans="1:26" ht="14.4">
      <c r="A970" s="191"/>
      <c r="B970" s="191"/>
      <c r="C970" s="191"/>
      <c r="D970" s="191"/>
      <c r="E970" s="191"/>
      <c r="F970" s="191"/>
      <c r="G970" s="386"/>
      <c r="H970" s="386"/>
      <c r="I970" s="463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</row>
    <row r="971" spans="1:26" ht="14.4">
      <c r="A971" s="191"/>
      <c r="B971" s="191"/>
      <c r="C971" s="191"/>
      <c r="D971" s="191"/>
      <c r="E971" s="191"/>
      <c r="F971" s="191"/>
      <c r="G971" s="386"/>
      <c r="H971" s="386"/>
      <c r="I971" s="463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</row>
    <row r="972" spans="1:26" ht="14.4">
      <c r="A972" s="191"/>
      <c r="B972" s="191"/>
      <c r="C972" s="191"/>
      <c r="D972" s="191"/>
      <c r="E972" s="191"/>
      <c r="F972" s="191"/>
      <c r="G972" s="386"/>
      <c r="H972" s="386"/>
      <c r="I972" s="463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</row>
    <row r="973" spans="1:26" ht="14.4">
      <c r="A973" s="191"/>
      <c r="B973" s="191"/>
      <c r="C973" s="191"/>
      <c r="D973" s="191"/>
      <c r="E973" s="191"/>
      <c r="F973" s="191"/>
      <c r="G973" s="386"/>
      <c r="H973" s="386"/>
      <c r="I973" s="463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</row>
    <row r="974" spans="1:26" ht="14.4">
      <c r="A974" s="191"/>
      <c r="B974" s="191"/>
      <c r="C974" s="191"/>
      <c r="D974" s="191"/>
      <c r="E974" s="191"/>
      <c r="F974" s="191"/>
      <c r="G974" s="386"/>
      <c r="H974" s="386"/>
      <c r="I974" s="463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</row>
    <row r="975" spans="1:26" ht="14.4">
      <c r="A975" s="191"/>
      <c r="B975" s="191"/>
      <c r="C975" s="191"/>
      <c r="D975" s="191"/>
      <c r="E975" s="191"/>
      <c r="F975" s="191"/>
      <c r="G975" s="386"/>
      <c r="H975" s="386"/>
      <c r="I975" s="463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</row>
    <row r="976" spans="1:26" ht="14.4">
      <c r="A976" s="191"/>
      <c r="B976" s="191"/>
      <c r="C976" s="191"/>
      <c r="D976" s="191"/>
      <c r="E976" s="191"/>
      <c r="F976" s="191"/>
      <c r="G976" s="386"/>
      <c r="H976" s="386"/>
      <c r="I976" s="463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</row>
    <row r="977" spans="1:26" ht="14.4">
      <c r="A977" s="191"/>
      <c r="B977" s="191"/>
      <c r="C977" s="191"/>
      <c r="D977" s="191"/>
      <c r="E977" s="191"/>
      <c r="F977" s="191"/>
      <c r="G977" s="386"/>
      <c r="H977" s="386"/>
      <c r="I977" s="463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</row>
    <row r="978" spans="1:26" ht="14.4">
      <c r="A978" s="191"/>
      <c r="B978" s="191"/>
      <c r="C978" s="191"/>
      <c r="D978" s="191"/>
      <c r="E978" s="191"/>
      <c r="F978" s="191"/>
      <c r="G978" s="386"/>
      <c r="H978" s="386"/>
      <c r="I978" s="463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</row>
    <row r="979" spans="1:26" ht="14.4">
      <c r="A979" s="191"/>
      <c r="B979" s="191"/>
      <c r="C979" s="191"/>
      <c r="D979" s="191"/>
      <c r="E979" s="191"/>
      <c r="F979" s="191"/>
      <c r="G979" s="386"/>
      <c r="H979" s="386"/>
      <c r="I979" s="463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</row>
    <row r="980" spans="1:26" ht="14.4">
      <c r="A980" s="191"/>
      <c r="B980" s="191"/>
      <c r="C980" s="191"/>
      <c r="D980" s="191"/>
      <c r="E980" s="191"/>
      <c r="F980" s="191"/>
      <c r="G980" s="386"/>
      <c r="H980" s="386"/>
      <c r="I980" s="463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</row>
    <row r="981" spans="1:26" ht="14.4">
      <c r="A981" s="191"/>
      <c r="B981" s="191"/>
      <c r="C981" s="191"/>
      <c r="D981" s="191"/>
      <c r="E981" s="191"/>
      <c r="F981" s="191"/>
      <c r="G981" s="386"/>
      <c r="H981" s="386"/>
      <c r="I981" s="463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</row>
  </sheetData>
  <mergeCells count="12">
    <mergeCell ref="A150:A161"/>
    <mergeCell ref="A162:A187"/>
    <mergeCell ref="A1:B1"/>
    <mergeCell ref="A3:A22"/>
    <mergeCell ref="A23:A61"/>
    <mergeCell ref="A62:A89"/>
    <mergeCell ref="A90:A149"/>
    <mergeCell ref="A250:A313"/>
    <mergeCell ref="A314:A331"/>
    <mergeCell ref="H333:I333"/>
    <mergeCell ref="K333:L333"/>
    <mergeCell ref="A350:B3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outlinePr summaryBelow="0" summaryRight="0"/>
  </sheetPr>
  <dimension ref="A1:Z981"/>
  <sheetViews>
    <sheetView workbookViewId="0"/>
  </sheetViews>
  <sheetFormatPr baseColWidth="10" defaultColWidth="12.6640625" defaultRowHeight="15.75" customHeight="1"/>
  <cols>
    <col min="2" max="2" width="38.21875" customWidth="1"/>
    <col min="8" max="8" width="16" customWidth="1"/>
    <col min="11" max="11" width="15.44140625" customWidth="1"/>
  </cols>
  <sheetData>
    <row r="1" spans="1:26" ht="28.8">
      <c r="A1" s="681" t="s">
        <v>124</v>
      </c>
      <c r="B1" s="652"/>
      <c r="C1" s="1" t="s">
        <v>125</v>
      </c>
      <c r="D1" s="2" t="s">
        <v>126</v>
      </c>
      <c r="E1" s="2" t="s">
        <v>127</v>
      </c>
      <c r="F1" s="2" t="s">
        <v>0</v>
      </c>
      <c r="G1" s="186" t="s">
        <v>1</v>
      </c>
      <c r="H1" s="186" t="s">
        <v>128</v>
      </c>
      <c r="I1" s="187" t="s">
        <v>129</v>
      </c>
      <c r="J1" s="188" t="s">
        <v>130</v>
      </c>
      <c r="K1" s="189" t="s">
        <v>131</v>
      </c>
      <c r="L1" s="190" t="s">
        <v>2</v>
      </c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 spans="1:26" ht="14.4">
      <c r="A2" s="192"/>
      <c r="B2" s="192"/>
      <c r="C2" s="193"/>
      <c r="D2" s="194"/>
      <c r="E2" s="194"/>
      <c r="F2" s="194"/>
      <c r="G2" s="195"/>
      <c r="H2" s="195"/>
      <c r="I2" s="196"/>
      <c r="J2" s="197"/>
      <c r="K2" s="198"/>
      <c r="L2" s="198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</row>
    <row r="3" spans="1:26" ht="14.4">
      <c r="A3" s="682" t="s">
        <v>3</v>
      </c>
      <c r="B3" s="199" t="s">
        <v>4</v>
      </c>
      <c r="C3" s="200">
        <f>214+10</f>
        <v>224</v>
      </c>
      <c r="D3" s="201"/>
      <c r="E3" s="201"/>
      <c r="F3" s="202">
        <f t="shared" ref="F3:F21" si="0">+C3+D3-E3</f>
        <v>224</v>
      </c>
      <c r="G3" s="203">
        <v>65840</v>
      </c>
      <c r="H3" s="203">
        <v>67000</v>
      </c>
      <c r="I3" s="204"/>
      <c r="J3" s="205">
        <f t="shared" ref="J3:J21" si="1">+H3*I3</f>
        <v>0</v>
      </c>
      <c r="K3" s="205">
        <f t="shared" ref="K3:K21" si="2">+(H3-G3)*I3</f>
        <v>0</v>
      </c>
      <c r="L3" s="205">
        <f t="shared" ref="L3:L21" si="3">+G3*F3</f>
        <v>14748160</v>
      </c>
      <c r="M3" s="206">
        <f t="shared" ref="M3:M21" si="4">F3*H3</f>
        <v>15008000</v>
      </c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 spans="1:26" ht="14.4">
      <c r="A4" s="654"/>
      <c r="B4" s="199" t="s">
        <v>5</v>
      </c>
      <c r="C4" s="200">
        <v>7</v>
      </c>
      <c r="D4" s="201"/>
      <c r="E4" s="201"/>
      <c r="F4" s="202">
        <f t="shared" si="0"/>
        <v>7</v>
      </c>
      <c r="G4" s="203">
        <v>61554</v>
      </c>
      <c r="H4" s="203">
        <v>62000</v>
      </c>
      <c r="I4" s="204"/>
      <c r="J4" s="205">
        <f t="shared" si="1"/>
        <v>0</v>
      </c>
      <c r="K4" s="205">
        <f t="shared" si="2"/>
        <v>0</v>
      </c>
      <c r="L4" s="205">
        <f t="shared" si="3"/>
        <v>430878</v>
      </c>
      <c r="M4" s="207">
        <f t="shared" si="4"/>
        <v>434000</v>
      </c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</row>
    <row r="5" spans="1:26" ht="14.4">
      <c r="A5" s="654"/>
      <c r="B5" s="199" t="s">
        <v>132</v>
      </c>
      <c r="C5" s="200">
        <v>40</v>
      </c>
      <c r="D5" s="201"/>
      <c r="E5" s="201"/>
      <c r="F5" s="202">
        <f t="shared" si="0"/>
        <v>40</v>
      </c>
      <c r="G5" s="203">
        <v>50000</v>
      </c>
      <c r="H5" s="203">
        <v>55000</v>
      </c>
      <c r="I5" s="204"/>
      <c r="J5" s="205">
        <f t="shared" si="1"/>
        <v>0</v>
      </c>
      <c r="K5" s="205">
        <f t="shared" si="2"/>
        <v>0</v>
      </c>
      <c r="L5" s="205">
        <f t="shared" si="3"/>
        <v>2000000</v>
      </c>
      <c r="M5" s="207">
        <f t="shared" si="4"/>
        <v>2200000</v>
      </c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</row>
    <row r="6" spans="1:26" ht="14.4">
      <c r="A6" s="654"/>
      <c r="B6" s="199" t="s">
        <v>20</v>
      </c>
      <c r="C6" s="200">
        <v>1</v>
      </c>
      <c r="D6" s="201"/>
      <c r="E6" s="201"/>
      <c r="F6" s="202">
        <f t="shared" si="0"/>
        <v>1</v>
      </c>
      <c r="G6" s="203">
        <v>63954</v>
      </c>
      <c r="H6" s="203">
        <v>62000</v>
      </c>
      <c r="I6" s="204"/>
      <c r="J6" s="205">
        <f t="shared" si="1"/>
        <v>0</v>
      </c>
      <c r="K6" s="205">
        <f t="shared" si="2"/>
        <v>0</v>
      </c>
      <c r="L6" s="205">
        <f t="shared" si="3"/>
        <v>63954</v>
      </c>
      <c r="M6" s="207">
        <f t="shared" si="4"/>
        <v>62000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</row>
    <row r="7" spans="1:26" ht="14.4">
      <c r="A7" s="654"/>
      <c r="B7" s="199" t="s">
        <v>7</v>
      </c>
      <c r="C7" s="200">
        <f>15.5+6</f>
        <v>21.5</v>
      </c>
      <c r="D7" s="201"/>
      <c r="E7" s="201"/>
      <c r="F7" s="202">
        <f t="shared" si="0"/>
        <v>21.5</v>
      </c>
      <c r="G7" s="203">
        <v>50263</v>
      </c>
      <c r="H7" s="203">
        <v>52000</v>
      </c>
      <c r="I7" s="204"/>
      <c r="J7" s="205">
        <f t="shared" si="1"/>
        <v>0</v>
      </c>
      <c r="K7" s="205">
        <f t="shared" si="2"/>
        <v>0</v>
      </c>
      <c r="L7" s="205">
        <f t="shared" si="3"/>
        <v>1080654.5</v>
      </c>
      <c r="M7" s="207">
        <f t="shared" si="4"/>
        <v>1118000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</row>
    <row r="8" spans="1:26" ht="14.4">
      <c r="A8" s="654"/>
      <c r="B8" s="199" t="s">
        <v>8</v>
      </c>
      <c r="C8" s="200"/>
      <c r="D8" s="201"/>
      <c r="E8" s="201"/>
      <c r="F8" s="202">
        <f t="shared" si="0"/>
        <v>0</v>
      </c>
      <c r="G8" s="203">
        <v>57359</v>
      </c>
      <c r="H8" s="203">
        <v>62000</v>
      </c>
      <c r="I8" s="204"/>
      <c r="J8" s="205">
        <f t="shared" si="1"/>
        <v>0</v>
      </c>
      <c r="K8" s="205">
        <f t="shared" si="2"/>
        <v>0</v>
      </c>
      <c r="L8" s="205">
        <f t="shared" si="3"/>
        <v>0</v>
      </c>
      <c r="M8" s="207">
        <f t="shared" si="4"/>
        <v>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</row>
    <row r="9" spans="1:26" ht="14.4">
      <c r="A9" s="654"/>
      <c r="B9" s="199" t="s">
        <v>9</v>
      </c>
      <c r="C9" s="200">
        <f>190.5+4</f>
        <v>194.5</v>
      </c>
      <c r="D9" s="201"/>
      <c r="E9" s="201"/>
      <c r="F9" s="202">
        <f t="shared" si="0"/>
        <v>194.5</v>
      </c>
      <c r="G9" s="203">
        <v>84094</v>
      </c>
      <c r="H9" s="203">
        <v>85000</v>
      </c>
      <c r="I9" s="204"/>
      <c r="J9" s="205">
        <f t="shared" si="1"/>
        <v>0</v>
      </c>
      <c r="K9" s="205">
        <f t="shared" si="2"/>
        <v>0</v>
      </c>
      <c r="L9" s="205">
        <f t="shared" si="3"/>
        <v>16356283</v>
      </c>
      <c r="M9" s="207">
        <f t="shared" si="4"/>
        <v>16532500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</row>
    <row r="10" spans="1:26" ht="14.4">
      <c r="A10" s="654"/>
      <c r="B10" s="199" t="s">
        <v>133</v>
      </c>
      <c r="C10" s="208">
        <v>3</v>
      </c>
      <c r="D10" s="201"/>
      <c r="E10" s="201"/>
      <c r="F10" s="202">
        <f t="shared" si="0"/>
        <v>3</v>
      </c>
      <c r="G10" s="203">
        <v>84094</v>
      </c>
      <c r="H10" s="203">
        <v>85000</v>
      </c>
      <c r="I10" s="204"/>
      <c r="J10" s="205">
        <f t="shared" si="1"/>
        <v>0</v>
      </c>
      <c r="K10" s="205">
        <f t="shared" si="2"/>
        <v>0</v>
      </c>
      <c r="L10" s="205">
        <f t="shared" si="3"/>
        <v>252282</v>
      </c>
      <c r="M10" s="207">
        <f t="shared" si="4"/>
        <v>255000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</row>
    <row r="11" spans="1:26" ht="14.4">
      <c r="A11" s="654"/>
      <c r="B11" s="199" t="s">
        <v>10</v>
      </c>
      <c r="C11" s="200">
        <v>4</v>
      </c>
      <c r="D11" s="201"/>
      <c r="E11" s="201"/>
      <c r="F11" s="202">
        <f t="shared" si="0"/>
        <v>4</v>
      </c>
      <c r="G11" s="203">
        <v>84094</v>
      </c>
      <c r="H11" s="203">
        <v>85000</v>
      </c>
      <c r="I11" s="204"/>
      <c r="J11" s="205">
        <f t="shared" si="1"/>
        <v>0</v>
      </c>
      <c r="K11" s="205">
        <f t="shared" si="2"/>
        <v>0</v>
      </c>
      <c r="L11" s="205">
        <f t="shared" si="3"/>
        <v>336376</v>
      </c>
      <c r="M11" s="207">
        <f t="shared" si="4"/>
        <v>340000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</row>
    <row r="12" spans="1:26" ht="14.4">
      <c r="A12" s="654"/>
      <c r="B12" s="199" t="s">
        <v>11</v>
      </c>
      <c r="C12" s="200">
        <v>23.5</v>
      </c>
      <c r="D12" s="201"/>
      <c r="E12" s="201"/>
      <c r="F12" s="202">
        <f t="shared" si="0"/>
        <v>23.5</v>
      </c>
      <c r="G12" s="203">
        <v>50682</v>
      </c>
      <c r="H12" s="203">
        <v>52000</v>
      </c>
      <c r="I12" s="204"/>
      <c r="J12" s="205">
        <f t="shared" si="1"/>
        <v>0</v>
      </c>
      <c r="K12" s="205">
        <f t="shared" si="2"/>
        <v>0</v>
      </c>
      <c r="L12" s="205">
        <f t="shared" si="3"/>
        <v>1191027</v>
      </c>
      <c r="M12" s="207">
        <f t="shared" si="4"/>
        <v>1222000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</row>
    <row r="13" spans="1:26" ht="14.4">
      <c r="A13" s="654"/>
      <c r="B13" s="199" t="s">
        <v>12</v>
      </c>
      <c r="C13" s="200">
        <v>2.5</v>
      </c>
      <c r="D13" s="201"/>
      <c r="E13" s="201"/>
      <c r="F13" s="202">
        <f t="shared" si="0"/>
        <v>2.5</v>
      </c>
      <c r="G13" s="203">
        <v>59857</v>
      </c>
      <c r="H13" s="203">
        <v>61000</v>
      </c>
      <c r="I13" s="204"/>
      <c r="J13" s="205">
        <f t="shared" si="1"/>
        <v>0</v>
      </c>
      <c r="K13" s="205">
        <f t="shared" si="2"/>
        <v>0</v>
      </c>
      <c r="L13" s="205">
        <f t="shared" si="3"/>
        <v>149642.5</v>
      </c>
      <c r="M13" s="207">
        <f t="shared" si="4"/>
        <v>152500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</row>
    <row r="14" spans="1:26" ht="14.4">
      <c r="A14" s="654"/>
      <c r="B14" s="199" t="s">
        <v>13</v>
      </c>
      <c r="C14" s="200">
        <v>430</v>
      </c>
      <c r="D14" s="201"/>
      <c r="E14" s="201"/>
      <c r="F14" s="202">
        <f t="shared" si="0"/>
        <v>430</v>
      </c>
      <c r="G14" s="203">
        <v>41665</v>
      </c>
      <c r="H14" s="203">
        <v>45000</v>
      </c>
      <c r="I14" s="204"/>
      <c r="J14" s="205">
        <f t="shared" si="1"/>
        <v>0</v>
      </c>
      <c r="K14" s="205">
        <f t="shared" si="2"/>
        <v>0</v>
      </c>
      <c r="L14" s="205">
        <f t="shared" si="3"/>
        <v>17915950</v>
      </c>
      <c r="M14" s="207">
        <f t="shared" si="4"/>
        <v>19350000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</row>
    <row r="15" spans="1:26" ht="14.4">
      <c r="A15" s="654"/>
      <c r="B15" s="209" t="s">
        <v>14</v>
      </c>
      <c r="C15" s="200">
        <v>16.5</v>
      </c>
      <c r="D15" s="201"/>
      <c r="E15" s="201"/>
      <c r="F15" s="202">
        <f t="shared" si="0"/>
        <v>16.5</v>
      </c>
      <c r="G15" s="203">
        <v>84091</v>
      </c>
      <c r="H15" s="203">
        <v>85000</v>
      </c>
      <c r="I15" s="204"/>
      <c r="J15" s="205">
        <f t="shared" si="1"/>
        <v>0</v>
      </c>
      <c r="K15" s="205">
        <f t="shared" si="2"/>
        <v>0</v>
      </c>
      <c r="L15" s="205">
        <f t="shared" si="3"/>
        <v>1387501.5</v>
      </c>
      <c r="M15" s="207">
        <f t="shared" si="4"/>
        <v>1402500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</row>
    <row r="16" spans="1:26" ht="14.4">
      <c r="A16" s="654"/>
      <c r="B16" s="209" t="s">
        <v>15</v>
      </c>
      <c r="C16" s="200">
        <v>7.5</v>
      </c>
      <c r="D16" s="201"/>
      <c r="E16" s="201"/>
      <c r="F16" s="202">
        <f t="shared" si="0"/>
        <v>7.5</v>
      </c>
      <c r="G16" s="203">
        <v>38815</v>
      </c>
      <c r="H16" s="203">
        <v>44000</v>
      </c>
      <c r="I16" s="204"/>
      <c r="J16" s="205">
        <f t="shared" si="1"/>
        <v>0</v>
      </c>
      <c r="K16" s="205">
        <f t="shared" si="2"/>
        <v>0</v>
      </c>
      <c r="L16" s="205">
        <f t="shared" si="3"/>
        <v>291112.5</v>
      </c>
      <c r="M16" s="207">
        <f t="shared" si="4"/>
        <v>330000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</row>
    <row r="17" spans="1:26" ht="14.4">
      <c r="A17" s="654"/>
      <c r="B17" s="209" t="s">
        <v>134</v>
      </c>
      <c r="C17" s="200">
        <v>22</v>
      </c>
      <c r="D17" s="201"/>
      <c r="E17" s="201"/>
      <c r="F17" s="202">
        <f t="shared" si="0"/>
        <v>22</v>
      </c>
      <c r="G17" s="203">
        <v>63954</v>
      </c>
      <c r="H17" s="203">
        <v>63000</v>
      </c>
      <c r="I17" s="204"/>
      <c r="J17" s="205">
        <f t="shared" si="1"/>
        <v>0</v>
      </c>
      <c r="K17" s="205">
        <f t="shared" si="2"/>
        <v>0</v>
      </c>
      <c r="L17" s="205">
        <f t="shared" si="3"/>
        <v>1406988</v>
      </c>
      <c r="M17" s="207">
        <f t="shared" si="4"/>
        <v>1386000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</row>
    <row r="18" spans="1:26" ht="14.4">
      <c r="A18" s="654"/>
      <c r="B18" s="199" t="s">
        <v>17</v>
      </c>
      <c r="C18" s="200">
        <f>105+2</f>
        <v>107</v>
      </c>
      <c r="D18" s="201"/>
      <c r="E18" s="201"/>
      <c r="F18" s="202">
        <f t="shared" si="0"/>
        <v>107</v>
      </c>
      <c r="G18" s="210">
        <v>67488</v>
      </c>
      <c r="H18" s="210">
        <v>69000</v>
      </c>
      <c r="I18" s="204"/>
      <c r="J18" s="205">
        <f t="shared" si="1"/>
        <v>0</v>
      </c>
      <c r="K18" s="205">
        <f t="shared" si="2"/>
        <v>0</v>
      </c>
      <c r="L18" s="205">
        <f t="shared" si="3"/>
        <v>7221216</v>
      </c>
      <c r="M18" s="207">
        <f t="shared" si="4"/>
        <v>7383000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</row>
    <row r="19" spans="1:26" ht="14.4">
      <c r="A19" s="654"/>
      <c r="B19" s="211" t="s">
        <v>18</v>
      </c>
      <c r="C19" s="469">
        <f>30.5+6</f>
        <v>36.5</v>
      </c>
      <c r="D19" s="201"/>
      <c r="E19" s="201"/>
      <c r="F19" s="202">
        <f t="shared" si="0"/>
        <v>36.5</v>
      </c>
      <c r="G19" s="210">
        <v>63202</v>
      </c>
      <c r="H19" s="210">
        <v>65000</v>
      </c>
      <c r="I19" s="204"/>
      <c r="J19" s="205">
        <f t="shared" si="1"/>
        <v>0</v>
      </c>
      <c r="K19" s="205">
        <f t="shared" si="2"/>
        <v>0</v>
      </c>
      <c r="L19" s="205">
        <f t="shared" si="3"/>
        <v>2306873</v>
      </c>
      <c r="M19" s="207">
        <f t="shared" si="4"/>
        <v>2372500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</row>
    <row r="20" spans="1:26" ht="14.4">
      <c r="A20" s="654"/>
      <c r="B20" s="211" t="s">
        <v>135</v>
      </c>
      <c r="C20" s="200">
        <v>1</v>
      </c>
      <c r="D20" s="201"/>
      <c r="E20" s="201"/>
      <c r="F20" s="202">
        <f t="shared" si="0"/>
        <v>1</v>
      </c>
      <c r="G20" s="210">
        <v>63954</v>
      </c>
      <c r="H20" s="210">
        <v>63000</v>
      </c>
      <c r="I20" s="204"/>
      <c r="J20" s="205">
        <f t="shared" si="1"/>
        <v>0</v>
      </c>
      <c r="K20" s="205">
        <f t="shared" si="2"/>
        <v>0</v>
      </c>
      <c r="L20" s="205">
        <f t="shared" si="3"/>
        <v>63954</v>
      </c>
      <c r="M20" s="207">
        <f t="shared" si="4"/>
        <v>63000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</row>
    <row r="21" spans="1:26" ht="14.4">
      <c r="A21" s="654"/>
      <c r="B21" s="211" t="s">
        <v>691</v>
      </c>
      <c r="C21" s="200">
        <v>5</v>
      </c>
      <c r="D21" s="201"/>
      <c r="E21" s="201"/>
      <c r="F21" s="202">
        <f t="shared" si="0"/>
        <v>5</v>
      </c>
      <c r="G21" s="212">
        <v>60453</v>
      </c>
      <c r="H21" s="212">
        <v>62000</v>
      </c>
      <c r="I21" s="213"/>
      <c r="J21" s="205">
        <f t="shared" si="1"/>
        <v>0</v>
      </c>
      <c r="K21" s="205">
        <f t="shared" si="2"/>
        <v>0</v>
      </c>
      <c r="L21" s="205">
        <f t="shared" si="3"/>
        <v>302265</v>
      </c>
      <c r="M21" s="214">
        <f t="shared" si="4"/>
        <v>310000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</row>
    <row r="22" spans="1:26" ht="14.4">
      <c r="A22" s="655"/>
      <c r="B22" s="215"/>
      <c r="C22" s="216">
        <f t="shared" ref="C22:F22" si="5">+SUM(C3:C18)</f>
        <v>1104</v>
      </c>
      <c r="D22" s="216">
        <f t="shared" si="5"/>
        <v>0</v>
      </c>
      <c r="E22" s="216">
        <f t="shared" si="5"/>
        <v>0</v>
      </c>
      <c r="F22" s="216">
        <f t="shared" si="5"/>
        <v>1104</v>
      </c>
      <c r="G22" s="217">
        <f t="shared" ref="G22:M22" si="6">SUM(G3:G21)</f>
        <v>1195413</v>
      </c>
      <c r="H22" s="217">
        <f t="shared" si="6"/>
        <v>1224000</v>
      </c>
      <c r="I22" s="218">
        <f t="shared" si="6"/>
        <v>0</v>
      </c>
      <c r="J22" s="219">
        <f t="shared" si="6"/>
        <v>0</v>
      </c>
      <c r="K22" s="220">
        <f t="shared" si="6"/>
        <v>0</v>
      </c>
      <c r="L22" s="220">
        <f t="shared" si="6"/>
        <v>67505117</v>
      </c>
      <c r="M22" s="221">
        <f t="shared" si="6"/>
        <v>69921000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</row>
    <row r="23" spans="1:26" ht="14.4">
      <c r="A23" s="683" t="s">
        <v>137</v>
      </c>
      <c r="B23" s="222" t="s">
        <v>138</v>
      </c>
      <c r="C23" s="223"/>
      <c r="D23" s="201"/>
      <c r="E23" s="201"/>
      <c r="F23" s="202">
        <f t="shared" ref="F23:F35" si="7">+C23+D23-E23</f>
        <v>0</v>
      </c>
      <c r="G23" s="203">
        <v>43252</v>
      </c>
      <c r="H23" s="203">
        <v>44000</v>
      </c>
      <c r="I23" s="224"/>
      <c r="J23" s="205">
        <f t="shared" ref="J23:J54" si="8">+I23*H23</f>
        <v>0</v>
      </c>
      <c r="K23" s="205">
        <f t="shared" ref="K23:K54" si="9">+(H23-G23)*I23</f>
        <v>0</v>
      </c>
      <c r="L23" s="225">
        <f t="shared" ref="L23:L54" si="10">+G23*F23</f>
        <v>0</v>
      </c>
      <c r="M23" s="226">
        <f t="shared" ref="M23:M54" si="11">F23*H23</f>
        <v>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</row>
    <row r="24" spans="1:26" ht="14.4">
      <c r="A24" s="684"/>
      <c r="B24" s="222" t="s">
        <v>21</v>
      </c>
      <c r="C24" s="227">
        <f>176.5+4.5+1</f>
        <v>182</v>
      </c>
      <c r="D24" s="201"/>
      <c r="E24" s="201"/>
      <c r="F24" s="202">
        <f t="shared" si="7"/>
        <v>182</v>
      </c>
      <c r="G24" s="203">
        <v>62000</v>
      </c>
      <c r="H24" s="203">
        <v>67000</v>
      </c>
      <c r="I24" s="224"/>
      <c r="J24" s="205">
        <f t="shared" si="8"/>
        <v>0</v>
      </c>
      <c r="K24" s="205">
        <f t="shared" si="9"/>
        <v>0</v>
      </c>
      <c r="L24" s="225">
        <f t="shared" si="10"/>
        <v>11284000</v>
      </c>
      <c r="M24" s="226">
        <f t="shared" si="11"/>
        <v>12194000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</row>
    <row r="25" spans="1:26" ht="14.4">
      <c r="A25" s="684"/>
      <c r="B25" s="222" t="s">
        <v>139</v>
      </c>
      <c r="C25" s="227">
        <v>4</v>
      </c>
      <c r="D25" s="201"/>
      <c r="E25" s="201"/>
      <c r="F25" s="202">
        <f t="shared" si="7"/>
        <v>4</v>
      </c>
      <c r="G25" s="203">
        <v>41000</v>
      </c>
      <c r="H25" s="203">
        <v>44000</v>
      </c>
      <c r="I25" s="224"/>
      <c r="J25" s="205">
        <f t="shared" si="8"/>
        <v>0</v>
      </c>
      <c r="K25" s="205">
        <f t="shared" si="9"/>
        <v>0</v>
      </c>
      <c r="L25" s="225">
        <f t="shared" si="10"/>
        <v>164000</v>
      </c>
      <c r="M25" s="226">
        <f t="shared" si="11"/>
        <v>176000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26" ht="14.4">
      <c r="A26" s="684"/>
      <c r="B26" s="222" t="s">
        <v>140</v>
      </c>
      <c r="C26" s="227">
        <v>1</v>
      </c>
      <c r="D26" s="201"/>
      <c r="E26" s="201"/>
      <c r="F26" s="202">
        <f t="shared" si="7"/>
        <v>1</v>
      </c>
      <c r="G26" s="203">
        <v>53523</v>
      </c>
      <c r="H26" s="203">
        <v>50000</v>
      </c>
      <c r="I26" s="224"/>
      <c r="J26" s="205">
        <f t="shared" si="8"/>
        <v>0</v>
      </c>
      <c r="K26" s="205">
        <f t="shared" si="9"/>
        <v>0</v>
      </c>
      <c r="L26" s="225">
        <f t="shared" si="10"/>
        <v>53523</v>
      </c>
      <c r="M26" s="226">
        <f t="shared" si="11"/>
        <v>50000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t="14.4">
      <c r="A27" s="684"/>
      <c r="B27" s="222" t="s">
        <v>141</v>
      </c>
      <c r="C27" s="227">
        <f>7+2.5</f>
        <v>9.5</v>
      </c>
      <c r="D27" s="201"/>
      <c r="E27" s="201"/>
      <c r="F27" s="202">
        <f t="shared" si="7"/>
        <v>9.5</v>
      </c>
      <c r="G27" s="203">
        <v>39714</v>
      </c>
      <c r="H27" s="203">
        <v>42000</v>
      </c>
      <c r="I27" s="224"/>
      <c r="J27" s="205">
        <f t="shared" si="8"/>
        <v>0</v>
      </c>
      <c r="K27" s="205">
        <f t="shared" si="9"/>
        <v>0</v>
      </c>
      <c r="L27" s="225">
        <f t="shared" si="10"/>
        <v>377283</v>
      </c>
      <c r="M27" s="226">
        <f t="shared" si="11"/>
        <v>399000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</row>
    <row r="28" spans="1:26" ht="14.4">
      <c r="A28" s="684"/>
      <c r="B28" s="222" t="s">
        <v>142</v>
      </c>
      <c r="C28" s="227">
        <v>4</v>
      </c>
      <c r="D28" s="201"/>
      <c r="E28" s="201"/>
      <c r="F28" s="202">
        <f t="shared" si="7"/>
        <v>4</v>
      </c>
      <c r="G28" s="203">
        <v>80900</v>
      </c>
      <c r="H28" s="203">
        <v>84000</v>
      </c>
      <c r="I28" s="224"/>
      <c r="J28" s="205">
        <f t="shared" si="8"/>
        <v>0</v>
      </c>
      <c r="K28" s="205">
        <f t="shared" si="9"/>
        <v>0</v>
      </c>
      <c r="L28" s="225">
        <f t="shared" si="10"/>
        <v>323600</v>
      </c>
      <c r="M28" s="226">
        <f t="shared" si="11"/>
        <v>336000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</row>
    <row r="29" spans="1:26" ht="14.4">
      <c r="A29" s="684"/>
      <c r="B29" s="222" t="s">
        <v>143</v>
      </c>
      <c r="C29" s="227">
        <v>7.75</v>
      </c>
      <c r="D29" s="201"/>
      <c r="E29" s="201"/>
      <c r="F29" s="202">
        <f t="shared" si="7"/>
        <v>7.75</v>
      </c>
      <c r="G29" s="203">
        <v>71369</v>
      </c>
      <c r="H29" s="203">
        <v>73000</v>
      </c>
      <c r="I29" s="224"/>
      <c r="J29" s="205">
        <f t="shared" si="8"/>
        <v>0</v>
      </c>
      <c r="K29" s="205">
        <f t="shared" si="9"/>
        <v>0</v>
      </c>
      <c r="L29" s="225">
        <f t="shared" si="10"/>
        <v>553109.75</v>
      </c>
      <c r="M29" s="226">
        <f t="shared" si="11"/>
        <v>565750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</row>
    <row r="30" spans="1:26" ht="14.4">
      <c r="A30" s="684"/>
      <c r="B30" s="222" t="s">
        <v>144</v>
      </c>
      <c r="C30" s="227">
        <v>75</v>
      </c>
      <c r="D30" s="201"/>
      <c r="E30" s="201"/>
      <c r="F30" s="202">
        <f t="shared" si="7"/>
        <v>75</v>
      </c>
      <c r="G30" s="203">
        <v>47000</v>
      </c>
      <c r="H30" s="203">
        <v>53000</v>
      </c>
      <c r="I30" s="224"/>
      <c r="J30" s="205">
        <f t="shared" si="8"/>
        <v>0</v>
      </c>
      <c r="K30" s="205">
        <f t="shared" si="9"/>
        <v>0</v>
      </c>
      <c r="L30" s="225">
        <f t="shared" si="10"/>
        <v>3525000</v>
      </c>
      <c r="M30" s="226">
        <f t="shared" si="11"/>
        <v>3975000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</row>
    <row r="31" spans="1:26" ht="14.4">
      <c r="A31" s="684"/>
      <c r="B31" s="222" t="s">
        <v>145</v>
      </c>
      <c r="C31" s="227"/>
      <c r="D31" s="201"/>
      <c r="E31" s="201"/>
      <c r="F31" s="202">
        <f t="shared" si="7"/>
        <v>0</v>
      </c>
      <c r="G31" s="203">
        <v>51536</v>
      </c>
      <c r="H31" s="203">
        <v>53000</v>
      </c>
      <c r="I31" s="224"/>
      <c r="J31" s="205">
        <f t="shared" si="8"/>
        <v>0</v>
      </c>
      <c r="K31" s="205">
        <f t="shared" si="9"/>
        <v>0</v>
      </c>
      <c r="L31" s="225">
        <f t="shared" si="10"/>
        <v>0</v>
      </c>
      <c r="M31" s="226">
        <f t="shared" si="11"/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</row>
    <row r="32" spans="1:26" ht="14.4">
      <c r="A32" s="684"/>
      <c r="B32" s="222" t="s">
        <v>146</v>
      </c>
      <c r="C32" s="227"/>
      <c r="D32" s="201"/>
      <c r="E32" s="201"/>
      <c r="F32" s="202">
        <f t="shared" si="7"/>
        <v>0</v>
      </c>
      <c r="G32" s="203">
        <v>71369</v>
      </c>
      <c r="H32" s="203">
        <v>73000</v>
      </c>
      <c r="I32" s="224"/>
      <c r="J32" s="205">
        <f t="shared" si="8"/>
        <v>0</v>
      </c>
      <c r="K32" s="205">
        <f t="shared" si="9"/>
        <v>0</v>
      </c>
      <c r="L32" s="225">
        <f t="shared" si="10"/>
        <v>0</v>
      </c>
      <c r="M32" s="226">
        <f t="shared" si="11"/>
        <v>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</row>
    <row r="33" spans="1:26" ht="14.4">
      <c r="A33" s="684"/>
      <c r="B33" s="228" t="s">
        <v>692</v>
      </c>
      <c r="C33" s="229">
        <v>1.5</v>
      </c>
      <c r="D33" s="201"/>
      <c r="E33" s="201"/>
      <c r="F33" s="202">
        <f t="shared" si="7"/>
        <v>1.5</v>
      </c>
      <c r="G33" s="203">
        <v>52000</v>
      </c>
      <c r="H33" s="203">
        <v>73000</v>
      </c>
      <c r="I33" s="224"/>
      <c r="J33" s="205">
        <f t="shared" si="8"/>
        <v>0</v>
      </c>
      <c r="K33" s="205">
        <f t="shared" si="9"/>
        <v>0</v>
      </c>
      <c r="L33" s="225">
        <f t="shared" si="10"/>
        <v>78000</v>
      </c>
      <c r="M33" s="226">
        <f t="shared" si="11"/>
        <v>109500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</row>
    <row r="34" spans="1:26" ht="14.4">
      <c r="A34" s="684"/>
      <c r="B34" s="222" t="s">
        <v>148</v>
      </c>
      <c r="C34" s="229">
        <v>2.75</v>
      </c>
      <c r="D34" s="201"/>
      <c r="E34" s="201"/>
      <c r="F34" s="202">
        <f t="shared" si="7"/>
        <v>2.75</v>
      </c>
      <c r="G34" s="203">
        <v>71369</v>
      </c>
      <c r="H34" s="203">
        <v>73000</v>
      </c>
      <c r="I34" s="224"/>
      <c r="J34" s="205">
        <f t="shared" si="8"/>
        <v>0</v>
      </c>
      <c r="K34" s="205">
        <f t="shared" si="9"/>
        <v>0</v>
      </c>
      <c r="L34" s="225">
        <f t="shared" si="10"/>
        <v>196264.75</v>
      </c>
      <c r="M34" s="226">
        <f t="shared" si="11"/>
        <v>200750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</row>
    <row r="35" spans="1:26" ht="14.4">
      <c r="A35" s="684"/>
      <c r="B35" s="222" t="s">
        <v>149</v>
      </c>
      <c r="C35" s="229">
        <v>17</v>
      </c>
      <c r="D35" s="201"/>
      <c r="E35" s="201"/>
      <c r="F35" s="202">
        <f t="shared" si="7"/>
        <v>17</v>
      </c>
      <c r="G35" s="203">
        <v>25500</v>
      </c>
      <c r="H35" s="203">
        <v>26000</v>
      </c>
      <c r="I35" s="224"/>
      <c r="J35" s="205">
        <f t="shared" si="8"/>
        <v>0</v>
      </c>
      <c r="K35" s="205">
        <f t="shared" si="9"/>
        <v>0</v>
      </c>
      <c r="L35" s="225">
        <f t="shared" si="10"/>
        <v>433500</v>
      </c>
      <c r="M35" s="226">
        <f t="shared" si="11"/>
        <v>442000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</row>
    <row r="36" spans="1:26" ht="14.4">
      <c r="A36" s="684"/>
      <c r="B36" s="222" t="s">
        <v>150</v>
      </c>
      <c r="C36" s="227">
        <v>0.75</v>
      </c>
      <c r="D36" s="201"/>
      <c r="E36" s="201"/>
      <c r="F36" s="202">
        <f>+C36+D36-E38</f>
        <v>0.75</v>
      </c>
      <c r="G36" s="203">
        <v>44000</v>
      </c>
      <c r="H36" s="203">
        <v>50000</v>
      </c>
      <c r="I36" s="224"/>
      <c r="J36" s="205">
        <f t="shared" si="8"/>
        <v>0</v>
      </c>
      <c r="K36" s="205">
        <f t="shared" si="9"/>
        <v>0</v>
      </c>
      <c r="L36" s="225">
        <f t="shared" si="10"/>
        <v>33000</v>
      </c>
      <c r="M36" s="226">
        <f t="shared" si="11"/>
        <v>37500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</row>
    <row r="37" spans="1:26" ht="14.4">
      <c r="A37" s="684"/>
      <c r="B37" s="222" t="s">
        <v>151</v>
      </c>
      <c r="C37" s="227">
        <v>5</v>
      </c>
      <c r="D37" s="201"/>
      <c r="E37" s="201"/>
      <c r="F37" s="202">
        <f t="shared" ref="F37:F54" si="12">+C37+D37-E37</f>
        <v>5</v>
      </c>
      <c r="G37" s="203">
        <v>34500</v>
      </c>
      <c r="H37" s="203">
        <v>36000</v>
      </c>
      <c r="I37" s="224"/>
      <c r="J37" s="205">
        <f t="shared" si="8"/>
        <v>0</v>
      </c>
      <c r="K37" s="205">
        <f t="shared" si="9"/>
        <v>0</v>
      </c>
      <c r="L37" s="225">
        <f t="shared" si="10"/>
        <v>172500</v>
      </c>
      <c r="M37" s="226">
        <f t="shared" si="11"/>
        <v>180000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</row>
    <row r="38" spans="1:26" ht="14.4">
      <c r="A38" s="684"/>
      <c r="B38" s="222" t="s">
        <v>152</v>
      </c>
      <c r="C38" s="227">
        <f>43.5+1.5</f>
        <v>45</v>
      </c>
      <c r="D38" s="201"/>
      <c r="E38" s="201"/>
      <c r="F38" s="202">
        <f t="shared" si="12"/>
        <v>45</v>
      </c>
      <c r="G38" s="203">
        <v>79000</v>
      </c>
      <c r="H38" s="203">
        <v>88000</v>
      </c>
      <c r="I38" s="224"/>
      <c r="J38" s="205">
        <f t="shared" si="8"/>
        <v>0</v>
      </c>
      <c r="K38" s="205">
        <f t="shared" si="9"/>
        <v>0</v>
      </c>
      <c r="L38" s="225">
        <f t="shared" si="10"/>
        <v>3555000</v>
      </c>
      <c r="M38" s="226">
        <f t="shared" si="11"/>
        <v>3960000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 spans="1:26" ht="14.4">
      <c r="A39" s="684"/>
      <c r="B39" s="222" t="s">
        <v>153</v>
      </c>
      <c r="C39" s="227">
        <v>6.5</v>
      </c>
      <c r="D39" s="201"/>
      <c r="E39" s="201"/>
      <c r="F39" s="202">
        <f t="shared" si="12"/>
        <v>6.5</v>
      </c>
      <c r="G39" s="203">
        <v>82280</v>
      </c>
      <c r="H39" s="203">
        <v>86000</v>
      </c>
      <c r="I39" s="224"/>
      <c r="J39" s="205">
        <f t="shared" si="8"/>
        <v>0</v>
      </c>
      <c r="K39" s="205">
        <f t="shared" si="9"/>
        <v>0</v>
      </c>
      <c r="L39" s="225">
        <f t="shared" si="10"/>
        <v>534820</v>
      </c>
      <c r="M39" s="226">
        <f t="shared" si="11"/>
        <v>559000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</row>
    <row r="40" spans="1:26" ht="14.4">
      <c r="A40" s="684"/>
      <c r="B40" s="222" t="s">
        <v>154</v>
      </c>
      <c r="C40" s="227">
        <v>10.75</v>
      </c>
      <c r="D40" s="201"/>
      <c r="E40" s="201"/>
      <c r="F40" s="202">
        <f t="shared" si="12"/>
        <v>10.75</v>
      </c>
      <c r="G40" s="203">
        <v>59000</v>
      </c>
      <c r="H40" s="203">
        <v>64000</v>
      </c>
      <c r="I40" s="224"/>
      <c r="J40" s="205">
        <f t="shared" si="8"/>
        <v>0</v>
      </c>
      <c r="K40" s="205">
        <f t="shared" si="9"/>
        <v>0</v>
      </c>
      <c r="L40" s="225">
        <f t="shared" si="10"/>
        <v>634250</v>
      </c>
      <c r="M40" s="226">
        <f t="shared" si="11"/>
        <v>688000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 spans="1:26" ht="14.4">
      <c r="A41" s="684"/>
      <c r="B41" s="222" t="s">
        <v>155</v>
      </c>
      <c r="C41" s="227"/>
      <c r="D41" s="201"/>
      <c r="E41" s="201"/>
      <c r="F41" s="202">
        <f t="shared" si="12"/>
        <v>0</v>
      </c>
      <c r="G41" s="203">
        <v>25555</v>
      </c>
      <c r="H41" s="203">
        <v>27000</v>
      </c>
      <c r="I41" s="224"/>
      <c r="J41" s="205">
        <f t="shared" si="8"/>
        <v>0</v>
      </c>
      <c r="K41" s="205">
        <f t="shared" si="9"/>
        <v>0</v>
      </c>
      <c r="L41" s="225">
        <f t="shared" si="10"/>
        <v>0</v>
      </c>
      <c r="M41" s="226">
        <f t="shared" si="11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</row>
    <row r="42" spans="1:26" ht="14.4">
      <c r="A42" s="684"/>
      <c r="B42" s="222" t="s">
        <v>22</v>
      </c>
      <c r="C42" s="227">
        <v>150.5</v>
      </c>
      <c r="D42" s="201"/>
      <c r="E42" s="201"/>
      <c r="F42" s="202">
        <f t="shared" si="12"/>
        <v>150.5</v>
      </c>
      <c r="G42" s="203">
        <v>62000</v>
      </c>
      <c r="H42" s="203">
        <v>66000</v>
      </c>
      <c r="I42" s="224"/>
      <c r="J42" s="205">
        <f t="shared" si="8"/>
        <v>0</v>
      </c>
      <c r="K42" s="205">
        <f t="shared" si="9"/>
        <v>0</v>
      </c>
      <c r="L42" s="225">
        <f t="shared" si="10"/>
        <v>9331000</v>
      </c>
      <c r="M42" s="226">
        <f t="shared" si="11"/>
        <v>9933000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 spans="1:26" ht="14.4">
      <c r="A43" s="684"/>
      <c r="B43" s="222" t="s">
        <v>23</v>
      </c>
      <c r="C43" s="227">
        <v>138</v>
      </c>
      <c r="D43" s="201"/>
      <c r="E43" s="201"/>
      <c r="F43" s="202">
        <f t="shared" si="12"/>
        <v>138</v>
      </c>
      <c r="G43" s="203">
        <v>42000</v>
      </c>
      <c r="H43" s="203">
        <v>48000</v>
      </c>
      <c r="I43" s="224"/>
      <c r="J43" s="205">
        <f t="shared" si="8"/>
        <v>0</v>
      </c>
      <c r="K43" s="205">
        <f t="shared" si="9"/>
        <v>0</v>
      </c>
      <c r="L43" s="225">
        <f t="shared" si="10"/>
        <v>5796000</v>
      </c>
      <c r="M43" s="226">
        <f t="shared" si="11"/>
        <v>6624000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</row>
    <row r="44" spans="1:26" ht="14.4">
      <c r="A44" s="684"/>
      <c r="B44" s="222" t="s">
        <v>156</v>
      </c>
      <c r="C44" s="227">
        <v>165.25</v>
      </c>
      <c r="D44" s="201"/>
      <c r="E44" s="201"/>
      <c r="F44" s="202">
        <f t="shared" si="12"/>
        <v>165.25</v>
      </c>
      <c r="G44" s="203">
        <v>37084</v>
      </c>
      <c r="H44" s="203">
        <v>40000</v>
      </c>
      <c r="I44" s="224"/>
      <c r="J44" s="205">
        <f t="shared" si="8"/>
        <v>0</v>
      </c>
      <c r="K44" s="205">
        <f t="shared" si="9"/>
        <v>0</v>
      </c>
      <c r="L44" s="225">
        <f t="shared" si="10"/>
        <v>6128131</v>
      </c>
      <c r="M44" s="226">
        <f t="shared" si="11"/>
        <v>6610000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</row>
    <row r="45" spans="1:26" ht="14.4">
      <c r="A45" s="684"/>
      <c r="B45" s="230" t="s">
        <v>157</v>
      </c>
      <c r="C45" s="229"/>
      <c r="D45" s="201"/>
      <c r="E45" s="201"/>
      <c r="F45" s="202">
        <f t="shared" si="12"/>
        <v>0</v>
      </c>
      <c r="G45" s="203">
        <v>29750</v>
      </c>
      <c r="H45" s="203">
        <v>31500</v>
      </c>
      <c r="I45" s="224"/>
      <c r="J45" s="205">
        <f t="shared" si="8"/>
        <v>0</v>
      </c>
      <c r="K45" s="205">
        <f t="shared" si="9"/>
        <v>0</v>
      </c>
      <c r="L45" s="225">
        <f t="shared" si="10"/>
        <v>0</v>
      </c>
      <c r="M45" s="226">
        <f t="shared" si="11"/>
        <v>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</row>
    <row r="46" spans="1:26" ht="14.4">
      <c r="A46" s="684"/>
      <c r="B46" s="231" t="s">
        <v>158</v>
      </c>
      <c r="C46" s="232">
        <v>109</v>
      </c>
      <c r="D46" s="233"/>
      <c r="E46" s="233"/>
      <c r="F46" s="234">
        <f t="shared" si="12"/>
        <v>109</v>
      </c>
      <c r="G46" s="235">
        <v>6200</v>
      </c>
      <c r="H46" s="235">
        <v>7000</v>
      </c>
      <c r="I46" s="224"/>
      <c r="J46" s="205">
        <f t="shared" si="8"/>
        <v>0</v>
      </c>
      <c r="K46" s="205">
        <f t="shared" si="9"/>
        <v>0</v>
      </c>
      <c r="L46" s="225">
        <f t="shared" si="10"/>
        <v>675800</v>
      </c>
      <c r="M46" s="226">
        <f t="shared" si="11"/>
        <v>763000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</row>
    <row r="47" spans="1:26" ht="14.4">
      <c r="A47" s="684"/>
      <c r="B47" s="231" t="s">
        <v>159</v>
      </c>
      <c r="C47" s="232">
        <v>41</v>
      </c>
      <c r="D47" s="233"/>
      <c r="E47" s="233"/>
      <c r="F47" s="234">
        <f t="shared" si="12"/>
        <v>41</v>
      </c>
      <c r="G47" s="235">
        <v>3333</v>
      </c>
      <c r="H47" s="235">
        <v>3600</v>
      </c>
      <c r="I47" s="224"/>
      <c r="J47" s="205">
        <f t="shared" si="8"/>
        <v>0</v>
      </c>
      <c r="K47" s="205">
        <f t="shared" si="9"/>
        <v>0</v>
      </c>
      <c r="L47" s="225">
        <f t="shared" si="10"/>
        <v>136653</v>
      </c>
      <c r="M47" s="226">
        <f t="shared" si="11"/>
        <v>147600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</row>
    <row r="48" spans="1:26" ht="14.4">
      <c r="A48" s="684"/>
      <c r="B48" s="230" t="s">
        <v>160</v>
      </c>
      <c r="C48" s="236"/>
      <c r="D48" s="233"/>
      <c r="E48" s="233"/>
      <c r="F48" s="234">
        <f t="shared" si="12"/>
        <v>0</v>
      </c>
      <c r="G48" s="235">
        <v>39000</v>
      </c>
      <c r="H48" s="235">
        <v>44000</v>
      </c>
      <c r="I48" s="224"/>
      <c r="J48" s="205">
        <f t="shared" si="8"/>
        <v>0</v>
      </c>
      <c r="K48" s="205">
        <f t="shared" si="9"/>
        <v>0</v>
      </c>
      <c r="L48" s="225">
        <f t="shared" si="10"/>
        <v>0</v>
      </c>
      <c r="M48" s="226">
        <f t="shared" si="11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spans="1:26" ht="14.4">
      <c r="A49" s="684"/>
      <c r="B49" s="222" t="s">
        <v>161</v>
      </c>
      <c r="C49" s="232">
        <v>6.25</v>
      </c>
      <c r="D49" s="233"/>
      <c r="E49" s="233"/>
      <c r="F49" s="234">
        <f t="shared" si="12"/>
        <v>6.25</v>
      </c>
      <c r="G49" s="235">
        <v>65000</v>
      </c>
      <c r="H49" s="235">
        <v>70000</v>
      </c>
      <c r="I49" s="224"/>
      <c r="J49" s="205">
        <f t="shared" si="8"/>
        <v>0</v>
      </c>
      <c r="K49" s="205">
        <f t="shared" si="9"/>
        <v>0</v>
      </c>
      <c r="L49" s="225">
        <f t="shared" si="10"/>
        <v>406250</v>
      </c>
      <c r="M49" s="226">
        <f t="shared" si="11"/>
        <v>437500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spans="1:26" ht="14.4">
      <c r="A50" s="684"/>
      <c r="B50" s="228" t="s">
        <v>162</v>
      </c>
      <c r="C50" s="232">
        <v>63</v>
      </c>
      <c r="D50" s="233"/>
      <c r="E50" s="237"/>
      <c r="F50" s="234">
        <f t="shared" si="12"/>
        <v>63</v>
      </c>
      <c r="G50" s="235">
        <v>2500</v>
      </c>
      <c r="H50" s="235">
        <v>3000</v>
      </c>
      <c r="I50" s="224"/>
      <c r="J50" s="205">
        <f t="shared" si="8"/>
        <v>0</v>
      </c>
      <c r="K50" s="205">
        <f t="shared" si="9"/>
        <v>0</v>
      </c>
      <c r="L50" s="225">
        <f t="shared" si="10"/>
        <v>157500</v>
      </c>
      <c r="M50" s="226">
        <f t="shared" si="11"/>
        <v>189000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spans="1:26" ht="14.4">
      <c r="A51" s="684"/>
      <c r="B51" s="228" t="s">
        <v>163</v>
      </c>
      <c r="C51" s="232">
        <v>7.25</v>
      </c>
      <c r="D51" s="233"/>
      <c r="E51" s="237"/>
      <c r="F51" s="234">
        <f t="shared" si="12"/>
        <v>7.25</v>
      </c>
      <c r="G51" s="235">
        <v>50000</v>
      </c>
      <c r="H51" s="235">
        <v>12500</v>
      </c>
      <c r="I51" s="204"/>
      <c r="J51" s="205">
        <f t="shared" si="8"/>
        <v>0</v>
      </c>
      <c r="K51" s="205">
        <f t="shared" si="9"/>
        <v>0</v>
      </c>
      <c r="L51" s="225">
        <f t="shared" si="10"/>
        <v>362500</v>
      </c>
      <c r="M51" s="226">
        <f t="shared" si="11"/>
        <v>90625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spans="1:26" ht="14.4">
      <c r="A52" s="684"/>
      <c r="B52" s="222" t="s">
        <v>164</v>
      </c>
      <c r="C52" s="232">
        <v>0.5</v>
      </c>
      <c r="D52" s="233"/>
      <c r="E52" s="237"/>
      <c r="F52" s="234">
        <f t="shared" si="12"/>
        <v>0.5</v>
      </c>
      <c r="G52" s="235">
        <v>78640</v>
      </c>
      <c r="H52" s="235">
        <v>7000</v>
      </c>
      <c r="I52" s="224"/>
      <c r="J52" s="205">
        <f t="shared" si="8"/>
        <v>0</v>
      </c>
      <c r="K52" s="205">
        <f t="shared" si="9"/>
        <v>0</v>
      </c>
      <c r="L52" s="225">
        <f t="shared" si="10"/>
        <v>39320</v>
      </c>
      <c r="M52" s="226">
        <f t="shared" si="11"/>
        <v>3500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spans="1:26" ht="14.4">
      <c r="A53" s="684"/>
      <c r="B53" s="222" t="s">
        <v>165</v>
      </c>
      <c r="C53" s="232">
        <f>88.5+4.75+1</f>
        <v>94.25</v>
      </c>
      <c r="D53" s="233"/>
      <c r="E53" s="237"/>
      <c r="F53" s="234">
        <f t="shared" si="12"/>
        <v>94.25</v>
      </c>
      <c r="G53" s="235">
        <v>62000</v>
      </c>
      <c r="H53" s="235">
        <v>67000</v>
      </c>
      <c r="I53" s="224"/>
      <c r="J53" s="205">
        <f t="shared" si="8"/>
        <v>0</v>
      </c>
      <c r="K53" s="205">
        <f t="shared" si="9"/>
        <v>0</v>
      </c>
      <c r="L53" s="225">
        <f t="shared" si="10"/>
        <v>5843500</v>
      </c>
      <c r="M53" s="226">
        <f t="shared" si="11"/>
        <v>6314750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</row>
    <row r="54" spans="1:26" ht="14.4">
      <c r="A54" s="684"/>
      <c r="B54" s="230" t="s">
        <v>166</v>
      </c>
      <c r="C54" s="232">
        <v>11.25</v>
      </c>
      <c r="D54" s="233"/>
      <c r="E54" s="233"/>
      <c r="F54" s="234">
        <f t="shared" si="12"/>
        <v>11.25</v>
      </c>
      <c r="G54" s="235">
        <v>66987</v>
      </c>
      <c r="H54" s="235">
        <v>68000</v>
      </c>
      <c r="I54" s="224"/>
      <c r="J54" s="205">
        <f t="shared" si="8"/>
        <v>0</v>
      </c>
      <c r="K54" s="205">
        <f t="shared" si="9"/>
        <v>0</v>
      </c>
      <c r="L54" s="225">
        <f t="shared" si="10"/>
        <v>753603.75</v>
      </c>
      <c r="M54" s="226">
        <f t="shared" si="11"/>
        <v>765000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</row>
    <row r="55" spans="1:26" ht="14.4">
      <c r="A55" s="684"/>
      <c r="B55" s="230" t="s">
        <v>693</v>
      </c>
      <c r="C55" s="232">
        <v>4.5</v>
      </c>
      <c r="D55" s="233"/>
      <c r="E55" s="233"/>
      <c r="F55" s="234"/>
      <c r="G55" s="235"/>
      <c r="H55" s="235"/>
      <c r="I55" s="224"/>
      <c r="J55" s="205"/>
      <c r="K55" s="205"/>
      <c r="L55" s="225"/>
      <c r="M55" s="470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</row>
    <row r="56" spans="1:26" ht="14.4">
      <c r="A56" s="684"/>
      <c r="B56" s="230" t="s">
        <v>167</v>
      </c>
      <c r="C56" s="238">
        <v>23</v>
      </c>
      <c r="D56" s="201"/>
      <c r="E56" s="201"/>
      <c r="F56" s="202">
        <f t="shared" ref="F56:F60" si="13">+C56+D56-E56</f>
        <v>23</v>
      </c>
      <c r="G56" s="203">
        <v>80640</v>
      </c>
      <c r="H56" s="203">
        <v>86000</v>
      </c>
      <c r="I56" s="224"/>
      <c r="J56" s="205">
        <f t="shared" ref="J56:J60" si="14">+I56*H56</f>
        <v>0</v>
      </c>
      <c r="K56" s="205">
        <f t="shared" ref="K56:K60" si="15">+(H56-G56)*I56</f>
        <v>0</v>
      </c>
      <c r="L56" s="225">
        <f t="shared" ref="L56:L60" si="16">+G56*F56</f>
        <v>1854720</v>
      </c>
      <c r="M56" s="226">
        <f t="shared" ref="M56:M60" si="17">F56*H56</f>
        <v>1978000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</row>
    <row r="57" spans="1:26" ht="14.4">
      <c r="A57" s="684"/>
      <c r="B57" s="228" t="s">
        <v>168</v>
      </c>
      <c r="C57" s="227">
        <v>7.5</v>
      </c>
      <c r="D57" s="201"/>
      <c r="E57" s="201"/>
      <c r="F57" s="202">
        <f t="shared" si="13"/>
        <v>7.5</v>
      </c>
      <c r="G57" s="203">
        <v>68568</v>
      </c>
      <c r="H57" s="203">
        <v>72000</v>
      </c>
      <c r="I57" s="224"/>
      <c r="J57" s="205">
        <f t="shared" si="14"/>
        <v>0</v>
      </c>
      <c r="K57" s="205">
        <f t="shared" si="15"/>
        <v>0</v>
      </c>
      <c r="L57" s="225">
        <f t="shared" si="16"/>
        <v>514260</v>
      </c>
      <c r="M57" s="226">
        <f t="shared" si="17"/>
        <v>540000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</row>
    <row r="58" spans="1:26" ht="14.4">
      <c r="A58" s="684"/>
      <c r="B58" s="231" t="s">
        <v>169</v>
      </c>
      <c r="C58" s="227" t="s">
        <v>694</v>
      </c>
      <c r="D58" s="201"/>
      <c r="E58" s="201"/>
      <c r="F58" s="202">
        <f t="shared" si="13"/>
        <v>0.75</v>
      </c>
      <c r="G58" s="203">
        <v>78640</v>
      </c>
      <c r="H58" s="203">
        <v>82000</v>
      </c>
      <c r="I58" s="224"/>
      <c r="J58" s="205">
        <f t="shared" si="14"/>
        <v>0</v>
      </c>
      <c r="K58" s="205">
        <f t="shared" si="15"/>
        <v>0</v>
      </c>
      <c r="L58" s="225">
        <f t="shared" si="16"/>
        <v>58980</v>
      </c>
      <c r="M58" s="470">
        <f t="shared" si="17"/>
        <v>61500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</row>
    <row r="59" spans="1:26" ht="14.4">
      <c r="A59" s="684"/>
      <c r="B59" s="231" t="s">
        <v>170</v>
      </c>
      <c r="C59" s="227">
        <v>0.5</v>
      </c>
      <c r="D59" s="201"/>
      <c r="E59" s="201"/>
      <c r="F59" s="202">
        <f t="shared" si="13"/>
        <v>0.5</v>
      </c>
      <c r="G59" s="203">
        <v>78640</v>
      </c>
      <c r="H59" s="203">
        <v>82000</v>
      </c>
      <c r="I59" s="224"/>
      <c r="J59" s="205">
        <f t="shared" si="14"/>
        <v>0</v>
      </c>
      <c r="K59" s="205">
        <f t="shared" si="15"/>
        <v>0</v>
      </c>
      <c r="L59" s="225">
        <f t="shared" si="16"/>
        <v>39320</v>
      </c>
      <c r="M59" s="226">
        <f t="shared" si="17"/>
        <v>41000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</row>
    <row r="60" spans="1:26" ht="14.4">
      <c r="A60" s="684"/>
      <c r="B60" s="231" t="s">
        <v>171</v>
      </c>
      <c r="C60" s="227">
        <v>2.75</v>
      </c>
      <c r="D60" s="201"/>
      <c r="E60" s="201"/>
      <c r="F60" s="202">
        <f t="shared" si="13"/>
        <v>2.75</v>
      </c>
      <c r="G60" s="239">
        <v>44000</v>
      </c>
      <c r="H60" s="239">
        <v>48000</v>
      </c>
      <c r="I60" s="240"/>
      <c r="J60" s="205">
        <f t="shared" si="14"/>
        <v>0</v>
      </c>
      <c r="K60" s="205">
        <f t="shared" si="15"/>
        <v>0</v>
      </c>
      <c r="L60" s="225">
        <f t="shared" si="16"/>
        <v>121000</v>
      </c>
      <c r="M60" s="226">
        <f t="shared" si="17"/>
        <v>132000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</row>
    <row r="61" spans="1:26" ht="14.4">
      <c r="A61" s="685"/>
      <c r="B61" s="241"/>
      <c r="C61" s="229"/>
      <c r="D61" s="242"/>
      <c r="E61" s="243"/>
      <c r="F61" s="244">
        <f>SUM(F23:F58)</f>
        <v>1190</v>
      </c>
      <c r="G61" s="245">
        <f t="shared" ref="G61:H61" si="18">SUM(G10:G58)</f>
        <v>3764971</v>
      </c>
      <c r="H61" s="245">
        <f t="shared" si="18"/>
        <v>3816600</v>
      </c>
      <c r="I61" s="246">
        <f>SUM(I23:I58)</f>
        <v>0</v>
      </c>
      <c r="J61" s="247">
        <f t="shared" ref="J61:M61" si="19">SUM(J23:J60)</f>
        <v>0</v>
      </c>
      <c r="K61" s="247">
        <f t="shared" si="19"/>
        <v>0</v>
      </c>
      <c r="L61" s="247">
        <f t="shared" si="19"/>
        <v>54136388.25</v>
      </c>
      <c r="M61" s="247">
        <f t="shared" si="19"/>
        <v>58502975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</row>
    <row r="62" spans="1:26" ht="14.4">
      <c r="A62" s="686"/>
      <c r="B62" s="230" t="s">
        <v>172</v>
      </c>
      <c r="C62" s="229">
        <v>12</v>
      </c>
      <c r="D62" s="201"/>
      <c r="E62" s="201"/>
      <c r="F62" s="202">
        <f t="shared" ref="F62:F76" si="20">+C62+D62-E62</f>
        <v>12</v>
      </c>
      <c r="G62" s="203">
        <v>41500</v>
      </c>
      <c r="H62" s="203">
        <v>50000</v>
      </c>
      <c r="I62" s="204"/>
      <c r="J62" s="205">
        <f t="shared" ref="J62:J88" si="21">+I62*H62</f>
        <v>0</v>
      </c>
      <c r="K62" s="205">
        <f t="shared" ref="K62:K88" si="22">+(H62-G62)*I62</f>
        <v>0</v>
      </c>
      <c r="L62" s="248">
        <f t="shared" ref="L62:L88" si="23">+G62*F62</f>
        <v>498000</v>
      </c>
      <c r="M62" s="249">
        <f t="shared" ref="M62:M88" si="24">F62*H62</f>
        <v>600000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</row>
    <row r="63" spans="1:26" ht="14.4">
      <c r="A63" s="687"/>
      <c r="B63" s="230" t="s">
        <v>173</v>
      </c>
      <c r="C63" s="227">
        <v>84</v>
      </c>
      <c r="D63" s="201"/>
      <c r="E63" s="201"/>
      <c r="F63" s="202">
        <f t="shared" si="20"/>
        <v>84</v>
      </c>
      <c r="G63" s="203">
        <v>43000</v>
      </c>
      <c r="H63" s="203">
        <v>50000</v>
      </c>
      <c r="I63" s="204"/>
      <c r="J63" s="205">
        <f t="shared" si="21"/>
        <v>0</v>
      </c>
      <c r="K63" s="205">
        <f t="shared" si="22"/>
        <v>0</v>
      </c>
      <c r="L63" s="248">
        <f t="shared" si="23"/>
        <v>3612000</v>
      </c>
      <c r="M63" s="249">
        <f t="shared" si="24"/>
        <v>4200000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</row>
    <row r="64" spans="1:26" ht="14.4">
      <c r="A64" s="687"/>
      <c r="B64" s="230" t="s">
        <v>174</v>
      </c>
      <c r="C64" s="227">
        <v>2.5</v>
      </c>
      <c r="D64" s="201"/>
      <c r="E64" s="201"/>
      <c r="F64" s="202">
        <f t="shared" si="20"/>
        <v>2.5</v>
      </c>
      <c r="G64" s="203">
        <v>41600</v>
      </c>
      <c r="H64" s="203">
        <v>50000</v>
      </c>
      <c r="I64" s="204"/>
      <c r="J64" s="205">
        <f t="shared" si="21"/>
        <v>0</v>
      </c>
      <c r="K64" s="205">
        <f t="shared" si="22"/>
        <v>0</v>
      </c>
      <c r="L64" s="248">
        <f t="shared" si="23"/>
        <v>104000</v>
      </c>
      <c r="M64" s="249">
        <f t="shared" si="24"/>
        <v>125000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</row>
    <row r="65" spans="1:26" ht="14.4">
      <c r="A65" s="687"/>
      <c r="B65" s="230" t="s">
        <v>175</v>
      </c>
      <c r="C65" s="227">
        <v>3</v>
      </c>
      <c r="D65" s="201"/>
      <c r="E65" s="201"/>
      <c r="F65" s="202">
        <f t="shared" si="20"/>
        <v>3</v>
      </c>
      <c r="G65" s="203">
        <v>44000</v>
      </c>
      <c r="H65" s="203">
        <v>50000</v>
      </c>
      <c r="I65" s="204"/>
      <c r="J65" s="205">
        <f t="shared" si="21"/>
        <v>0</v>
      </c>
      <c r="K65" s="205">
        <f t="shared" si="22"/>
        <v>0</v>
      </c>
      <c r="L65" s="248">
        <f t="shared" si="23"/>
        <v>132000</v>
      </c>
      <c r="M65" s="249">
        <f t="shared" si="24"/>
        <v>150000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</row>
    <row r="66" spans="1:26" ht="14.4">
      <c r="A66" s="687"/>
      <c r="B66" s="230" t="s">
        <v>684</v>
      </c>
      <c r="C66" s="227">
        <v>4</v>
      </c>
      <c r="D66" s="201"/>
      <c r="E66" s="201"/>
      <c r="F66" s="202">
        <f t="shared" si="20"/>
        <v>4</v>
      </c>
      <c r="G66" s="203">
        <v>45000</v>
      </c>
      <c r="H66" s="203">
        <v>50000</v>
      </c>
      <c r="I66" s="204"/>
      <c r="J66" s="205">
        <f t="shared" si="21"/>
        <v>0</v>
      </c>
      <c r="K66" s="205">
        <f t="shared" si="22"/>
        <v>0</v>
      </c>
      <c r="L66" s="248">
        <f t="shared" si="23"/>
        <v>180000</v>
      </c>
      <c r="M66" s="249">
        <f t="shared" si="24"/>
        <v>200000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</row>
    <row r="67" spans="1:26" ht="14.4">
      <c r="A67" s="687"/>
      <c r="B67" s="230" t="s">
        <v>176</v>
      </c>
      <c r="C67" s="227">
        <v>14</v>
      </c>
      <c r="D67" s="201"/>
      <c r="E67" s="201"/>
      <c r="F67" s="202">
        <f t="shared" si="20"/>
        <v>14</v>
      </c>
      <c r="G67" s="203">
        <v>49890</v>
      </c>
      <c r="H67" s="203">
        <v>55000</v>
      </c>
      <c r="I67" s="204"/>
      <c r="J67" s="205">
        <f t="shared" si="21"/>
        <v>0</v>
      </c>
      <c r="K67" s="205">
        <f t="shared" si="22"/>
        <v>0</v>
      </c>
      <c r="L67" s="248">
        <f t="shared" si="23"/>
        <v>698460</v>
      </c>
      <c r="M67" s="249">
        <f t="shared" si="24"/>
        <v>770000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</row>
    <row r="68" spans="1:26" ht="14.4">
      <c r="A68" s="687"/>
      <c r="B68" s="230" t="s">
        <v>177</v>
      </c>
      <c r="C68" s="238">
        <v>7</v>
      </c>
      <c r="D68" s="201"/>
      <c r="E68" s="201"/>
      <c r="F68" s="202">
        <f t="shared" si="20"/>
        <v>7</v>
      </c>
      <c r="G68" s="203">
        <v>60000</v>
      </c>
      <c r="H68" s="203">
        <v>63000</v>
      </c>
      <c r="I68" s="204"/>
      <c r="J68" s="205">
        <f t="shared" si="21"/>
        <v>0</v>
      </c>
      <c r="K68" s="205">
        <f t="shared" si="22"/>
        <v>0</v>
      </c>
      <c r="L68" s="248">
        <f t="shared" si="23"/>
        <v>420000</v>
      </c>
      <c r="M68" s="249">
        <f t="shared" si="24"/>
        <v>441000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</row>
    <row r="69" spans="1:26" ht="14.4">
      <c r="A69" s="687"/>
      <c r="B69" s="230" t="s">
        <v>178</v>
      </c>
      <c r="C69" s="227">
        <v>5.75</v>
      </c>
      <c r="D69" s="201"/>
      <c r="E69" s="201"/>
      <c r="F69" s="202">
        <f t="shared" si="20"/>
        <v>5.75</v>
      </c>
      <c r="G69" s="203">
        <v>44116</v>
      </c>
      <c r="H69" s="203">
        <v>50000</v>
      </c>
      <c r="I69" s="204"/>
      <c r="J69" s="205">
        <f t="shared" si="21"/>
        <v>0</v>
      </c>
      <c r="K69" s="205">
        <f t="shared" si="22"/>
        <v>0</v>
      </c>
      <c r="L69" s="248">
        <f t="shared" si="23"/>
        <v>253667</v>
      </c>
      <c r="M69" s="249">
        <f t="shared" si="24"/>
        <v>287500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</row>
    <row r="70" spans="1:26" ht="14.4">
      <c r="A70" s="687"/>
      <c r="B70" s="230" t="s">
        <v>179</v>
      </c>
      <c r="C70" s="238"/>
      <c r="D70" s="201"/>
      <c r="E70" s="201"/>
      <c r="F70" s="202">
        <f t="shared" si="20"/>
        <v>0</v>
      </c>
      <c r="G70" s="203">
        <v>25000</v>
      </c>
      <c r="H70" s="203">
        <v>26000</v>
      </c>
      <c r="I70" s="204"/>
      <c r="J70" s="205">
        <f t="shared" si="21"/>
        <v>0</v>
      </c>
      <c r="K70" s="205">
        <f t="shared" si="22"/>
        <v>0</v>
      </c>
      <c r="L70" s="248">
        <f t="shared" si="23"/>
        <v>0</v>
      </c>
      <c r="M70" s="249">
        <f t="shared" si="24"/>
        <v>0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</row>
    <row r="71" spans="1:26" ht="14.4">
      <c r="A71" s="687"/>
      <c r="B71" s="230" t="s">
        <v>41</v>
      </c>
      <c r="C71" s="227">
        <f>25+2</f>
        <v>27</v>
      </c>
      <c r="D71" s="201"/>
      <c r="E71" s="201"/>
      <c r="F71" s="202">
        <f t="shared" si="20"/>
        <v>27</v>
      </c>
      <c r="G71" s="203">
        <v>43600</v>
      </c>
      <c r="H71" s="203">
        <v>49000</v>
      </c>
      <c r="I71" s="204"/>
      <c r="J71" s="205">
        <f t="shared" si="21"/>
        <v>0</v>
      </c>
      <c r="K71" s="205">
        <f t="shared" si="22"/>
        <v>0</v>
      </c>
      <c r="L71" s="248">
        <f t="shared" si="23"/>
        <v>1177200</v>
      </c>
      <c r="M71" s="249">
        <f t="shared" si="24"/>
        <v>1323000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</row>
    <row r="72" spans="1:26" ht="14.4">
      <c r="A72" s="687"/>
      <c r="B72" s="230" t="s">
        <v>180</v>
      </c>
      <c r="C72" s="227">
        <v>9</v>
      </c>
      <c r="D72" s="201"/>
      <c r="E72" s="201"/>
      <c r="F72" s="202">
        <f t="shared" si="20"/>
        <v>9</v>
      </c>
      <c r="G72" s="203">
        <v>49000</v>
      </c>
      <c r="H72" s="203">
        <v>55000</v>
      </c>
      <c r="I72" s="204"/>
      <c r="J72" s="205">
        <f t="shared" si="21"/>
        <v>0</v>
      </c>
      <c r="K72" s="205">
        <f t="shared" si="22"/>
        <v>0</v>
      </c>
      <c r="L72" s="248">
        <f t="shared" si="23"/>
        <v>441000</v>
      </c>
      <c r="M72" s="249">
        <f t="shared" si="24"/>
        <v>495000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</row>
    <row r="73" spans="1:26" ht="18" customHeight="1">
      <c r="A73" s="687"/>
      <c r="B73" s="230" t="s">
        <v>181</v>
      </c>
      <c r="C73" s="227">
        <v>5</v>
      </c>
      <c r="D73" s="201"/>
      <c r="E73" s="201"/>
      <c r="F73" s="202">
        <f t="shared" si="20"/>
        <v>5</v>
      </c>
      <c r="G73" s="203">
        <v>58050</v>
      </c>
      <c r="H73" s="203">
        <v>63700</v>
      </c>
      <c r="I73" s="204"/>
      <c r="J73" s="205">
        <f t="shared" si="21"/>
        <v>0</v>
      </c>
      <c r="K73" s="205">
        <f t="shared" si="22"/>
        <v>0</v>
      </c>
      <c r="L73" s="248">
        <f t="shared" si="23"/>
        <v>290250</v>
      </c>
      <c r="M73" s="249">
        <f t="shared" si="24"/>
        <v>318500</v>
      </c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</row>
    <row r="74" spans="1:26" ht="18" customHeight="1">
      <c r="A74" s="687"/>
      <c r="B74" s="230" t="s">
        <v>182</v>
      </c>
      <c r="C74" s="227">
        <v>0.5</v>
      </c>
      <c r="D74" s="201"/>
      <c r="E74" s="201"/>
      <c r="F74" s="202">
        <f t="shared" si="20"/>
        <v>0.5</v>
      </c>
      <c r="G74" s="203">
        <v>46000</v>
      </c>
      <c r="H74" s="203">
        <v>52000</v>
      </c>
      <c r="I74" s="204"/>
      <c r="J74" s="205">
        <f t="shared" si="21"/>
        <v>0</v>
      </c>
      <c r="K74" s="205">
        <f t="shared" si="22"/>
        <v>0</v>
      </c>
      <c r="L74" s="248">
        <f t="shared" si="23"/>
        <v>23000</v>
      </c>
      <c r="M74" s="249">
        <f t="shared" si="24"/>
        <v>26000</v>
      </c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</row>
    <row r="75" spans="1:26" ht="14.4">
      <c r="A75" s="687"/>
      <c r="B75" s="230" t="s">
        <v>183</v>
      </c>
      <c r="C75" s="227">
        <v>9</v>
      </c>
      <c r="D75" s="201"/>
      <c r="E75" s="201"/>
      <c r="F75" s="202">
        <f t="shared" si="20"/>
        <v>9</v>
      </c>
      <c r="G75" s="203">
        <v>53000</v>
      </c>
      <c r="H75" s="203">
        <v>63000</v>
      </c>
      <c r="I75" s="204"/>
      <c r="J75" s="205">
        <f t="shared" si="21"/>
        <v>0</v>
      </c>
      <c r="K75" s="205">
        <f t="shared" si="22"/>
        <v>0</v>
      </c>
      <c r="L75" s="248">
        <f t="shared" si="23"/>
        <v>477000</v>
      </c>
      <c r="M75" s="249">
        <f t="shared" si="24"/>
        <v>567000</v>
      </c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</row>
    <row r="76" spans="1:26" ht="14.4">
      <c r="A76" s="687"/>
      <c r="B76" s="230" t="s">
        <v>184</v>
      </c>
      <c r="C76" s="227"/>
      <c r="D76" s="201"/>
      <c r="E76" s="201"/>
      <c r="F76" s="202">
        <f t="shared" si="20"/>
        <v>0</v>
      </c>
      <c r="G76" s="203">
        <v>62500</v>
      </c>
      <c r="H76" s="203">
        <v>68000</v>
      </c>
      <c r="I76" s="204"/>
      <c r="J76" s="205">
        <f t="shared" si="21"/>
        <v>0</v>
      </c>
      <c r="K76" s="205">
        <f t="shared" si="22"/>
        <v>0</v>
      </c>
      <c r="L76" s="248">
        <f t="shared" si="23"/>
        <v>0</v>
      </c>
      <c r="M76" s="249">
        <f t="shared" si="24"/>
        <v>0</v>
      </c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</row>
    <row r="77" spans="1:26" ht="14.4">
      <c r="A77" s="687"/>
      <c r="B77" s="230" t="s">
        <v>44</v>
      </c>
      <c r="C77" s="227">
        <f>65+4</f>
        <v>69</v>
      </c>
      <c r="D77" s="201"/>
      <c r="E77" s="201"/>
      <c r="F77" s="202">
        <f t="shared" ref="F77:F78" si="25">+C77+D77-E68</f>
        <v>69</v>
      </c>
      <c r="G77" s="203">
        <v>31200</v>
      </c>
      <c r="H77" s="203">
        <v>34500</v>
      </c>
      <c r="I77" s="204"/>
      <c r="J77" s="205">
        <f t="shared" si="21"/>
        <v>0</v>
      </c>
      <c r="K77" s="205">
        <f t="shared" si="22"/>
        <v>0</v>
      </c>
      <c r="L77" s="248">
        <f t="shared" si="23"/>
        <v>2152800</v>
      </c>
      <c r="M77" s="249">
        <f t="shared" si="24"/>
        <v>2380500</v>
      </c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</row>
    <row r="78" spans="1:26" ht="14.4">
      <c r="A78" s="687"/>
      <c r="B78" s="230" t="s">
        <v>185</v>
      </c>
      <c r="C78" s="227">
        <v>49.5</v>
      </c>
      <c r="D78" s="201"/>
      <c r="E78" s="201"/>
      <c r="F78" s="202">
        <f t="shared" si="25"/>
        <v>49.5</v>
      </c>
      <c r="G78" s="203">
        <v>34000</v>
      </c>
      <c r="H78" s="203">
        <v>37500</v>
      </c>
      <c r="I78" s="204"/>
      <c r="J78" s="205">
        <f t="shared" si="21"/>
        <v>0</v>
      </c>
      <c r="K78" s="205">
        <f t="shared" si="22"/>
        <v>0</v>
      </c>
      <c r="L78" s="248">
        <f t="shared" si="23"/>
        <v>1683000</v>
      </c>
      <c r="M78" s="249">
        <f t="shared" si="24"/>
        <v>1856250</v>
      </c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</row>
    <row r="79" spans="1:26" ht="14.4">
      <c r="A79" s="687"/>
      <c r="B79" s="230" t="s">
        <v>186</v>
      </c>
      <c r="C79" s="227">
        <v>1.75</v>
      </c>
      <c r="D79" s="201"/>
      <c r="E79" s="201"/>
      <c r="F79" s="202">
        <f t="shared" ref="F79:F88" si="26">+C79+D79-E79</f>
        <v>1.75</v>
      </c>
      <c r="G79" s="203">
        <v>64000</v>
      </c>
      <c r="H79" s="203">
        <v>68000</v>
      </c>
      <c r="I79" s="204"/>
      <c r="J79" s="205">
        <f t="shared" si="21"/>
        <v>0</v>
      </c>
      <c r="K79" s="205">
        <f t="shared" si="22"/>
        <v>0</v>
      </c>
      <c r="L79" s="250">
        <f t="shared" si="23"/>
        <v>112000</v>
      </c>
      <c r="M79" s="251">
        <f t="shared" si="24"/>
        <v>119000</v>
      </c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</row>
    <row r="80" spans="1:26" ht="14.4">
      <c r="A80" s="687"/>
      <c r="B80" s="230" t="s">
        <v>187</v>
      </c>
      <c r="C80" s="227">
        <v>2.5</v>
      </c>
      <c r="D80" s="201"/>
      <c r="E80" s="201"/>
      <c r="F80" s="202">
        <f t="shared" si="26"/>
        <v>2.5</v>
      </c>
      <c r="G80" s="203">
        <v>50000</v>
      </c>
      <c r="H80" s="203">
        <v>55500</v>
      </c>
      <c r="I80" s="204"/>
      <c r="J80" s="205">
        <f t="shared" si="21"/>
        <v>0</v>
      </c>
      <c r="K80" s="205">
        <f t="shared" si="22"/>
        <v>0</v>
      </c>
      <c r="L80" s="248">
        <f t="shared" si="23"/>
        <v>125000</v>
      </c>
      <c r="M80" s="249">
        <f t="shared" si="24"/>
        <v>138750</v>
      </c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</row>
    <row r="81" spans="1:26" ht="14.4">
      <c r="A81" s="687"/>
      <c r="B81" s="230" t="s">
        <v>188</v>
      </c>
      <c r="C81" s="227">
        <v>2</v>
      </c>
      <c r="D81" s="201"/>
      <c r="E81" s="201"/>
      <c r="F81" s="202">
        <f t="shared" si="26"/>
        <v>2</v>
      </c>
      <c r="G81" s="203">
        <v>55111</v>
      </c>
      <c r="H81" s="203">
        <v>60000</v>
      </c>
      <c r="I81" s="204"/>
      <c r="J81" s="205">
        <f t="shared" si="21"/>
        <v>0</v>
      </c>
      <c r="K81" s="205">
        <f t="shared" si="22"/>
        <v>0</v>
      </c>
      <c r="L81" s="248">
        <f t="shared" si="23"/>
        <v>110222</v>
      </c>
      <c r="M81" s="249">
        <f t="shared" si="24"/>
        <v>120000</v>
      </c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</row>
    <row r="82" spans="1:26" ht="14.4">
      <c r="A82" s="687"/>
      <c r="B82" s="230" t="s">
        <v>46</v>
      </c>
      <c r="C82" s="252">
        <f>25</f>
        <v>25</v>
      </c>
      <c r="D82" s="201"/>
      <c r="E82" s="201"/>
      <c r="F82" s="202">
        <f t="shared" si="26"/>
        <v>25</v>
      </c>
      <c r="G82" s="203">
        <v>37000</v>
      </c>
      <c r="H82" s="203">
        <v>39000</v>
      </c>
      <c r="I82" s="204"/>
      <c r="J82" s="205">
        <f t="shared" si="21"/>
        <v>0</v>
      </c>
      <c r="K82" s="205">
        <f t="shared" si="22"/>
        <v>0</v>
      </c>
      <c r="L82" s="248">
        <f t="shared" si="23"/>
        <v>925000</v>
      </c>
      <c r="M82" s="249">
        <f t="shared" si="24"/>
        <v>975000</v>
      </c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</row>
    <row r="83" spans="1:26" ht="14.4">
      <c r="A83" s="687"/>
      <c r="B83" s="230" t="s">
        <v>189</v>
      </c>
      <c r="C83" s="227">
        <v>11</v>
      </c>
      <c r="D83" s="201"/>
      <c r="E83" s="201"/>
      <c r="F83" s="202">
        <f t="shared" si="26"/>
        <v>11</v>
      </c>
      <c r="G83" s="203">
        <v>37700</v>
      </c>
      <c r="H83" s="203">
        <v>40500</v>
      </c>
      <c r="I83" s="204"/>
      <c r="J83" s="205">
        <f t="shared" si="21"/>
        <v>0</v>
      </c>
      <c r="K83" s="205">
        <f t="shared" si="22"/>
        <v>0</v>
      </c>
      <c r="L83" s="248">
        <f t="shared" si="23"/>
        <v>414700</v>
      </c>
      <c r="M83" s="249">
        <f t="shared" si="24"/>
        <v>445500</v>
      </c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</row>
    <row r="84" spans="1:26" ht="14.4">
      <c r="A84" s="687"/>
      <c r="B84" s="230" t="s">
        <v>49</v>
      </c>
      <c r="C84" s="238">
        <v>0.25</v>
      </c>
      <c r="D84" s="201"/>
      <c r="E84" s="201"/>
      <c r="F84" s="202">
        <f t="shared" si="26"/>
        <v>0.25</v>
      </c>
      <c r="G84" s="203">
        <v>44000</v>
      </c>
      <c r="H84" s="203">
        <v>50000</v>
      </c>
      <c r="I84" s="204"/>
      <c r="J84" s="205">
        <f t="shared" si="21"/>
        <v>0</v>
      </c>
      <c r="K84" s="205">
        <f t="shared" si="22"/>
        <v>0</v>
      </c>
      <c r="L84" s="248">
        <f t="shared" si="23"/>
        <v>11000</v>
      </c>
      <c r="M84" s="249">
        <f t="shared" si="24"/>
        <v>12500</v>
      </c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</row>
    <row r="85" spans="1:26" ht="14.4">
      <c r="A85" s="687"/>
      <c r="B85" s="230" t="s">
        <v>190</v>
      </c>
      <c r="C85" s="238">
        <v>1.5</v>
      </c>
      <c r="D85" s="201"/>
      <c r="E85" s="201"/>
      <c r="F85" s="202">
        <f t="shared" si="26"/>
        <v>1.5</v>
      </c>
      <c r="G85" s="203">
        <v>40000</v>
      </c>
      <c r="H85" s="203">
        <v>43000</v>
      </c>
      <c r="I85" s="204"/>
      <c r="J85" s="205">
        <f t="shared" si="21"/>
        <v>0</v>
      </c>
      <c r="K85" s="205">
        <f t="shared" si="22"/>
        <v>0</v>
      </c>
      <c r="L85" s="248">
        <f t="shared" si="23"/>
        <v>60000</v>
      </c>
      <c r="M85" s="249">
        <f t="shared" si="24"/>
        <v>64500</v>
      </c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</row>
    <row r="86" spans="1:26" ht="14.4">
      <c r="A86" s="687"/>
      <c r="B86" s="230" t="s">
        <v>191</v>
      </c>
      <c r="C86" s="253">
        <v>15</v>
      </c>
      <c r="D86" s="201"/>
      <c r="E86" s="201"/>
      <c r="F86" s="202">
        <f t="shared" si="26"/>
        <v>15</v>
      </c>
      <c r="G86" s="203">
        <v>58700</v>
      </c>
      <c r="H86" s="203">
        <v>68000</v>
      </c>
      <c r="I86" s="204"/>
      <c r="J86" s="205">
        <f t="shared" si="21"/>
        <v>0</v>
      </c>
      <c r="K86" s="205">
        <f t="shared" si="22"/>
        <v>0</v>
      </c>
      <c r="L86" s="248">
        <f t="shared" si="23"/>
        <v>880500</v>
      </c>
      <c r="M86" s="249">
        <f t="shared" si="24"/>
        <v>1020000</v>
      </c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</row>
    <row r="87" spans="1:26" ht="14.4">
      <c r="A87" s="687"/>
      <c r="B87" s="230" t="s">
        <v>192</v>
      </c>
      <c r="C87" s="227">
        <v>10</v>
      </c>
      <c r="D87" s="201"/>
      <c r="E87" s="201"/>
      <c r="F87" s="202">
        <f t="shared" si="26"/>
        <v>10</v>
      </c>
      <c r="G87" s="239">
        <v>68000</v>
      </c>
      <c r="H87" s="239">
        <v>73500</v>
      </c>
      <c r="I87" s="204"/>
      <c r="J87" s="205">
        <f t="shared" si="21"/>
        <v>0</v>
      </c>
      <c r="K87" s="205">
        <f t="shared" si="22"/>
        <v>0</v>
      </c>
      <c r="L87" s="248">
        <f t="shared" si="23"/>
        <v>680000</v>
      </c>
      <c r="M87" s="249">
        <f t="shared" si="24"/>
        <v>735000</v>
      </c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</row>
    <row r="88" spans="1:26" ht="14.4">
      <c r="A88" s="687"/>
      <c r="B88" s="230" t="s">
        <v>193</v>
      </c>
      <c r="C88" s="227">
        <v>1</v>
      </c>
      <c r="D88" s="201"/>
      <c r="E88" s="201"/>
      <c r="F88" s="202">
        <f t="shared" si="26"/>
        <v>1</v>
      </c>
      <c r="G88" s="239">
        <v>86000</v>
      </c>
      <c r="H88" s="239">
        <v>90000</v>
      </c>
      <c r="I88" s="204"/>
      <c r="J88" s="205">
        <f t="shared" si="21"/>
        <v>0</v>
      </c>
      <c r="K88" s="205">
        <f t="shared" si="22"/>
        <v>0</v>
      </c>
      <c r="L88" s="248">
        <f t="shared" si="23"/>
        <v>86000</v>
      </c>
      <c r="M88" s="249">
        <f t="shared" si="24"/>
        <v>90000</v>
      </c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</row>
    <row r="89" spans="1:26" ht="14.4">
      <c r="A89" s="688"/>
      <c r="B89" s="254"/>
      <c r="C89" s="255"/>
      <c r="D89" s="255"/>
      <c r="E89" s="256"/>
      <c r="F89" s="257">
        <f t="shared" ref="F89:I89" si="27">SUM(F62:F83)</f>
        <v>343.5</v>
      </c>
      <c r="G89" s="258">
        <f t="shared" si="27"/>
        <v>1015267</v>
      </c>
      <c r="H89" s="258">
        <f t="shared" si="27"/>
        <v>1129700</v>
      </c>
      <c r="I89" s="259">
        <f t="shared" si="27"/>
        <v>0</v>
      </c>
      <c r="J89" s="260">
        <f t="shared" ref="J89:K89" si="28">SUM(J62:J87)</f>
        <v>0</v>
      </c>
      <c r="K89" s="260">
        <f t="shared" si="28"/>
        <v>0</v>
      </c>
      <c r="L89" s="260">
        <f>SUM(L62:L88)</f>
        <v>15546799</v>
      </c>
      <c r="M89" s="260">
        <f>SUM(M62:M87)</f>
        <v>17370000</v>
      </c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</row>
    <row r="90" spans="1:26" ht="14.4">
      <c r="A90" s="689" t="s">
        <v>194</v>
      </c>
      <c r="B90" s="230" t="s">
        <v>195</v>
      </c>
      <c r="C90" s="261">
        <v>15</v>
      </c>
      <c r="D90" s="201"/>
      <c r="E90" s="201"/>
      <c r="F90" s="202">
        <f t="shared" ref="F90:F148" si="29">+C90+D90-E90</f>
        <v>15</v>
      </c>
      <c r="G90" s="203">
        <v>49000</v>
      </c>
      <c r="H90" s="203">
        <v>52000</v>
      </c>
      <c r="I90" s="224"/>
      <c r="J90" s="205">
        <f t="shared" ref="J90:J148" si="30">+I90*H90</f>
        <v>0</v>
      </c>
      <c r="K90" s="205">
        <f t="shared" ref="K90:K148" si="31">+(H90-G90)*I90</f>
        <v>0</v>
      </c>
      <c r="L90" s="262">
        <f t="shared" ref="L90:L148" si="32">+G90*F90</f>
        <v>735000</v>
      </c>
      <c r="M90" s="263">
        <f t="shared" ref="M90:M148" si="33">F90*H90</f>
        <v>780000</v>
      </c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</row>
    <row r="91" spans="1:26" ht="14.4">
      <c r="A91" s="690"/>
      <c r="B91" s="230" t="s">
        <v>196</v>
      </c>
      <c r="C91" s="227">
        <v>5</v>
      </c>
      <c r="D91" s="201"/>
      <c r="E91" s="201"/>
      <c r="F91" s="202">
        <f t="shared" si="29"/>
        <v>5</v>
      </c>
      <c r="G91" s="203">
        <v>93664</v>
      </c>
      <c r="H91" s="203">
        <v>98000</v>
      </c>
      <c r="I91" s="204"/>
      <c r="J91" s="205">
        <f t="shared" si="30"/>
        <v>0</v>
      </c>
      <c r="K91" s="205">
        <f t="shared" si="31"/>
        <v>0</v>
      </c>
      <c r="L91" s="262">
        <f t="shared" si="32"/>
        <v>468320</v>
      </c>
      <c r="M91" s="263">
        <f t="shared" si="33"/>
        <v>490000</v>
      </c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 spans="1:26" ht="14.4">
      <c r="A92" s="690"/>
      <c r="B92" s="230" t="s">
        <v>197</v>
      </c>
      <c r="C92" s="261">
        <v>5</v>
      </c>
      <c r="D92" s="201"/>
      <c r="E92" s="201"/>
      <c r="F92" s="202">
        <f t="shared" si="29"/>
        <v>5</v>
      </c>
      <c r="G92" s="203">
        <v>26900</v>
      </c>
      <c r="H92" s="203">
        <v>29000</v>
      </c>
      <c r="I92" s="204"/>
      <c r="J92" s="205">
        <f t="shared" si="30"/>
        <v>0</v>
      </c>
      <c r="K92" s="205">
        <f t="shared" si="31"/>
        <v>0</v>
      </c>
      <c r="L92" s="262">
        <f t="shared" si="32"/>
        <v>134500</v>
      </c>
      <c r="M92" s="263">
        <f t="shared" si="33"/>
        <v>145000</v>
      </c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</row>
    <row r="93" spans="1:26" ht="14.4">
      <c r="A93" s="690"/>
      <c r="B93" s="230" t="s">
        <v>198</v>
      </c>
      <c r="C93" s="227">
        <v>8</v>
      </c>
      <c r="D93" s="201"/>
      <c r="E93" s="201"/>
      <c r="F93" s="202">
        <f t="shared" si="29"/>
        <v>8</v>
      </c>
      <c r="G93" s="203">
        <v>43449</v>
      </c>
      <c r="H93" s="203">
        <v>46000</v>
      </c>
      <c r="I93" s="204"/>
      <c r="J93" s="205">
        <f t="shared" si="30"/>
        <v>0</v>
      </c>
      <c r="K93" s="205">
        <f t="shared" si="31"/>
        <v>0</v>
      </c>
      <c r="L93" s="262">
        <f t="shared" si="32"/>
        <v>347592</v>
      </c>
      <c r="M93" s="263">
        <f t="shared" si="33"/>
        <v>368000</v>
      </c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</row>
    <row r="94" spans="1:26" ht="14.4">
      <c r="A94" s="690"/>
      <c r="B94" s="264" t="s">
        <v>199</v>
      </c>
      <c r="C94" s="227">
        <v>1</v>
      </c>
      <c r="D94" s="201"/>
      <c r="E94" s="201"/>
      <c r="F94" s="202">
        <f t="shared" si="29"/>
        <v>1</v>
      </c>
      <c r="G94" s="210">
        <v>113000</v>
      </c>
      <c r="H94" s="210">
        <v>118000</v>
      </c>
      <c r="I94" s="204"/>
      <c r="J94" s="205">
        <f t="shared" si="30"/>
        <v>0</v>
      </c>
      <c r="K94" s="205">
        <f t="shared" si="31"/>
        <v>0</v>
      </c>
      <c r="L94" s="262">
        <f t="shared" si="32"/>
        <v>113000</v>
      </c>
      <c r="M94" s="263">
        <f t="shared" si="33"/>
        <v>118000</v>
      </c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</row>
    <row r="95" spans="1:26" ht="14.4">
      <c r="A95" s="690"/>
      <c r="B95" s="230" t="s">
        <v>200</v>
      </c>
      <c r="C95" s="261">
        <v>19</v>
      </c>
      <c r="D95" s="201"/>
      <c r="E95" s="201"/>
      <c r="F95" s="202">
        <f t="shared" si="29"/>
        <v>19</v>
      </c>
      <c r="G95" s="203">
        <v>12678</v>
      </c>
      <c r="H95" s="203">
        <v>13000</v>
      </c>
      <c r="I95" s="204"/>
      <c r="J95" s="205">
        <f t="shared" si="30"/>
        <v>0</v>
      </c>
      <c r="K95" s="205">
        <f t="shared" si="31"/>
        <v>0</v>
      </c>
      <c r="L95" s="262">
        <f t="shared" si="32"/>
        <v>240882</v>
      </c>
      <c r="M95" s="263">
        <f t="shared" si="33"/>
        <v>247000</v>
      </c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</row>
    <row r="96" spans="1:26" ht="14.4">
      <c r="A96" s="690"/>
      <c r="B96" s="230" t="s">
        <v>201</v>
      </c>
      <c r="C96" s="229">
        <v>2</v>
      </c>
      <c r="D96" s="201"/>
      <c r="E96" s="201"/>
      <c r="F96" s="202">
        <f t="shared" si="29"/>
        <v>2</v>
      </c>
      <c r="G96" s="203">
        <v>50231</v>
      </c>
      <c r="H96" s="203">
        <v>52000</v>
      </c>
      <c r="I96" s="204"/>
      <c r="J96" s="205">
        <f t="shared" si="30"/>
        <v>0</v>
      </c>
      <c r="K96" s="205">
        <f t="shared" si="31"/>
        <v>0</v>
      </c>
      <c r="L96" s="262">
        <f t="shared" si="32"/>
        <v>100462</v>
      </c>
      <c r="M96" s="263">
        <f t="shared" si="33"/>
        <v>104000</v>
      </c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</row>
    <row r="97" spans="1:26" ht="14.4">
      <c r="A97" s="690"/>
      <c r="B97" s="230" t="s">
        <v>202</v>
      </c>
      <c r="C97" s="261">
        <v>4</v>
      </c>
      <c r="D97" s="201"/>
      <c r="E97" s="201"/>
      <c r="F97" s="202">
        <f t="shared" si="29"/>
        <v>4</v>
      </c>
      <c r="G97" s="203">
        <v>27677</v>
      </c>
      <c r="H97" s="203">
        <v>30000</v>
      </c>
      <c r="I97" s="204"/>
      <c r="J97" s="205">
        <f t="shared" si="30"/>
        <v>0</v>
      </c>
      <c r="K97" s="205">
        <f t="shared" si="31"/>
        <v>0</v>
      </c>
      <c r="L97" s="262">
        <f t="shared" si="32"/>
        <v>110708</v>
      </c>
      <c r="M97" s="263">
        <f t="shared" si="33"/>
        <v>120000</v>
      </c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</row>
    <row r="98" spans="1:26" ht="14.4">
      <c r="A98" s="690"/>
      <c r="B98" s="230" t="s">
        <v>203</v>
      </c>
      <c r="C98" s="227"/>
      <c r="D98" s="201"/>
      <c r="E98" s="201"/>
      <c r="F98" s="202">
        <f t="shared" si="29"/>
        <v>0</v>
      </c>
      <c r="G98" s="203">
        <v>13257</v>
      </c>
      <c r="H98" s="203">
        <v>13500</v>
      </c>
      <c r="I98" s="204"/>
      <c r="J98" s="205">
        <f t="shared" si="30"/>
        <v>0</v>
      </c>
      <c r="K98" s="205">
        <f t="shared" si="31"/>
        <v>0</v>
      </c>
      <c r="L98" s="262">
        <f t="shared" si="32"/>
        <v>0</v>
      </c>
      <c r="M98" s="263">
        <f t="shared" si="33"/>
        <v>0</v>
      </c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 spans="1:26" ht="14.4">
      <c r="A99" s="690"/>
      <c r="B99" s="230" t="s">
        <v>204</v>
      </c>
      <c r="C99" s="227">
        <v>1</v>
      </c>
      <c r="D99" s="201"/>
      <c r="E99" s="201"/>
      <c r="F99" s="202">
        <f t="shared" si="29"/>
        <v>1</v>
      </c>
      <c r="G99" s="203">
        <v>94624</v>
      </c>
      <c r="H99" s="203">
        <v>104000</v>
      </c>
      <c r="I99" s="204"/>
      <c r="J99" s="205">
        <f t="shared" si="30"/>
        <v>0</v>
      </c>
      <c r="K99" s="205">
        <f t="shared" si="31"/>
        <v>0</v>
      </c>
      <c r="L99" s="262">
        <f t="shared" si="32"/>
        <v>94624</v>
      </c>
      <c r="M99" s="263">
        <f t="shared" si="33"/>
        <v>104000</v>
      </c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</row>
    <row r="100" spans="1:26" ht="14.4">
      <c r="A100" s="690"/>
      <c r="B100" s="230" t="s">
        <v>205</v>
      </c>
      <c r="C100" s="229">
        <v>5</v>
      </c>
      <c r="D100" s="201"/>
      <c r="E100" s="201"/>
      <c r="F100" s="202">
        <f t="shared" si="29"/>
        <v>5</v>
      </c>
      <c r="G100" s="203">
        <v>42926</v>
      </c>
      <c r="H100" s="203">
        <v>45000</v>
      </c>
      <c r="I100" s="204"/>
      <c r="J100" s="205">
        <f t="shared" si="30"/>
        <v>0</v>
      </c>
      <c r="K100" s="205">
        <f t="shared" si="31"/>
        <v>0</v>
      </c>
      <c r="L100" s="262">
        <f t="shared" si="32"/>
        <v>214630</v>
      </c>
      <c r="M100" s="263">
        <f t="shared" si="33"/>
        <v>225000</v>
      </c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</row>
    <row r="101" spans="1:26" ht="14.4">
      <c r="A101" s="690"/>
      <c r="B101" s="230" t="s">
        <v>206</v>
      </c>
      <c r="C101" s="227">
        <v>6</v>
      </c>
      <c r="D101" s="201"/>
      <c r="E101" s="201"/>
      <c r="F101" s="202">
        <f t="shared" si="29"/>
        <v>6</v>
      </c>
      <c r="G101" s="203">
        <v>22505</v>
      </c>
      <c r="H101" s="203">
        <v>24000</v>
      </c>
      <c r="I101" s="204"/>
      <c r="J101" s="205">
        <f t="shared" si="30"/>
        <v>0</v>
      </c>
      <c r="K101" s="205">
        <f t="shared" si="31"/>
        <v>0</v>
      </c>
      <c r="L101" s="262">
        <f t="shared" si="32"/>
        <v>135030</v>
      </c>
      <c r="M101" s="263">
        <f t="shared" si="33"/>
        <v>144000</v>
      </c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</row>
    <row r="102" spans="1:26" ht="14.4">
      <c r="A102" s="690"/>
      <c r="B102" s="230" t="s">
        <v>207</v>
      </c>
      <c r="C102" s="227"/>
      <c r="D102" s="201"/>
      <c r="E102" s="201"/>
      <c r="F102" s="202">
        <f t="shared" si="29"/>
        <v>0</v>
      </c>
      <c r="G102" s="203">
        <v>38230</v>
      </c>
      <c r="H102" s="203">
        <v>41000</v>
      </c>
      <c r="I102" s="204"/>
      <c r="J102" s="205">
        <f t="shared" si="30"/>
        <v>0</v>
      </c>
      <c r="K102" s="205">
        <f t="shared" si="31"/>
        <v>0</v>
      </c>
      <c r="L102" s="262">
        <f t="shared" si="32"/>
        <v>0</v>
      </c>
      <c r="M102" s="263">
        <f t="shared" si="33"/>
        <v>0</v>
      </c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</row>
    <row r="103" spans="1:26" ht="14.4">
      <c r="A103" s="690"/>
      <c r="B103" s="230" t="s">
        <v>208</v>
      </c>
      <c r="C103" s="227">
        <v>6</v>
      </c>
      <c r="D103" s="201"/>
      <c r="E103" s="201"/>
      <c r="F103" s="202">
        <f t="shared" si="29"/>
        <v>6</v>
      </c>
      <c r="G103" s="203">
        <v>10985</v>
      </c>
      <c r="H103" s="203">
        <v>13000</v>
      </c>
      <c r="I103" s="204"/>
      <c r="J103" s="205">
        <f t="shared" si="30"/>
        <v>0</v>
      </c>
      <c r="K103" s="205">
        <f t="shared" si="31"/>
        <v>0</v>
      </c>
      <c r="L103" s="262">
        <f t="shared" si="32"/>
        <v>65910</v>
      </c>
      <c r="M103" s="263">
        <f t="shared" si="33"/>
        <v>78000</v>
      </c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</row>
    <row r="104" spans="1:26" ht="14.4">
      <c r="A104" s="690"/>
      <c r="B104" s="230" t="s">
        <v>209</v>
      </c>
      <c r="C104" s="227">
        <v>2</v>
      </c>
      <c r="D104" s="201"/>
      <c r="E104" s="201"/>
      <c r="F104" s="202">
        <f t="shared" si="29"/>
        <v>2</v>
      </c>
      <c r="G104" s="210">
        <v>90151</v>
      </c>
      <c r="H104" s="210">
        <v>95000</v>
      </c>
      <c r="I104" s="204"/>
      <c r="J104" s="205">
        <f t="shared" si="30"/>
        <v>0</v>
      </c>
      <c r="K104" s="205">
        <f t="shared" si="31"/>
        <v>0</v>
      </c>
      <c r="L104" s="262">
        <f t="shared" si="32"/>
        <v>180302</v>
      </c>
      <c r="M104" s="263">
        <f t="shared" si="33"/>
        <v>190000</v>
      </c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</row>
    <row r="105" spans="1:26" ht="14.4">
      <c r="A105" s="690"/>
      <c r="B105" s="265" t="s">
        <v>210</v>
      </c>
      <c r="C105" s="229">
        <v>3</v>
      </c>
      <c r="D105" s="201"/>
      <c r="E105" s="201"/>
      <c r="F105" s="202">
        <f t="shared" si="29"/>
        <v>3</v>
      </c>
      <c r="G105" s="210">
        <v>90151</v>
      </c>
      <c r="H105" s="210">
        <v>95000</v>
      </c>
      <c r="I105" s="204"/>
      <c r="J105" s="205">
        <f t="shared" si="30"/>
        <v>0</v>
      </c>
      <c r="K105" s="205">
        <f t="shared" si="31"/>
        <v>0</v>
      </c>
      <c r="L105" s="262">
        <f t="shared" si="32"/>
        <v>270453</v>
      </c>
      <c r="M105" s="263">
        <f t="shared" si="33"/>
        <v>285000</v>
      </c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</row>
    <row r="106" spans="1:26" ht="14.4">
      <c r="A106" s="690"/>
      <c r="B106" s="230" t="s">
        <v>211</v>
      </c>
      <c r="C106" s="227">
        <v>5</v>
      </c>
      <c r="D106" s="201"/>
      <c r="E106" s="201"/>
      <c r="F106" s="202">
        <f t="shared" si="29"/>
        <v>5</v>
      </c>
      <c r="G106" s="266">
        <v>89506</v>
      </c>
      <c r="H106" s="203">
        <v>95000</v>
      </c>
      <c r="I106" s="204"/>
      <c r="J106" s="205">
        <f t="shared" si="30"/>
        <v>0</v>
      </c>
      <c r="K106" s="205">
        <f t="shared" si="31"/>
        <v>0</v>
      </c>
      <c r="L106" s="262">
        <f t="shared" si="32"/>
        <v>447530</v>
      </c>
      <c r="M106" s="263">
        <f t="shared" si="33"/>
        <v>475000</v>
      </c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</row>
    <row r="107" spans="1:26" ht="14.4">
      <c r="A107" s="690"/>
      <c r="B107" s="230" t="s">
        <v>212</v>
      </c>
      <c r="C107" s="227">
        <v>7</v>
      </c>
      <c r="D107" s="201"/>
      <c r="E107" s="201"/>
      <c r="F107" s="202">
        <f t="shared" si="29"/>
        <v>7</v>
      </c>
      <c r="G107" s="267">
        <v>48729</v>
      </c>
      <c r="H107" s="203">
        <v>51000</v>
      </c>
      <c r="I107" s="204"/>
      <c r="J107" s="205">
        <f t="shared" si="30"/>
        <v>0</v>
      </c>
      <c r="K107" s="205">
        <f t="shared" si="31"/>
        <v>0</v>
      </c>
      <c r="L107" s="262">
        <f t="shared" si="32"/>
        <v>341103</v>
      </c>
      <c r="M107" s="263">
        <f t="shared" si="33"/>
        <v>357000</v>
      </c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</row>
    <row r="108" spans="1:26" ht="14.4">
      <c r="A108" s="690"/>
      <c r="B108" s="230" t="s">
        <v>213</v>
      </c>
      <c r="C108" s="227"/>
      <c r="D108" s="201"/>
      <c r="E108" s="201"/>
      <c r="F108" s="202">
        <f t="shared" si="29"/>
        <v>0</v>
      </c>
      <c r="G108" s="267">
        <v>26542</v>
      </c>
      <c r="H108" s="203">
        <v>28000</v>
      </c>
      <c r="I108" s="204"/>
      <c r="J108" s="205">
        <f t="shared" si="30"/>
        <v>0</v>
      </c>
      <c r="K108" s="205">
        <f t="shared" si="31"/>
        <v>0</v>
      </c>
      <c r="L108" s="262">
        <f t="shared" si="32"/>
        <v>0</v>
      </c>
      <c r="M108" s="263">
        <f t="shared" si="33"/>
        <v>0</v>
      </c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</row>
    <row r="109" spans="1:26" ht="14.4">
      <c r="A109" s="690"/>
      <c r="B109" s="230" t="s">
        <v>214</v>
      </c>
      <c r="C109" s="261">
        <v>5</v>
      </c>
      <c r="D109" s="201"/>
      <c r="E109" s="201"/>
      <c r="F109" s="202">
        <f t="shared" si="29"/>
        <v>5</v>
      </c>
      <c r="G109" s="267">
        <v>48729</v>
      </c>
      <c r="H109" s="203">
        <v>51000</v>
      </c>
      <c r="I109" s="204"/>
      <c r="J109" s="205">
        <f t="shared" si="30"/>
        <v>0</v>
      </c>
      <c r="K109" s="205">
        <f t="shared" si="31"/>
        <v>0</v>
      </c>
      <c r="L109" s="262">
        <f t="shared" si="32"/>
        <v>243645</v>
      </c>
      <c r="M109" s="263">
        <f t="shared" si="33"/>
        <v>255000</v>
      </c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</row>
    <row r="110" spans="1:26" ht="14.4">
      <c r="A110" s="690"/>
      <c r="B110" s="230" t="s">
        <v>215</v>
      </c>
      <c r="C110" s="261">
        <v>9</v>
      </c>
      <c r="D110" s="201"/>
      <c r="E110" s="201"/>
      <c r="F110" s="202">
        <f t="shared" si="29"/>
        <v>9</v>
      </c>
      <c r="G110" s="203">
        <v>46856</v>
      </c>
      <c r="H110" s="203">
        <v>49000</v>
      </c>
      <c r="I110" s="204"/>
      <c r="J110" s="205">
        <f t="shared" si="30"/>
        <v>0</v>
      </c>
      <c r="K110" s="205">
        <f t="shared" si="31"/>
        <v>0</v>
      </c>
      <c r="L110" s="262">
        <f t="shared" si="32"/>
        <v>421704</v>
      </c>
      <c r="M110" s="263">
        <f t="shared" si="33"/>
        <v>441000</v>
      </c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</row>
    <row r="111" spans="1:26" ht="14.4">
      <c r="A111" s="690"/>
      <c r="B111" s="230" t="s">
        <v>59</v>
      </c>
      <c r="C111" s="261">
        <v>10</v>
      </c>
      <c r="D111" s="201"/>
      <c r="E111" s="201"/>
      <c r="F111" s="202">
        <f t="shared" si="29"/>
        <v>10</v>
      </c>
      <c r="G111" s="203">
        <v>26234</v>
      </c>
      <c r="H111" s="203">
        <v>28000</v>
      </c>
      <c r="I111" s="204"/>
      <c r="J111" s="205">
        <f t="shared" si="30"/>
        <v>0</v>
      </c>
      <c r="K111" s="205">
        <f t="shared" si="31"/>
        <v>0</v>
      </c>
      <c r="L111" s="262">
        <f t="shared" si="32"/>
        <v>262340</v>
      </c>
      <c r="M111" s="263">
        <f t="shared" si="33"/>
        <v>280000</v>
      </c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</row>
    <row r="112" spans="1:26" ht="14.4">
      <c r="A112" s="690"/>
      <c r="B112" s="230" t="s">
        <v>216</v>
      </c>
      <c r="C112" s="227">
        <v>6</v>
      </c>
      <c r="D112" s="201"/>
      <c r="E112" s="201"/>
      <c r="F112" s="202">
        <f t="shared" si="29"/>
        <v>6</v>
      </c>
      <c r="G112" s="203">
        <v>11700</v>
      </c>
      <c r="H112" s="203">
        <v>13000</v>
      </c>
      <c r="I112" s="204"/>
      <c r="J112" s="205">
        <f t="shared" si="30"/>
        <v>0</v>
      </c>
      <c r="K112" s="205">
        <f t="shared" si="31"/>
        <v>0</v>
      </c>
      <c r="L112" s="262">
        <f t="shared" si="32"/>
        <v>70200</v>
      </c>
      <c r="M112" s="263">
        <f t="shared" si="33"/>
        <v>78000</v>
      </c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</row>
    <row r="113" spans="1:26" ht="14.4">
      <c r="A113" s="690"/>
      <c r="B113" s="230" t="s">
        <v>217</v>
      </c>
      <c r="C113" s="227">
        <v>2</v>
      </c>
      <c r="D113" s="201"/>
      <c r="E113" s="201"/>
      <c r="F113" s="202">
        <f t="shared" si="29"/>
        <v>2</v>
      </c>
      <c r="G113" s="203">
        <v>51378</v>
      </c>
      <c r="H113" s="203">
        <v>53000</v>
      </c>
      <c r="I113" s="204"/>
      <c r="J113" s="205">
        <f t="shared" si="30"/>
        <v>0</v>
      </c>
      <c r="K113" s="205">
        <f t="shared" si="31"/>
        <v>0</v>
      </c>
      <c r="L113" s="262">
        <f t="shared" si="32"/>
        <v>102756</v>
      </c>
      <c r="M113" s="263">
        <f t="shared" si="33"/>
        <v>106000</v>
      </c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</row>
    <row r="114" spans="1:26" ht="14.4">
      <c r="A114" s="690"/>
      <c r="B114" s="230" t="s">
        <v>218</v>
      </c>
      <c r="C114" s="227">
        <v>1</v>
      </c>
      <c r="D114" s="201"/>
      <c r="E114" s="201"/>
      <c r="F114" s="202">
        <f t="shared" si="29"/>
        <v>1</v>
      </c>
      <c r="G114" s="203">
        <v>29440</v>
      </c>
      <c r="H114" s="203">
        <v>31000</v>
      </c>
      <c r="I114" s="204"/>
      <c r="J114" s="205">
        <f t="shared" si="30"/>
        <v>0</v>
      </c>
      <c r="K114" s="205">
        <f t="shared" si="31"/>
        <v>0</v>
      </c>
      <c r="L114" s="262">
        <f t="shared" si="32"/>
        <v>29440</v>
      </c>
      <c r="M114" s="263">
        <f t="shared" si="33"/>
        <v>31000</v>
      </c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</row>
    <row r="115" spans="1:26" ht="14.4">
      <c r="A115" s="690"/>
      <c r="B115" s="230" t="s">
        <v>659</v>
      </c>
      <c r="C115" s="229">
        <v>8</v>
      </c>
      <c r="D115" s="201"/>
      <c r="E115" s="201"/>
      <c r="F115" s="202">
        <f t="shared" si="29"/>
        <v>8</v>
      </c>
      <c r="G115" s="203">
        <v>11700</v>
      </c>
      <c r="H115" s="203">
        <v>13000</v>
      </c>
      <c r="I115" s="204"/>
      <c r="J115" s="205">
        <f t="shared" si="30"/>
        <v>0</v>
      </c>
      <c r="K115" s="205">
        <f t="shared" si="31"/>
        <v>0</v>
      </c>
      <c r="L115" s="262">
        <f t="shared" si="32"/>
        <v>93600</v>
      </c>
      <c r="M115" s="263">
        <f t="shared" si="33"/>
        <v>104000</v>
      </c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</row>
    <row r="116" spans="1:26" ht="14.4">
      <c r="A116" s="690"/>
      <c r="B116" s="230" t="s">
        <v>219</v>
      </c>
      <c r="C116" s="229">
        <v>2</v>
      </c>
      <c r="D116" s="201"/>
      <c r="E116" s="201"/>
      <c r="F116" s="202">
        <f t="shared" si="29"/>
        <v>2</v>
      </c>
      <c r="G116" s="203">
        <v>52351</v>
      </c>
      <c r="H116" s="203">
        <v>48000</v>
      </c>
      <c r="I116" s="204"/>
      <c r="J116" s="205">
        <f t="shared" si="30"/>
        <v>0</v>
      </c>
      <c r="K116" s="205">
        <f t="shared" si="31"/>
        <v>0</v>
      </c>
      <c r="L116" s="262">
        <f t="shared" si="32"/>
        <v>104702</v>
      </c>
      <c r="M116" s="263">
        <f t="shared" si="33"/>
        <v>96000</v>
      </c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</row>
    <row r="117" spans="1:26" ht="14.4">
      <c r="A117" s="690"/>
      <c r="B117" s="230" t="s">
        <v>220</v>
      </c>
      <c r="C117" s="229"/>
      <c r="D117" s="201"/>
      <c r="E117" s="201"/>
      <c r="F117" s="202">
        <f t="shared" si="29"/>
        <v>0</v>
      </c>
      <c r="G117" s="203">
        <v>67573</v>
      </c>
      <c r="H117" s="203">
        <v>68000</v>
      </c>
      <c r="I117" s="204"/>
      <c r="J117" s="205">
        <f t="shared" si="30"/>
        <v>0</v>
      </c>
      <c r="K117" s="205">
        <f t="shared" si="31"/>
        <v>0</v>
      </c>
      <c r="L117" s="262">
        <f t="shared" si="32"/>
        <v>0</v>
      </c>
      <c r="M117" s="263">
        <f t="shared" si="33"/>
        <v>0</v>
      </c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</row>
    <row r="118" spans="1:26" ht="14.4">
      <c r="A118" s="690"/>
      <c r="B118" s="230" t="s">
        <v>221</v>
      </c>
      <c r="C118" s="227">
        <v>1</v>
      </c>
      <c r="D118" s="201"/>
      <c r="E118" s="201"/>
      <c r="F118" s="202">
        <f t="shared" si="29"/>
        <v>1</v>
      </c>
      <c r="G118" s="203">
        <v>119000</v>
      </c>
      <c r="H118" s="203">
        <v>110000</v>
      </c>
      <c r="I118" s="204"/>
      <c r="J118" s="205">
        <f t="shared" si="30"/>
        <v>0</v>
      </c>
      <c r="K118" s="205">
        <f t="shared" si="31"/>
        <v>0</v>
      </c>
      <c r="L118" s="262">
        <f t="shared" si="32"/>
        <v>119000</v>
      </c>
      <c r="M118" s="263">
        <f t="shared" si="33"/>
        <v>110000</v>
      </c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</row>
    <row r="119" spans="1:26" ht="14.4">
      <c r="A119" s="690"/>
      <c r="B119" s="230" t="s">
        <v>222</v>
      </c>
      <c r="C119" s="227">
        <v>2</v>
      </c>
      <c r="D119" s="201"/>
      <c r="E119" s="201"/>
      <c r="F119" s="202">
        <f t="shared" si="29"/>
        <v>2</v>
      </c>
      <c r="G119" s="203">
        <v>49403</v>
      </c>
      <c r="H119" s="203">
        <v>46000</v>
      </c>
      <c r="I119" s="204"/>
      <c r="J119" s="205">
        <f t="shared" si="30"/>
        <v>0</v>
      </c>
      <c r="K119" s="205">
        <f t="shared" si="31"/>
        <v>0</v>
      </c>
      <c r="L119" s="262">
        <f t="shared" si="32"/>
        <v>98806</v>
      </c>
      <c r="M119" s="263">
        <f t="shared" si="33"/>
        <v>92000</v>
      </c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</row>
    <row r="120" spans="1:26" ht="14.4">
      <c r="A120" s="690"/>
      <c r="B120" s="230" t="s">
        <v>223</v>
      </c>
      <c r="C120" s="261">
        <v>3</v>
      </c>
      <c r="D120" s="201"/>
      <c r="E120" s="201"/>
      <c r="F120" s="202">
        <f t="shared" si="29"/>
        <v>3</v>
      </c>
      <c r="G120" s="203">
        <v>26477</v>
      </c>
      <c r="H120" s="203">
        <v>26000</v>
      </c>
      <c r="I120" s="204"/>
      <c r="J120" s="205">
        <f t="shared" si="30"/>
        <v>0</v>
      </c>
      <c r="K120" s="205">
        <f t="shared" si="31"/>
        <v>0</v>
      </c>
      <c r="L120" s="262">
        <f t="shared" si="32"/>
        <v>79431</v>
      </c>
      <c r="M120" s="263">
        <f t="shared" si="33"/>
        <v>78000</v>
      </c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</row>
    <row r="121" spans="1:26" ht="14.4">
      <c r="A121" s="690"/>
      <c r="B121" s="230" t="s">
        <v>224</v>
      </c>
      <c r="C121" s="261">
        <v>5</v>
      </c>
      <c r="D121" s="201"/>
      <c r="E121" s="201"/>
      <c r="F121" s="202">
        <f t="shared" si="29"/>
        <v>5</v>
      </c>
      <c r="G121" s="203">
        <v>12985</v>
      </c>
      <c r="H121" s="203">
        <v>13000</v>
      </c>
      <c r="I121" s="204"/>
      <c r="J121" s="205">
        <f t="shared" si="30"/>
        <v>0</v>
      </c>
      <c r="K121" s="205">
        <f t="shared" si="31"/>
        <v>0</v>
      </c>
      <c r="L121" s="262">
        <f t="shared" si="32"/>
        <v>64925</v>
      </c>
      <c r="M121" s="263">
        <f t="shared" si="33"/>
        <v>65000</v>
      </c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</row>
    <row r="122" spans="1:26" ht="14.4">
      <c r="A122" s="690"/>
      <c r="B122" s="230" t="s">
        <v>53</v>
      </c>
      <c r="C122" s="261"/>
      <c r="D122" s="201"/>
      <c r="E122" s="201"/>
      <c r="F122" s="202">
        <f t="shared" si="29"/>
        <v>0</v>
      </c>
      <c r="G122" s="203">
        <v>47400</v>
      </c>
      <c r="H122" s="203">
        <v>50000</v>
      </c>
      <c r="I122" s="204"/>
      <c r="J122" s="205">
        <f t="shared" si="30"/>
        <v>0</v>
      </c>
      <c r="K122" s="205">
        <f t="shared" si="31"/>
        <v>0</v>
      </c>
      <c r="L122" s="262">
        <f t="shared" si="32"/>
        <v>0</v>
      </c>
      <c r="M122" s="263">
        <f t="shared" si="33"/>
        <v>0</v>
      </c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</row>
    <row r="123" spans="1:26" ht="14.4">
      <c r="A123" s="690"/>
      <c r="B123" s="230" t="s">
        <v>54</v>
      </c>
      <c r="C123" s="261">
        <v>6</v>
      </c>
      <c r="D123" s="201"/>
      <c r="E123" s="201"/>
      <c r="F123" s="202">
        <f t="shared" si="29"/>
        <v>6</v>
      </c>
      <c r="G123" s="203">
        <v>27500</v>
      </c>
      <c r="H123" s="203">
        <v>28000</v>
      </c>
      <c r="I123" s="204"/>
      <c r="J123" s="205">
        <f t="shared" si="30"/>
        <v>0</v>
      </c>
      <c r="K123" s="205">
        <f t="shared" si="31"/>
        <v>0</v>
      </c>
      <c r="L123" s="262">
        <f t="shared" si="32"/>
        <v>165000</v>
      </c>
      <c r="M123" s="263">
        <f t="shared" si="33"/>
        <v>168000</v>
      </c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</row>
    <row r="124" spans="1:26" ht="14.4">
      <c r="A124" s="690"/>
      <c r="B124" s="230" t="s">
        <v>225</v>
      </c>
      <c r="C124" s="229"/>
      <c r="D124" s="201"/>
      <c r="E124" s="201"/>
      <c r="F124" s="202">
        <f t="shared" si="29"/>
        <v>0</v>
      </c>
      <c r="G124" s="203">
        <v>57800</v>
      </c>
      <c r="H124" s="203">
        <v>56000</v>
      </c>
      <c r="I124" s="204"/>
      <c r="J124" s="205">
        <f t="shared" si="30"/>
        <v>0</v>
      </c>
      <c r="K124" s="205">
        <f t="shared" si="31"/>
        <v>0</v>
      </c>
      <c r="L124" s="262">
        <f t="shared" si="32"/>
        <v>0</v>
      </c>
      <c r="M124" s="263">
        <f t="shared" si="33"/>
        <v>0</v>
      </c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</row>
    <row r="125" spans="1:26" ht="14.4">
      <c r="A125" s="690"/>
      <c r="B125" s="230" t="s">
        <v>226</v>
      </c>
      <c r="C125" s="261">
        <v>1</v>
      </c>
      <c r="D125" s="201"/>
      <c r="E125" s="201"/>
      <c r="F125" s="202">
        <f t="shared" si="29"/>
        <v>1</v>
      </c>
      <c r="G125" s="203">
        <v>97400</v>
      </c>
      <c r="H125" s="203">
        <v>95000</v>
      </c>
      <c r="I125" s="204"/>
      <c r="J125" s="205">
        <f t="shared" si="30"/>
        <v>0</v>
      </c>
      <c r="K125" s="205">
        <f t="shared" si="31"/>
        <v>0</v>
      </c>
      <c r="L125" s="262">
        <f t="shared" si="32"/>
        <v>97400</v>
      </c>
      <c r="M125" s="263">
        <f t="shared" si="33"/>
        <v>95000</v>
      </c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</row>
    <row r="126" spans="1:26" ht="14.4">
      <c r="A126" s="690"/>
      <c r="B126" s="230" t="s">
        <v>227</v>
      </c>
      <c r="C126" s="229">
        <v>1</v>
      </c>
      <c r="D126" s="201"/>
      <c r="E126" s="201"/>
      <c r="F126" s="202">
        <f t="shared" si="29"/>
        <v>1</v>
      </c>
      <c r="G126" s="203">
        <v>59900</v>
      </c>
      <c r="H126" s="203">
        <v>65000</v>
      </c>
      <c r="I126" s="204"/>
      <c r="J126" s="205">
        <f t="shared" si="30"/>
        <v>0</v>
      </c>
      <c r="K126" s="205">
        <f t="shared" si="31"/>
        <v>0</v>
      </c>
      <c r="L126" s="262">
        <f t="shared" si="32"/>
        <v>59900</v>
      </c>
      <c r="M126" s="263">
        <f t="shared" si="33"/>
        <v>65000</v>
      </c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</row>
    <row r="127" spans="1:26" ht="14.4">
      <c r="A127" s="690"/>
      <c r="B127" s="230" t="s">
        <v>228</v>
      </c>
      <c r="C127" s="227">
        <v>1</v>
      </c>
      <c r="D127" s="201"/>
      <c r="E127" s="201"/>
      <c r="F127" s="202">
        <f t="shared" si="29"/>
        <v>1</v>
      </c>
      <c r="G127" s="203">
        <v>50000</v>
      </c>
      <c r="H127" s="203">
        <v>54000</v>
      </c>
      <c r="I127" s="224"/>
      <c r="J127" s="205">
        <f t="shared" si="30"/>
        <v>0</v>
      </c>
      <c r="K127" s="205">
        <f t="shared" si="31"/>
        <v>0</v>
      </c>
      <c r="L127" s="262">
        <f t="shared" si="32"/>
        <v>50000</v>
      </c>
      <c r="M127" s="263">
        <f t="shared" si="33"/>
        <v>54000</v>
      </c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</row>
    <row r="128" spans="1:26" ht="14.4">
      <c r="A128" s="690"/>
      <c r="B128" s="230" t="s">
        <v>229</v>
      </c>
      <c r="C128" s="261">
        <v>1</v>
      </c>
      <c r="D128" s="201"/>
      <c r="E128" s="201"/>
      <c r="F128" s="202">
        <f t="shared" si="29"/>
        <v>1</v>
      </c>
      <c r="G128" s="203">
        <v>57000</v>
      </c>
      <c r="H128" s="203">
        <v>59000</v>
      </c>
      <c r="I128" s="224"/>
      <c r="J128" s="205">
        <f t="shared" si="30"/>
        <v>0</v>
      </c>
      <c r="K128" s="205">
        <f t="shared" si="31"/>
        <v>0</v>
      </c>
      <c r="L128" s="262">
        <f t="shared" si="32"/>
        <v>57000</v>
      </c>
      <c r="M128" s="263">
        <f t="shared" si="33"/>
        <v>59000</v>
      </c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</row>
    <row r="129" spans="1:26" ht="14.4">
      <c r="A129" s="690"/>
      <c r="B129" s="230" t="s">
        <v>230</v>
      </c>
      <c r="C129" s="261">
        <v>5</v>
      </c>
      <c r="D129" s="201"/>
      <c r="E129" s="201"/>
      <c r="F129" s="202">
        <f t="shared" si="29"/>
        <v>5</v>
      </c>
      <c r="G129" s="203">
        <v>55500</v>
      </c>
      <c r="H129" s="203">
        <v>54000</v>
      </c>
      <c r="I129" s="204"/>
      <c r="J129" s="205">
        <f t="shared" si="30"/>
        <v>0</v>
      </c>
      <c r="K129" s="205">
        <f t="shared" si="31"/>
        <v>0</v>
      </c>
      <c r="L129" s="262">
        <f t="shared" si="32"/>
        <v>277500</v>
      </c>
      <c r="M129" s="263">
        <f t="shared" si="33"/>
        <v>270000</v>
      </c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</row>
    <row r="130" spans="1:26" ht="14.4">
      <c r="A130" s="690"/>
      <c r="B130" s="230" t="s">
        <v>231</v>
      </c>
      <c r="C130" s="229">
        <v>22</v>
      </c>
      <c r="D130" s="201"/>
      <c r="E130" s="201"/>
      <c r="F130" s="202">
        <f t="shared" si="29"/>
        <v>22</v>
      </c>
      <c r="G130" s="203">
        <v>29000</v>
      </c>
      <c r="H130" s="203">
        <v>29200</v>
      </c>
      <c r="I130" s="204"/>
      <c r="J130" s="205">
        <f t="shared" si="30"/>
        <v>0</v>
      </c>
      <c r="K130" s="205">
        <f t="shared" si="31"/>
        <v>0</v>
      </c>
      <c r="L130" s="262">
        <f t="shared" si="32"/>
        <v>638000</v>
      </c>
      <c r="M130" s="263">
        <f t="shared" si="33"/>
        <v>642400</v>
      </c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</row>
    <row r="131" spans="1:26" ht="14.4">
      <c r="A131" s="690"/>
      <c r="B131" s="230" t="s">
        <v>232</v>
      </c>
      <c r="C131" s="261"/>
      <c r="D131" s="201"/>
      <c r="E131" s="201"/>
      <c r="F131" s="202">
        <f t="shared" si="29"/>
        <v>0</v>
      </c>
      <c r="G131" s="203">
        <v>17000</v>
      </c>
      <c r="H131" s="203">
        <v>19000</v>
      </c>
      <c r="I131" s="204"/>
      <c r="J131" s="205">
        <f t="shared" si="30"/>
        <v>0</v>
      </c>
      <c r="K131" s="205">
        <f t="shared" si="31"/>
        <v>0</v>
      </c>
      <c r="L131" s="262">
        <f t="shared" si="32"/>
        <v>0</v>
      </c>
      <c r="M131" s="263">
        <f t="shared" si="33"/>
        <v>0</v>
      </c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</row>
    <row r="132" spans="1:26" ht="14.4">
      <c r="A132" s="690"/>
      <c r="B132" s="230" t="s">
        <v>233</v>
      </c>
      <c r="C132" s="227">
        <v>1</v>
      </c>
      <c r="D132" s="201"/>
      <c r="E132" s="201"/>
      <c r="F132" s="202">
        <f t="shared" si="29"/>
        <v>1</v>
      </c>
      <c r="G132" s="203">
        <v>54500</v>
      </c>
      <c r="H132" s="203">
        <v>58000</v>
      </c>
      <c r="I132" s="204"/>
      <c r="J132" s="205">
        <f t="shared" si="30"/>
        <v>0</v>
      </c>
      <c r="K132" s="205">
        <f t="shared" si="31"/>
        <v>0</v>
      </c>
      <c r="L132" s="262">
        <f t="shared" si="32"/>
        <v>54500</v>
      </c>
      <c r="M132" s="263">
        <f t="shared" si="33"/>
        <v>58000</v>
      </c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</row>
    <row r="133" spans="1:26" ht="14.4">
      <c r="A133" s="690"/>
      <c r="B133" s="230" t="s">
        <v>234</v>
      </c>
      <c r="C133" s="261">
        <v>3</v>
      </c>
      <c r="D133" s="201"/>
      <c r="E133" s="201"/>
      <c r="F133" s="202">
        <f t="shared" si="29"/>
        <v>3</v>
      </c>
      <c r="G133" s="203">
        <v>29000</v>
      </c>
      <c r="H133" s="203">
        <v>32000</v>
      </c>
      <c r="I133" s="204"/>
      <c r="J133" s="205">
        <f t="shared" si="30"/>
        <v>0</v>
      </c>
      <c r="K133" s="205">
        <f t="shared" si="31"/>
        <v>0</v>
      </c>
      <c r="L133" s="262">
        <f t="shared" si="32"/>
        <v>87000</v>
      </c>
      <c r="M133" s="263">
        <f t="shared" si="33"/>
        <v>96000</v>
      </c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</row>
    <row r="134" spans="1:26" ht="14.4">
      <c r="A134" s="690"/>
      <c r="B134" s="230" t="s">
        <v>235</v>
      </c>
      <c r="C134" s="227">
        <v>1</v>
      </c>
      <c r="D134" s="201"/>
      <c r="E134" s="201"/>
      <c r="F134" s="202">
        <f t="shared" si="29"/>
        <v>1</v>
      </c>
      <c r="G134" s="203">
        <v>80000</v>
      </c>
      <c r="H134" s="203">
        <v>86000</v>
      </c>
      <c r="I134" s="204"/>
      <c r="J134" s="205">
        <f t="shared" si="30"/>
        <v>0</v>
      </c>
      <c r="K134" s="205">
        <f t="shared" si="31"/>
        <v>0</v>
      </c>
      <c r="L134" s="262">
        <f t="shared" si="32"/>
        <v>80000</v>
      </c>
      <c r="M134" s="263">
        <f t="shared" si="33"/>
        <v>86000</v>
      </c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</row>
    <row r="135" spans="1:26" ht="14.4">
      <c r="A135" s="690"/>
      <c r="B135" s="230" t="s">
        <v>236</v>
      </c>
      <c r="C135" s="227">
        <v>2</v>
      </c>
      <c r="D135" s="201"/>
      <c r="E135" s="201"/>
      <c r="F135" s="202">
        <f t="shared" si="29"/>
        <v>2</v>
      </c>
      <c r="G135" s="203">
        <v>40500</v>
      </c>
      <c r="H135" s="203">
        <v>45000</v>
      </c>
      <c r="I135" s="204"/>
      <c r="J135" s="205">
        <f t="shared" si="30"/>
        <v>0</v>
      </c>
      <c r="K135" s="205">
        <f t="shared" si="31"/>
        <v>0</v>
      </c>
      <c r="L135" s="262">
        <f t="shared" si="32"/>
        <v>81000</v>
      </c>
      <c r="M135" s="263">
        <f t="shared" si="33"/>
        <v>90000</v>
      </c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</row>
    <row r="136" spans="1:26" ht="14.4">
      <c r="A136" s="690"/>
      <c r="B136" s="230" t="s">
        <v>237</v>
      </c>
      <c r="C136" s="261"/>
      <c r="D136" s="201"/>
      <c r="E136" s="201"/>
      <c r="F136" s="202">
        <f t="shared" si="29"/>
        <v>0</v>
      </c>
      <c r="G136" s="203">
        <v>45100</v>
      </c>
      <c r="H136" s="203">
        <v>48000</v>
      </c>
      <c r="I136" s="204"/>
      <c r="J136" s="205">
        <f t="shared" si="30"/>
        <v>0</v>
      </c>
      <c r="K136" s="205">
        <f t="shared" si="31"/>
        <v>0</v>
      </c>
      <c r="L136" s="262">
        <f t="shared" si="32"/>
        <v>0</v>
      </c>
      <c r="M136" s="263">
        <f t="shared" si="33"/>
        <v>0</v>
      </c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</row>
    <row r="137" spans="1:26" ht="14.4">
      <c r="A137" s="690"/>
      <c r="B137" s="230" t="s">
        <v>238</v>
      </c>
      <c r="C137" s="261"/>
      <c r="D137" s="201"/>
      <c r="E137" s="201"/>
      <c r="F137" s="202">
        <f t="shared" si="29"/>
        <v>0</v>
      </c>
      <c r="G137" s="203">
        <v>54600</v>
      </c>
      <c r="H137" s="203">
        <v>59000</v>
      </c>
      <c r="I137" s="204"/>
      <c r="J137" s="205">
        <f t="shared" si="30"/>
        <v>0</v>
      </c>
      <c r="K137" s="205">
        <f t="shared" si="31"/>
        <v>0</v>
      </c>
      <c r="L137" s="262">
        <f t="shared" si="32"/>
        <v>0</v>
      </c>
      <c r="M137" s="263">
        <f t="shared" si="33"/>
        <v>0</v>
      </c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</row>
    <row r="138" spans="1:26" ht="14.4">
      <c r="A138" s="690"/>
      <c r="B138" s="230" t="s">
        <v>239</v>
      </c>
      <c r="C138" s="227">
        <v>1</v>
      </c>
      <c r="D138" s="201"/>
      <c r="E138" s="201"/>
      <c r="F138" s="202">
        <f t="shared" si="29"/>
        <v>1</v>
      </c>
      <c r="G138" s="203">
        <v>102000</v>
      </c>
      <c r="H138" s="203">
        <v>110000</v>
      </c>
      <c r="I138" s="204"/>
      <c r="J138" s="205">
        <f t="shared" si="30"/>
        <v>0</v>
      </c>
      <c r="K138" s="205">
        <f t="shared" si="31"/>
        <v>0</v>
      </c>
      <c r="L138" s="262">
        <f t="shared" si="32"/>
        <v>102000</v>
      </c>
      <c r="M138" s="263">
        <f t="shared" si="33"/>
        <v>110000</v>
      </c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</row>
    <row r="139" spans="1:26" ht="14.4">
      <c r="A139" s="690"/>
      <c r="B139" s="230" t="s">
        <v>240</v>
      </c>
      <c r="C139" s="227">
        <v>1</v>
      </c>
      <c r="D139" s="201"/>
      <c r="E139" s="201"/>
      <c r="F139" s="202">
        <f t="shared" si="29"/>
        <v>1</v>
      </c>
      <c r="G139" s="203">
        <v>45000</v>
      </c>
      <c r="H139" s="203">
        <v>48000</v>
      </c>
      <c r="I139" s="204"/>
      <c r="J139" s="205">
        <f t="shared" si="30"/>
        <v>0</v>
      </c>
      <c r="K139" s="205">
        <f t="shared" si="31"/>
        <v>0</v>
      </c>
      <c r="L139" s="262">
        <f t="shared" si="32"/>
        <v>45000</v>
      </c>
      <c r="M139" s="263">
        <f t="shared" si="33"/>
        <v>48000</v>
      </c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</row>
    <row r="140" spans="1:26" ht="14.4">
      <c r="A140" s="690"/>
      <c r="B140" s="230" t="s">
        <v>241</v>
      </c>
      <c r="C140" s="227">
        <v>2</v>
      </c>
      <c r="D140" s="201"/>
      <c r="E140" s="201"/>
      <c r="F140" s="202">
        <f t="shared" si="29"/>
        <v>2</v>
      </c>
      <c r="G140" s="203">
        <v>24000</v>
      </c>
      <c r="H140" s="203">
        <v>26000</v>
      </c>
      <c r="I140" s="204"/>
      <c r="J140" s="205">
        <f t="shared" si="30"/>
        <v>0</v>
      </c>
      <c r="K140" s="205">
        <f t="shared" si="31"/>
        <v>0</v>
      </c>
      <c r="L140" s="262">
        <f t="shared" si="32"/>
        <v>48000</v>
      </c>
      <c r="M140" s="263">
        <f t="shared" si="33"/>
        <v>52000</v>
      </c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</row>
    <row r="141" spans="1:26" ht="14.4">
      <c r="A141" s="690"/>
      <c r="B141" s="264" t="s">
        <v>242</v>
      </c>
      <c r="C141" s="261">
        <v>9</v>
      </c>
      <c r="D141" s="201"/>
      <c r="E141" s="201"/>
      <c r="F141" s="202">
        <f t="shared" si="29"/>
        <v>9</v>
      </c>
      <c r="G141" s="210">
        <v>36000</v>
      </c>
      <c r="H141" s="210">
        <v>39500</v>
      </c>
      <c r="I141" s="204"/>
      <c r="J141" s="205">
        <f t="shared" si="30"/>
        <v>0</v>
      </c>
      <c r="K141" s="205">
        <f t="shared" si="31"/>
        <v>0</v>
      </c>
      <c r="L141" s="262">
        <f t="shared" si="32"/>
        <v>324000</v>
      </c>
      <c r="M141" s="263">
        <f t="shared" si="33"/>
        <v>355500</v>
      </c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</row>
    <row r="142" spans="1:26" ht="14.4">
      <c r="A142" s="690"/>
      <c r="B142" s="230" t="s">
        <v>243</v>
      </c>
      <c r="C142" s="227">
        <v>4</v>
      </c>
      <c r="D142" s="201"/>
      <c r="E142" s="201"/>
      <c r="F142" s="202">
        <f t="shared" si="29"/>
        <v>4</v>
      </c>
      <c r="G142" s="210">
        <v>9000</v>
      </c>
      <c r="H142" s="210">
        <v>9500</v>
      </c>
      <c r="I142" s="204"/>
      <c r="J142" s="205">
        <f t="shared" si="30"/>
        <v>0</v>
      </c>
      <c r="K142" s="205">
        <f t="shared" si="31"/>
        <v>0</v>
      </c>
      <c r="L142" s="262">
        <f t="shared" si="32"/>
        <v>36000</v>
      </c>
      <c r="M142" s="263">
        <f t="shared" si="33"/>
        <v>38000</v>
      </c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</row>
    <row r="143" spans="1:26" ht="14.4">
      <c r="A143" s="690"/>
      <c r="B143" s="230" t="s">
        <v>244</v>
      </c>
      <c r="C143" s="227">
        <v>2</v>
      </c>
      <c r="D143" s="201"/>
      <c r="E143" s="201"/>
      <c r="F143" s="202">
        <f t="shared" si="29"/>
        <v>2</v>
      </c>
      <c r="G143" s="212">
        <v>72000</v>
      </c>
      <c r="H143" s="212">
        <v>78000</v>
      </c>
      <c r="I143" s="213"/>
      <c r="J143" s="205">
        <f t="shared" si="30"/>
        <v>0</v>
      </c>
      <c r="K143" s="205">
        <f t="shared" si="31"/>
        <v>0</v>
      </c>
      <c r="L143" s="262">
        <f t="shared" si="32"/>
        <v>144000</v>
      </c>
      <c r="M143" s="263">
        <f t="shared" si="33"/>
        <v>156000</v>
      </c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</row>
    <row r="144" spans="1:26" ht="14.4">
      <c r="A144" s="690"/>
      <c r="B144" s="268" t="s">
        <v>245</v>
      </c>
      <c r="C144" s="227"/>
      <c r="D144" s="201"/>
      <c r="E144" s="201"/>
      <c r="F144" s="202">
        <f t="shared" si="29"/>
        <v>0</v>
      </c>
      <c r="G144" s="212">
        <v>46000</v>
      </c>
      <c r="H144" s="212">
        <v>50000</v>
      </c>
      <c r="I144" s="213"/>
      <c r="J144" s="205">
        <f t="shared" si="30"/>
        <v>0</v>
      </c>
      <c r="K144" s="205">
        <f t="shared" si="31"/>
        <v>0</v>
      </c>
      <c r="L144" s="262">
        <f t="shared" si="32"/>
        <v>0</v>
      </c>
      <c r="M144" s="263">
        <f t="shared" si="33"/>
        <v>0</v>
      </c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</row>
    <row r="145" spans="1:26" ht="14.4">
      <c r="A145" s="690"/>
      <c r="B145" s="268" t="s">
        <v>246</v>
      </c>
      <c r="C145" s="227"/>
      <c r="D145" s="201"/>
      <c r="E145" s="201"/>
      <c r="F145" s="202">
        <f t="shared" si="29"/>
        <v>0</v>
      </c>
      <c r="G145" s="212">
        <v>26000</v>
      </c>
      <c r="H145" s="212">
        <v>28000</v>
      </c>
      <c r="I145" s="213"/>
      <c r="J145" s="205">
        <f t="shared" si="30"/>
        <v>0</v>
      </c>
      <c r="K145" s="205">
        <f t="shared" si="31"/>
        <v>0</v>
      </c>
      <c r="L145" s="262">
        <f t="shared" si="32"/>
        <v>0</v>
      </c>
      <c r="M145" s="263">
        <f t="shared" si="33"/>
        <v>0</v>
      </c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</row>
    <row r="146" spans="1:26" ht="14.4">
      <c r="A146" s="690"/>
      <c r="B146" s="268" t="s">
        <v>247</v>
      </c>
      <c r="C146" s="227"/>
      <c r="D146" s="201"/>
      <c r="E146" s="201"/>
      <c r="F146" s="202">
        <f t="shared" si="29"/>
        <v>0</v>
      </c>
      <c r="G146" s="212">
        <v>39000</v>
      </c>
      <c r="H146" s="212">
        <v>42000</v>
      </c>
      <c r="I146" s="213"/>
      <c r="J146" s="205">
        <f t="shared" si="30"/>
        <v>0</v>
      </c>
      <c r="K146" s="205">
        <f t="shared" si="31"/>
        <v>0</v>
      </c>
      <c r="L146" s="262">
        <f t="shared" si="32"/>
        <v>0</v>
      </c>
      <c r="M146" s="263">
        <f t="shared" si="33"/>
        <v>0</v>
      </c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</row>
    <row r="147" spans="1:26" ht="14.4">
      <c r="A147" s="690"/>
      <c r="B147" s="268" t="s">
        <v>248</v>
      </c>
      <c r="C147" s="227">
        <v>3</v>
      </c>
      <c r="D147" s="201"/>
      <c r="E147" s="201"/>
      <c r="F147" s="202">
        <f t="shared" si="29"/>
        <v>3</v>
      </c>
      <c r="G147" s="212">
        <v>21000</v>
      </c>
      <c r="H147" s="212">
        <v>23000</v>
      </c>
      <c r="I147" s="213"/>
      <c r="J147" s="205">
        <f t="shared" si="30"/>
        <v>0</v>
      </c>
      <c r="K147" s="205">
        <f t="shared" si="31"/>
        <v>0</v>
      </c>
      <c r="L147" s="262">
        <f t="shared" si="32"/>
        <v>63000</v>
      </c>
      <c r="M147" s="263">
        <f t="shared" si="33"/>
        <v>69000</v>
      </c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</row>
    <row r="148" spans="1:26" ht="14.4">
      <c r="A148" s="690"/>
      <c r="B148" s="269" t="s">
        <v>249</v>
      </c>
      <c r="C148" s="270"/>
      <c r="D148" s="271"/>
      <c r="E148" s="271"/>
      <c r="F148" s="272">
        <f t="shared" si="29"/>
        <v>0</v>
      </c>
      <c r="G148" s="212">
        <v>38500</v>
      </c>
      <c r="H148" s="212">
        <v>42000</v>
      </c>
      <c r="I148" s="240"/>
      <c r="J148" s="273">
        <f t="shared" si="30"/>
        <v>0</v>
      </c>
      <c r="K148" s="273">
        <f t="shared" si="31"/>
        <v>0</v>
      </c>
      <c r="L148" s="274">
        <f t="shared" si="32"/>
        <v>0</v>
      </c>
      <c r="M148" s="263">
        <f t="shared" si="33"/>
        <v>0</v>
      </c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</row>
    <row r="149" spans="1:26" ht="14.4">
      <c r="A149" s="691"/>
      <c r="B149" s="275"/>
      <c r="C149" s="276"/>
      <c r="D149" s="276"/>
      <c r="E149" s="277"/>
      <c r="F149" s="278">
        <f>SUM(F90:F141)</f>
        <v>205</v>
      </c>
      <c r="G149" s="279">
        <f t="shared" ref="G149:H149" si="34">SUM(G90:G143)</f>
        <v>2628231</v>
      </c>
      <c r="H149" s="279">
        <f t="shared" si="34"/>
        <v>2739700</v>
      </c>
      <c r="I149" s="280">
        <f>SUM(I90:I141)</f>
        <v>0</v>
      </c>
      <c r="J149" s="281">
        <f t="shared" ref="J149:K149" si="35">SUM(J90:J143)</f>
        <v>0</v>
      </c>
      <c r="K149" s="281">
        <f t="shared" si="35"/>
        <v>0</v>
      </c>
      <c r="L149" s="281">
        <f>SUM(L90:L148)</f>
        <v>8099895</v>
      </c>
      <c r="M149" s="281">
        <f>SUM(M90:M143)</f>
        <v>8408900</v>
      </c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</row>
    <row r="150" spans="1:26" ht="14.4">
      <c r="A150" s="692"/>
      <c r="B150" s="282" t="s">
        <v>250</v>
      </c>
      <c r="C150" s="283">
        <v>2.5</v>
      </c>
      <c r="D150" s="284"/>
      <c r="E150" s="284"/>
      <c r="F150" s="285">
        <f t="shared" ref="F150:F160" si="36">+C150+D150-E150</f>
        <v>2.5</v>
      </c>
      <c r="G150" s="286">
        <v>37000</v>
      </c>
      <c r="H150" s="286">
        <v>40000</v>
      </c>
      <c r="I150" s="287"/>
      <c r="J150" s="288">
        <f t="shared" ref="J150:J160" si="37">+I150*H150</f>
        <v>0</v>
      </c>
      <c r="K150" s="288">
        <f t="shared" ref="K150:K160" si="38">+(H150-G150)*I150</f>
        <v>0</v>
      </c>
      <c r="L150" s="289">
        <f t="shared" ref="L150:L160" si="39">+G150*F150</f>
        <v>92500</v>
      </c>
      <c r="M150" s="290">
        <f t="shared" ref="M150:M160" si="40">F150*H150</f>
        <v>100000</v>
      </c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</row>
    <row r="151" spans="1:26" ht="14.4">
      <c r="A151" s="693"/>
      <c r="B151" s="291" t="s">
        <v>251</v>
      </c>
      <c r="C151" s="227"/>
      <c r="D151" s="201"/>
      <c r="E151" s="201"/>
      <c r="F151" s="202">
        <f t="shared" si="36"/>
        <v>0</v>
      </c>
      <c r="G151" s="203">
        <v>6000</v>
      </c>
      <c r="H151" s="203">
        <v>7000</v>
      </c>
      <c r="I151" s="204"/>
      <c r="J151" s="205">
        <f t="shared" si="37"/>
        <v>0</v>
      </c>
      <c r="K151" s="205">
        <f t="shared" si="38"/>
        <v>0</v>
      </c>
      <c r="L151" s="250">
        <f t="shared" si="39"/>
        <v>0</v>
      </c>
      <c r="M151" s="292">
        <f t="shared" si="40"/>
        <v>0</v>
      </c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</row>
    <row r="152" spans="1:26" ht="14.4">
      <c r="A152" s="693"/>
      <c r="B152" s="291" t="s">
        <v>252</v>
      </c>
      <c r="C152" s="227">
        <v>61</v>
      </c>
      <c r="D152" s="201"/>
      <c r="E152" s="201"/>
      <c r="F152" s="202">
        <f t="shared" si="36"/>
        <v>61</v>
      </c>
      <c r="G152" s="203">
        <v>45800</v>
      </c>
      <c r="H152" s="203">
        <v>54000</v>
      </c>
      <c r="I152" s="204"/>
      <c r="J152" s="205">
        <f t="shared" si="37"/>
        <v>0</v>
      </c>
      <c r="K152" s="205">
        <f t="shared" si="38"/>
        <v>0</v>
      </c>
      <c r="L152" s="250">
        <f t="shared" si="39"/>
        <v>2793800</v>
      </c>
      <c r="M152" s="292">
        <f t="shared" si="40"/>
        <v>3294000</v>
      </c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</row>
    <row r="153" spans="1:26" ht="14.4">
      <c r="A153" s="693"/>
      <c r="B153" s="291" t="s">
        <v>253</v>
      </c>
      <c r="C153" s="238">
        <v>8</v>
      </c>
      <c r="D153" s="201"/>
      <c r="E153" s="201"/>
      <c r="F153" s="202">
        <f t="shared" si="36"/>
        <v>8</v>
      </c>
      <c r="G153" s="203">
        <v>28500</v>
      </c>
      <c r="H153" s="203">
        <v>31700</v>
      </c>
      <c r="I153" s="204"/>
      <c r="J153" s="205">
        <f t="shared" si="37"/>
        <v>0</v>
      </c>
      <c r="K153" s="205">
        <f t="shared" si="38"/>
        <v>0</v>
      </c>
      <c r="L153" s="250">
        <f t="shared" si="39"/>
        <v>228000</v>
      </c>
      <c r="M153" s="292">
        <f t="shared" si="40"/>
        <v>253600</v>
      </c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</row>
    <row r="154" spans="1:26" ht="14.4">
      <c r="A154" s="693"/>
      <c r="B154" s="291" t="s">
        <v>254</v>
      </c>
      <c r="C154" s="229"/>
      <c r="D154" s="201"/>
      <c r="E154" s="201"/>
      <c r="F154" s="202">
        <f t="shared" si="36"/>
        <v>0</v>
      </c>
      <c r="G154" s="203">
        <v>32000</v>
      </c>
      <c r="H154" s="203">
        <v>33700</v>
      </c>
      <c r="I154" s="204"/>
      <c r="J154" s="205">
        <f t="shared" si="37"/>
        <v>0</v>
      </c>
      <c r="K154" s="205">
        <f t="shared" si="38"/>
        <v>0</v>
      </c>
      <c r="L154" s="250">
        <f t="shared" si="39"/>
        <v>0</v>
      </c>
      <c r="M154" s="292">
        <f t="shared" si="40"/>
        <v>0</v>
      </c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</row>
    <row r="155" spans="1:26" ht="14.4">
      <c r="A155" s="693"/>
      <c r="B155" s="291" t="s">
        <v>255</v>
      </c>
      <c r="C155" s="227">
        <v>2</v>
      </c>
      <c r="D155" s="201"/>
      <c r="E155" s="201"/>
      <c r="F155" s="202">
        <f t="shared" si="36"/>
        <v>2</v>
      </c>
      <c r="G155" s="203">
        <v>10500</v>
      </c>
      <c r="H155" s="203">
        <v>12500</v>
      </c>
      <c r="I155" s="204"/>
      <c r="J155" s="205">
        <f t="shared" si="37"/>
        <v>0</v>
      </c>
      <c r="K155" s="205">
        <f t="shared" si="38"/>
        <v>0</v>
      </c>
      <c r="L155" s="250">
        <f t="shared" si="39"/>
        <v>21000</v>
      </c>
      <c r="M155" s="292">
        <f t="shared" si="40"/>
        <v>25000</v>
      </c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</row>
    <row r="156" spans="1:26" ht="14.4">
      <c r="A156" s="693"/>
      <c r="B156" s="291" t="s">
        <v>256</v>
      </c>
      <c r="C156" s="227">
        <v>10.5</v>
      </c>
      <c r="D156" s="201"/>
      <c r="E156" s="201"/>
      <c r="F156" s="202">
        <f t="shared" si="36"/>
        <v>10.5</v>
      </c>
      <c r="G156" s="203">
        <v>46000</v>
      </c>
      <c r="H156" s="203">
        <v>52000</v>
      </c>
      <c r="I156" s="204"/>
      <c r="J156" s="205">
        <f t="shared" si="37"/>
        <v>0</v>
      </c>
      <c r="K156" s="205">
        <f t="shared" si="38"/>
        <v>0</v>
      </c>
      <c r="L156" s="250">
        <f t="shared" si="39"/>
        <v>483000</v>
      </c>
      <c r="M156" s="292">
        <f t="shared" si="40"/>
        <v>546000</v>
      </c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</row>
    <row r="157" spans="1:26" ht="14.4">
      <c r="A157" s="693"/>
      <c r="B157" s="291" t="s">
        <v>257</v>
      </c>
      <c r="C157" s="227">
        <v>80</v>
      </c>
      <c r="D157" s="201"/>
      <c r="E157" s="201"/>
      <c r="F157" s="202">
        <f t="shared" si="36"/>
        <v>80</v>
      </c>
      <c r="G157" s="203">
        <v>51900</v>
      </c>
      <c r="H157" s="203">
        <v>61000</v>
      </c>
      <c r="I157" s="204"/>
      <c r="J157" s="205">
        <f t="shared" si="37"/>
        <v>0</v>
      </c>
      <c r="K157" s="205">
        <f t="shared" si="38"/>
        <v>0</v>
      </c>
      <c r="L157" s="250">
        <f t="shared" si="39"/>
        <v>4152000</v>
      </c>
      <c r="M157" s="292">
        <f t="shared" si="40"/>
        <v>4880000</v>
      </c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</row>
    <row r="158" spans="1:26" ht="14.4">
      <c r="A158" s="693"/>
      <c r="B158" s="291" t="s">
        <v>258</v>
      </c>
      <c r="C158" s="227">
        <v>17</v>
      </c>
      <c r="D158" s="293"/>
      <c r="E158" s="201"/>
      <c r="F158" s="202">
        <f t="shared" si="36"/>
        <v>17</v>
      </c>
      <c r="G158" s="203">
        <v>36400</v>
      </c>
      <c r="H158" s="203">
        <v>44000</v>
      </c>
      <c r="I158" s="204"/>
      <c r="J158" s="205">
        <f t="shared" si="37"/>
        <v>0</v>
      </c>
      <c r="K158" s="205">
        <f t="shared" si="38"/>
        <v>0</v>
      </c>
      <c r="L158" s="250">
        <f t="shared" si="39"/>
        <v>618800</v>
      </c>
      <c r="M158" s="292">
        <f t="shared" si="40"/>
        <v>748000</v>
      </c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</row>
    <row r="159" spans="1:26" ht="14.4">
      <c r="A159" s="693"/>
      <c r="B159" s="291" t="s">
        <v>259</v>
      </c>
      <c r="C159" s="229">
        <v>9</v>
      </c>
      <c r="D159" s="201"/>
      <c r="E159" s="201"/>
      <c r="F159" s="202">
        <f t="shared" si="36"/>
        <v>9</v>
      </c>
      <c r="G159" s="203">
        <v>7223</v>
      </c>
      <c r="H159" s="203">
        <v>8000</v>
      </c>
      <c r="I159" s="204"/>
      <c r="J159" s="205">
        <f t="shared" si="37"/>
        <v>0</v>
      </c>
      <c r="K159" s="205">
        <f t="shared" si="38"/>
        <v>0</v>
      </c>
      <c r="L159" s="250">
        <f t="shared" si="39"/>
        <v>65007</v>
      </c>
      <c r="M159" s="292">
        <f t="shared" si="40"/>
        <v>72000</v>
      </c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</row>
    <row r="160" spans="1:26" ht="14.4">
      <c r="A160" s="693"/>
      <c r="B160" s="294" t="s">
        <v>260</v>
      </c>
      <c r="C160" s="295"/>
      <c r="D160" s="296"/>
      <c r="E160" s="296"/>
      <c r="F160" s="297">
        <f t="shared" si="36"/>
        <v>0</v>
      </c>
      <c r="G160" s="298">
        <v>10200</v>
      </c>
      <c r="H160" s="298">
        <v>12000</v>
      </c>
      <c r="I160" s="299"/>
      <c r="J160" s="300">
        <f t="shared" si="37"/>
        <v>0</v>
      </c>
      <c r="K160" s="300">
        <f t="shared" si="38"/>
        <v>0</v>
      </c>
      <c r="L160" s="301">
        <f t="shared" si="39"/>
        <v>0</v>
      </c>
      <c r="M160" s="302">
        <f t="shared" si="40"/>
        <v>0</v>
      </c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</row>
    <row r="161" spans="1:26" ht="14.4">
      <c r="A161" s="694"/>
      <c r="B161" s="303"/>
      <c r="C161" s="304">
        <f t="shared" ref="C161:M161" si="41">SUM(C150:C160)</f>
        <v>190</v>
      </c>
      <c r="D161" s="304">
        <f t="shared" si="41"/>
        <v>0</v>
      </c>
      <c r="E161" s="304">
        <f t="shared" si="41"/>
        <v>0</v>
      </c>
      <c r="F161" s="305">
        <f t="shared" si="41"/>
        <v>190</v>
      </c>
      <c r="G161" s="306">
        <f t="shared" si="41"/>
        <v>311523</v>
      </c>
      <c r="H161" s="306">
        <f t="shared" si="41"/>
        <v>355900</v>
      </c>
      <c r="I161" s="307">
        <f t="shared" si="41"/>
        <v>0</v>
      </c>
      <c r="J161" s="307">
        <f t="shared" si="41"/>
        <v>0</v>
      </c>
      <c r="K161" s="307">
        <f t="shared" si="41"/>
        <v>0</v>
      </c>
      <c r="L161" s="307">
        <f t="shared" si="41"/>
        <v>8454107</v>
      </c>
      <c r="M161" s="308">
        <f t="shared" si="41"/>
        <v>9918600</v>
      </c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</row>
    <row r="162" spans="1:26" ht="14.4">
      <c r="A162" s="695"/>
      <c r="B162" s="309" t="s">
        <v>261</v>
      </c>
      <c r="C162" s="310"/>
      <c r="D162" s="311"/>
      <c r="E162" s="311"/>
      <c r="F162" s="312">
        <f t="shared" ref="F162:F187" si="42">+C162+D162-E162</f>
        <v>0</v>
      </c>
      <c r="G162" s="313">
        <v>10000</v>
      </c>
      <c r="H162" s="313">
        <v>10500</v>
      </c>
      <c r="I162" s="314"/>
      <c r="J162" s="315">
        <f t="shared" ref="J162:J187" si="43">+I162*H162</f>
        <v>0</v>
      </c>
      <c r="K162" s="315">
        <f t="shared" ref="K162:K187" si="44">+(H162-G162)*I162</f>
        <v>0</v>
      </c>
      <c r="L162" s="316">
        <f t="shared" ref="L162:L187" si="45">+G162*F162</f>
        <v>0</v>
      </c>
      <c r="M162" s="317">
        <f t="shared" ref="M162:M187" si="46">F162*H162</f>
        <v>0</v>
      </c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</row>
    <row r="163" spans="1:26" ht="14.4">
      <c r="A163" s="696"/>
      <c r="B163" s="318" t="s">
        <v>262</v>
      </c>
      <c r="C163" s="227"/>
      <c r="D163" s="201"/>
      <c r="E163" s="201"/>
      <c r="F163" s="202">
        <f t="shared" si="42"/>
        <v>0</v>
      </c>
      <c r="G163" s="203">
        <v>12000</v>
      </c>
      <c r="H163" s="203">
        <v>15000</v>
      </c>
      <c r="I163" s="224"/>
      <c r="J163" s="205">
        <f t="shared" si="43"/>
        <v>0</v>
      </c>
      <c r="K163" s="205">
        <f t="shared" si="44"/>
        <v>0</v>
      </c>
      <c r="L163" s="319">
        <f t="shared" si="45"/>
        <v>0</v>
      </c>
      <c r="M163" s="320">
        <f t="shared" si="46"/>
        <v>0</v>
      </c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</row>
    <row r="164" spans="1:26" ht="14.4">
      <c r="A164" s="696"/>
      <c r="B164" s="318" t="s">
        <v>263</v>
      </c>
      <c r="C164" s="227">
        <v>1</v>
      </c>
      <c r="D164" s="201"/>
      <c r="E164" s="201"/>
      <c r="F164" s="202">
        <f t="shared" si="42"/>
        <v>1</v>
      </c>
      <c r="G164" s="203">
        <v>14000</v>
      </c>
      <c r="H164" s="203">
        <v>17000</v>
      </c>
      <c r="I164" s="224"/>
      <c r="J164" s="205">
        <f t="shared" si="43"/>
        <v>0</v>
      </c>
      <c r="K164" s="205">
        <f t="shared" si="44"/>
        <v>0</v>
      </c>
      <c r="L164" s="319">
        <f t="shared" si="45"/>
        <v>14000</v>
      </c>
      <c r="M164" s="320">
        <f t="shared" si="46"/>
        <v>17000</v>
      </c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</row>
    <row r="165" spans="1:26" ht="14.4">
      <c r="A165" s="696"/>
      <c r="B165" s="318" t="s">
        <v>264</v>
      </c>
      <c r="C165" s="227">
        <v>4</v>
      </c>
      <c r="D165" s="201"/>
      <c r="E165" s="201"/>
      <c r="F165" s="202">
        <f t="shared" si="42"/>
        <v>4</v>
      </c>
      <c r="G165" s="203">
        <v>7200</v>
      </c>
      <c r="H165" s="203">
        <v>8000</v>
      </c>
      <c r="I165" s="224"/>
      <c r="J165" s="205">
        <f t="shared" si="43"/>
        <v>0</v>
      </c>
      <c r="K165" s="205">
        <f t="shared" si="44"/>
        <v>0</v>
      </c>
      <c r="L165" s="319">
        <f t="shared" si="45"/>
        <v>28800</v>
      </c>
      <c r="M165" s="320">
        <f t="shared" si="46"/>
        <v>32000</v>
      </c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</row>
    <row r="166" spans="1:26" ht="14.4">
      <c r="A166" s="696"/>
      <c r="B166" s="318" t="s">
        <v>265</v>
      </c>
      <c r="C166" s="227">
        <v>4</v>
      </c>
      <c r="D166" s="201"/>
      <c r="E166" s="321"/>
      <c r="F166" s="202">
        <f t="shared" si="42"/>
        <v>4</v>
      </c>
      <c r="G166" s="203">
        <v>10000</v>
      </c>
      <c r="H166" s="203">
        <v>12000</v>
      </c>
      <c r="I166" s="224"/>
      <c r="J166" s="205">
        <f t="shared" si="43"/>
        <v>0</v>
      </c>
      <c r="K166" s="205">
        <f t="shared" si="44"/>
        <v>0</v>
      </c>
      <c r="L166" s="319">
        <f t="shared" si="45"/>
        <v>40000</v>
      </c>
      <c r="M166" s="320">
        <f t="shared" si="46"/>
        <v>48000</v>
      </c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</row>
    <row r="167" spans="1:26" ht="14.4">
      <c r="A167" s="696"/>
      <c r="B167" s="322" t="s">
        <v>266</v>
      </c>
      <c r="C167" s="227">
        <v>4</v>
      </c>
      <c r="D167" s="201"/>
      <c r="E167" s="321"/>
      <c r="F167" s="202">
        <f t="shared" si="42"/>
        <v>4</v>
      </c>
      <c r="G167" s="203">
        <v>11000</v>
      </c>
      <c r="H167" s="203">
        <v>12500</v>
      </c>
      <c r="I167" s="204"/>
      <c r="J167" s="205">
        <f t="shared" si="43"/>
        <v>0</v>
      </c>
      <c r="K167" s="205">
        <f t="shared" si="44"/>
        <v>0</v>
      </c>
      <c r="L167" s="323">
        <f t="shared" si="45"/>
        <v>44000</v>
      </c>
      <c r="M167" s="320">
        <f t="shared" si="46"/>
        <v>50000</v>
      </c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</row>
    <row r="168" spans="1:26" ht="14.4">
      <c r="A168" s="696"/>
      <c r="B168" s="322" t="s">
        <v>267</v>
      </c>
      <c r="C168" s="227"/>
      <c r="D168" s="201"/>
      <c r="E168" s="321"/>
      <c r="F168" s="202">
        <f t="shared" si="42"/>
        <v>0</v>
      </c>
      <c r="G168" s="203">
        <v>2500</v>
      </c>
      <c r="H168" s="203">
        <v>3000</v>
      </c>
      <c r="I168" s="204"/>
      <c r="J168" s="205">
        <f t="shared" si="43"/>
        <v>0</v>
      </c>
      <c r="K168" s="205">
        <f t="shared" si="44"/>
        <v>0</v>
      </c>
      <c r="L168" s="323">
        <f t="shared" si="45"/>
        <v>0</v>
      </c>
      <c r="M168" s="320">
        <f t="shared" si="46"/>
        <v>0</v>
      </c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</row>
    <row r="169" spans="1:26" ht="14.4">
      <c r="A169" s="696"/>
      <c r="B169" s="322" t="s">
        <v>268</v>
      </c>
      <c r="C169" s="227"/>
      <c r="D169" s="201"/>
      <c r="E169" s="321"/>
      <c r="F169" s="202">
        <f t="shared" si="42"/>
        <v>0</v>
      </c>
      <c r="G169" s="203">
        <v>13000</v>
      </c>
      <c r="H169" s="203">
        <v>15000</v>
      </c>
      <c r="I169" s="204"/>
      <c r="J169" s="205">
        <f t="shared" si="43"/>
        <v>0</v>
      </c>
      <c r="K169" s="205">
        <f t="shared" si="44"/>
        <v>0</v>
      </c>
      <c r="L169" s="323">
        <f t="shared" si="45"/>
        <v>0</v>
      </c>
      <c r="M169" s="320">
        <f t="shared" si="46"/>
        <v>0</v>
      </c>
      <c r="N169" s="191"/>
      <c r="O169" s="191"/>
      <c r="P169" s="324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</row>
    <row r="170" spans="1:26" ht="14.4">
      <c r="A170" s="696"/>
      <c r="B170" s="318" t="s">
        <v>269</v>
      </c>
      <c r="C170" s="229">
        <v>5</v>
      </c>
      <c r="D170" s="201"/>
      <c r="E170" s="321"/>
      <c r="F170" s="202">
        <f t="shared" si="42"/>
        <v>5</v>
      </c>
      <c r="G170" s="203">
        <v>26000</v>
      </c>
      <c r="H170" s="203">
        <v>28000</v>
      </c>
      <c r="I170" s="204"/>
      <c r="J170" s="205">
        <f t="shared" si="43"/>
        <v>0</v>
      </c>
      <c r="K170" s="205">
        <f t="shared" si="44"/>
        <v>0</v>
      </c>
      <c r="L170" s="323">
        <f t="shared" si="45"/>
        <v>130000</v>
      </c>
      <c r="M170" s="320">
        <f t="shared" si="46"/>
        <v>140000</v>
      </c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</row>
    <row r="171" spans="1:26" ht="14.4">
      <c r="A171" s="696"/>
      <c r="B171" s="318" t="s">
        <v>270</v>
      </c>
      <c r="C171" s="229">
        <v>13</v>
      </c>
      <c r="D171" s="201"/>
      <c r="E171" s="321"/>
      <c r="F171" s="202">
        <f t="shared" si="42"/>
        <v>13</v>
      </c>
      <c r="G171" s="203">
        <v>13600</v>
      </c>
      <c r="H171" s="203">
        <v>15000</v>
      </c>
      <c r="I171" s="204"/>
      <c r="J171" s="205">
        <f t="shared" si="43"/>
        <v>0</v>
      </c>
      <c r="K171" s="205">
        <f t="shared" si="44"/>
        <v>0</v>
      </c>
      <c r="L171" s="323">
        <f t="shared" si="45"/>
        <v>176800</v>
      </c>
      <c r="M171" s="320">
        <f t="shared" si="46"/>
        <v>195000</v>
      </c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</row>
    <row r="172" spans="1:26" ht="14.4">
      <c r="A172" s="696"/>
      <c r="B172" s="318" t="s">
        <v>271</v>
      </c>
      <c r="C172" s="227">
        <v>1</v>
      </c>
      <c r="D172" s="201"/>
      <c r="E172" s="321"/>
      <c r="F172" s="202">
        <f t="shared" si="42"/>
        <v>1</v>
      </c>
      <c r="G172" s="203">
        <v>30000</v>
      </c>
      <c r="H172" s="203">
        <v>36000</v>
      </c>
      <c r="I172" s="204"/>
      <c r="J172" s="205">
        <f t="shared" si="43"/>
        <v>0</v>
      </c>
      <c r="K172" s="205">
        <f t="shared" si="44"/>
        <v>0</v>
      </c>
      <c r="L172" s="323">
        <f t="shared" si="45"/>
        <v>30000</v>
      </c>
      <c r="M172" s="320">
        <f t="shared" si="46"/>
        <v>36000</v>
      </c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</row>
    <row r="173" spans="1:26" ht="14.4">
      <c r="A173" s="696"/>
      <c r="B173" s="322" t="s">
        <v>272</v>
      </c>
      <c r="C173" s="227">
        <v>3</v>
      </c>
      <c r="D173" s="201"/>
      <c r="E173" s="321"/>
      <c r="F173" s="202">
        <f t="shared" si="42"/>
        <v>3</v>
      </c>
      <c r="G173" s="203">
        <v>20400</v>
      </c>
      <c r="H173" s="203">
        <v>24000</v>
      </c>
      <c r="I173" s="204"/>
      <c r="J173" s="205">
        <f t="shared" si="43"/>
        <v>0</v>
      </c>
      <c r="K173" s="205">
        <f t="shared" si="44"/>
        <v>0</v>
      </c>
      <c r="L173" s="323">
        <f t="shared" si="45"/>
        <v>61200</v>
      </c>
      <c r="M173" s="320">
        <f t="shared" si="46"/>
        <v>72000</v>
      </c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</row>
    <row r="174" spans="1:26" ht="14.4">
      <c r="A174" s="696"/>
      <c r="B174" s="322" t="s">
        <v>273</v>
      </c>
      <c r="C174" s="227">
        <v>4</v>
      </c>
      <c r="D174" s="201"/>
      <c r="E174" s="321"/>
      <c r="F174" s="202">
        <f t="shared" si="42"/>
        <v>4</v>
      </c>
      <c r="G174" s="203">
        <v>18700</v>
      </c>
      <c r="H174" s="203">
        <v>22000</v>
      </c>
      <c r="I174" s="204"/>
      <c r="J174" s="205">
        <f t="shared" si="43"/>
        <v>0</v>
      </c>
      <c r="K174" s="205">
        <f t="shared" si="44"/>
        <v>0</v>
      </c>
      <c r="L174" s="323">
        <f t="shared" si="45"/>
        <v>74800</v>
      </c>
      <c r="M174" s="320">
        <f t="shared" si="46"/>
        <v>88000</v>
      </c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</row>
    <row r="175" spans="1:26" ht="14.4">
      <c r="A175" s="696"/>
      <c r="B175" s="322" t="s">
        <v>274</v>
      </c>
      <c r="C175" s="227">
        <v>32</v>
      </c>
      <c r="D175" s="201"/>
      <c r="E175" s="321"/>
      <c r="F175" s="202">
        <f t="shared" si="42"/>
        <v>32</v>
      </c>
      <c r="G175" s="203">
        <v>10800</v>
      </c>
      <c r="H175" s="203">
        <v>13500</v>
      </c>
      <c r="I175" s="204"/>
      <c r="J175" s="205">
        <f t="shared" si="43"/>
        <v>0</v>
      </c>
      <c r="K175" s="205">
        <f t="shared" si="44"/>
        <v>0</v>
      </c>
      <c r="L175" s="323">
        <f t="shared" si="45"/>
        <v>345600</v>
      </c>
      <c r="M175" s="320">
        <f t="shared" si="46"/>
        <v>432000</v>
      </c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</row>
    <row r="176" spans="1:26" ht="14.4">
      <c r="A176" s="696"/>
      <c r="B176" s="322" t="s">
        <v>275</v>
      </c>
      <c r="C176" s="227">
        <v>14.5</v>
      </c>
      <c r="D176" s="201"/>
      <c r="E176" s="321"/>
      <c r="F176" s="202">
        <f t="shared" si="42"/>
        <v>14.5</v>
      </c>
      <c r="G176" s="203">
        <v>13300</v>
      </c>
      <c r="H176" s="203">
        <v>15000</v>
      </c>
      <c r="I176" s="204"/>
      <c r="J176" s="205">
        <f t="shared" si="43"/>
        <v>0</v>
      </c>
      <c r="K176" s="205">
        <f t="shared" si="44"/>
        <v>0</v>
      </c>
      <c r="L176" s="323">
        <f t="shared" si="45"/>
        <v>192850</v>
      </c>
      <c r="M176" s="320">
        <f t="shared" si="46"/>
        <v>217500</v>
      </c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</row>
    <row r="177" spans="1:26" ht="14.4">
      <c r="A177" s="696"/>
      <c r="B177" s="322" t="s">
        <v>276</v>
      </c>
      <c r="C177" s="227">
        <v>4</v>
      </c>
      <c r="D177" s="201"/>
      <c r="E177" s="321"/>
      <c r="F177" s="202">
        <f t="shared" si="42"/>
        <v>4</v>
      </c>
      <c r="G177" s="203">
        <v>22000</v>
      </c>
      <c r="H177" s="203">
        <v>25000</v>
      </c>
      <c r="I177" s="204"/>
      <c r="J177" s="205">
        <f t="shared" si="43"/>
        <v>0</v>
      </c>
      <c r="K177" s="205">
        <f t="shared" si="44"/>
        <v>0</v>
      </c>
      <c r="L177" s="323">
        <f t="shared" si="45"/>
        <v>88000</v>
      </c>
      <c r="M177" s="320">
        <f t="shared" si="46"/>
        <v>100000</v>
      </c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</row>
    <row r="178" spans="1:26" ht="14.4">
      <c r="A178" s="696"/>
      <c r="B178" s="322" t="s">
        <v>685</v>
      </c>
      <c r="C178" s="227">
        <v>9</v>
      </c>
      <c r="D178" s="201"/>
      <c r="E178" s="321"/>
      <c r="F178" s="202">
        <f t="shared" si="42"/>
        <v>9</v>
      </c>
      <c r="G178" s="203"/>
      <c r="H178" s="203"/>
      <c r="I178" s="204"/>
      <c r="J178" s="205">
        <f t="shared" si="43"/>
        <v>0</v>
      </c>
      <c r="K178" s="205">
        <f t="shared" si="44"/>
        <v>0</v>
      </c>
      <c r="L178" s="323">
        <f t="shared" si="45"/>
        <v>0</v>
      </c>
      <c r="M178" s="320">
        <f t="shared" si="46"/>
        <v>0</v>
      </c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</row>
    <row r="179" spans="1:26" ht="14.4">
      <c r="A179" s="696"/>
      <c r="B179" s="322" t="s">
        <v>277</v>
      </c>
      <c r="C179" s="227">
        <v>5</v>
      </c>
      <c r="D179" s="201"/>
      <c r="E179" s="321"/>
      <c r="F179" s="202">
        <f t="shared" si="42"/>
        <v>5</v>
      </c>
      <c r="G179" s="203">
        <v>2500</v>
      </c>
      <c r="H179" s="203">
        <v>3000</v>
      </c>
      <c r="I179" s="204"/>
      <c r="J179" s="205">
        <f t="shared" si="43"/>
        <v>0</v>
      </c>
      <c r="K179" s="205">
        <f t="shared" si="44"/>
        <v>0</v>
      </c>
      <c r="L179" s="323">
        <f t="shared" si="45"/>
        <v>12500</v>
      </c>
      <c r="M179" s="320">
        <f t="shared" si="46"/>
        <v>15000</v>
      </c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</row>
    <row r="180" spans="1:26" ht="14.4">
      <c r="A180" s="696"/>
      <c r="B180" s="318" t="s">
        <v>278</v>
      </c>
      <c r="C180" s="227">
        <v>9</v>
      </c>
      <c r="D180" s="201"/>
      <c r="E180" s="321"/>
      <c r="F180" s="202">
        <f t="shared" si="42"/>
        <v>9</v>
      </c>
      <c r="G180" s="203">
        <v>12500</v>
      </c>
      <c r="H180" s="203">
        <v>13500</v>
      </c>
      <c r="I180" s="204"/>
      <c r="J180" s="205">
        <f t="shared" si="43"/>
        <v>0</v>
      </c>
      <c r="K180" s="205">
        <f t="shared" si="44"/>
        <v>0</v>
      </c>
      <c r="L180" s="323">
        <f t="shared" si="45"/>
        <v>112500</v>
      </c>
      <c r="M180" s="320">
        <f t="shared" si="46"/>
        <v>121500</v>
      </c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</row>
    <row r="181" spans="1:26" ht="14.4">
      <c r="A181" s="696"/>
      <c r="B181" s="318" t="s">
        <v>279</v>
      </c>
      <c r="C181" s="227">
        <v>4</v>
      </c>
      <c r="D181" s="201"/>
      <c r="E181" s="321"/>
      <c r="F181" s="202">
        <f t="shared" si="42"/>
        <v>4</v>
      </c>
      <c r="G181" s="203">
        <v>15000</v>
      </c>
      <c r="H181" s="203">
        <v>16500</v>
      </c>
      <c r="I181" s="204"/>
      <c r="J181" s="205">
        <f t="shared" si="43"/>
        <v>0</v>
      </c>
      <c r="K181" s="205">
        <f t="shared" si="44"/>
        <v>0</v>
      </c>
      <c r="L181" s="323">
        <f t="shared" si="45"/>
        <v>60000</v>
      </c>
      <c r="M181" s="320">
        <f t="shared" si="46"/>
        <v>66000</v>
      </c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</row>
    <row r="182" spans="1:26" ht="14.4">
      <c r="A182" s="696"/>
      <c r="B182" s="322" t="s">
        <v>280</v>
      </c>
      <c r="C182" s="229">
        <v>8</v>
      </c>
      <c r="D182" s="201"/>
      <c r="E182" s="321"/>
      <c r="F182" s="202">
        <f t="shared" si="42"/>
        <v>8</v>
      </c>
      <c r="G182" s="203">
        <v>24000</v>
      </c>
      <c r="H182" s="203">
        <v>25000</v>
      </c>
      <c r="I182" s="204"/>
      <c r="J182" s="205">
        <f t="shared" si="43"/>
        <v>0</v>
      </c>
      <c r="K182" s="205">
        <f t="shared" si="44"/>
        <v>0</v>
      </c>
      <c r="L182" s="323">
        <f t="shared" si="45"/>
        <v>192000</v>
      </c>
      <c r="M182" s="320">
        <f t="shared" si="46"/>
        <v>200000</v>
      </c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</row>
    <row r="183" spans="1:26" ht="14.4">
      <c r="A183" s="696"/>
      <c r="B183" s="322" t="s">
        <v>660</v>
      </c>
      <c r="C183" s="227">
        <v>2</v>
      </c>
      <c r="D183" s="201"/>
      <c r="E183" s="321"/>
      <c r="F183" s="202">
        <f t="shared" si="42"/>
        <v>2</v>
      </c>
      <c r="G183" s="203">
        <v>13000</v>
      </c>
      <c r="H183" s="203">
        <v>15000</v>
      </c>
      <c r="I183" s="204"/>
      <c r="J183" s="205">
        <f t="shared" si="43"/>
        <v>0</v>
      </c>
      <c r="K183" s="205">
        <f t="shared" si="44"/>
        <v>0</v>
      </c>
      <c r="L183" s="323">
        <f t="shared" si="45"/>
        <v>26000</v>
      </c>
      <c r="M183" s="320">
        <f t="shared" si="46"/>
        <v>30000</v>
      </c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</row>
    <row r="184" spans="1:26" ht="14.4">
      <c r="A184" s="696"/>
      <c r="B184" s="318" t="s">
        <v>686</v>
      </c>
      <c r="C184" s="227">
        <v>6</v>
      </c>
      <c r="D184" s="201"/>
      <c r="E184" s="321"/>
      <c r="F184" s="202">
        <f t="shared" si="42"/>
        <v>6</v>
      </c>
      <c r="G184" s="203">
        <v>7800</v>
      </c>
      <c r="H184" s="203">
        <v>9000</v>
      </c>
      <c r="I184" s="204"/>
      <c r="J184" s="205">
        <f t="shared" si="43"/>
        <v>0</v>
      </c>
      <c r="K184" s="205">
        <f t="shared" si="44"/>
        <v>0</v>
      </c>
      <c r="L184" s="323">
        <f t="shared" si="45"/>
        <v>46800</v>
      </c>
      <c r="M184" s="320">
        <f t="shared" si="46"/>
        <v>54000</v>
      </c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</row>
    <row r="185" spans="1:26" ht="14.4">
      <c r="A185" s="696"/>
      <c r="B185" s="318" t="s">
        <v>281</v>
      </c>
      <c r="C185" s="227">
        <v>5</v>
      </c>
      <c r="D185" s="201"/>
      <c r="E185" s="321"/>
      <c r="F185" s="202">
        <f t="shared" si="42"/>
        <v>5</v>
      </c>
      <c r="G185" s="203">
        <v>7800</v>
      </c>
      <c r="H185" s="203">
        <v>9000</v>
      </c>
      <c r="I185" s="204"/>
      <c r="J185" s="205">
        <f t="shared" si="43"/>
        <v>0</v>
      </c>
      <c r="K185" s="205">
        <f t="shared" si="44"/>
        <v>0</v>
      </c>
      <c r="L185" s="323">
        <f t="shared" si="45"/>
        <v>39000</v>
      </c>
      <c r="M185" s="320">
        <f t="shared" si="46"/>
        <v>45000</v>
      </c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</row>
    <row r="186" spans="1:26" ht="14.4">
      <c r="A186" s="696"/>
      <c r="B186" s="318" t="s">
        <v>687</v>
      </c>
      <c r="C186" s="325">
        <v>2</v>
      </c>
      <c r="D186" s="201"/>
      <c r="E186" s="321"/>
      <c r="F186" s="202">
        <f t="shared" si="42"/>
        <v>2</v>
      </c>
      <c r="G186" s="239">
        <v>11300</v>
      </c>
      <c r="H186" s="239">
        <v>13500</v>
      </c>
      <c r="I186" s="213"/>
      <c r="J186" s="205">
        <f t="shared" si="43"/>
        <v>0</v>
      </c>
      <c r="K186" s="205">
        <f t="shared" si="44"/>
        <v>0</v>
      </c>
      <c r="L186" s="323">
        <f t="shared" si="45"/>
        <v>22600</v>
      </c>
      <c r="M186" s="320">
        <f t="shared" si="46"/>
        <v>27000</v>
      </c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</row>
    <row r="187" spans="1:26" ht="14.4">
      <c r="A187" s="697"/>
      <c r="B187" s="318" t="s">
        <v>282</v>
      </c>
      <c r="C187" s="325">
        <v>11</v>
      </c>
      <c r="D187" s="201"/>
      <c r="E187" s="321"/>
      <c r="F187" s="202">
        <f t="shared" si="42"/>
        <v>11</v>
      </c>
      <c r="G187" s="239">
        <v>11300</v>
      </c>
      <c r="H187" s="239">
        <v>13500</v>
      </c>
      <c r="I187" s="213"/>
      <c r="J187" s="205">
        <f t="shared" si="43"/>
        <v>0</v>
      </c>
      <c r="K187" s="205">
        <f t="shared" si="44"/>
        <v>0</v>
      </c>
      <c r="L187" s="323">
        <f t="shared" si="45"/>
        <v>124300</v>
      </c>
      <c r="M187" s="320">
        <f t="shared" si="46"/>
        <v>148500</v>
      </c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</row>
    <row r="188" spans="1:26" ht="14.4">
      <c r="A188" s="326"/>
      <c r="B188" s="327"/>
      <c r="C188" s="328"/>
      <c r="D188" s="329"/>
      <c r="E188" s="329"/>
      <c r="F188" s="330"/>
      <c r="G188" s="331"/>
      <c r="H188" s="331"/>
      <c r="I188" s="332"/>
      <c r="J188" s="333"/>
      <c r="K188" s="333"/>
      <c r="L188" s="334">
        <f t="shared" ref="L188:M188" si="47">SUM(L162:L187)</f>
        <v>1861750</v>
      </c>
      <c r="M188" s="334">
        <f t="shared" si="47"/>
        <v>2134500</v>
      </c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</row>
    <row r="189" spans="1:26" ht="14.4">
      <c r="A189" s="326"/>
      <c r="B189" s="230" t="s">
        <v>283</v>
      </c>
      <c r="C189" s="335">
        <v>22</v>
      </c>
      <c r="D189" s="201"/>
      <c r="E189" s="201"/>
      <c r="F189" s="202">
        <f t="shared" ref="F189:F248" si="48">+C189+D189-E189</f>
        <v>22</v>
      </c>
      <c r="G189" s="203">
        <v>13100</v>
      </c>
      <c r="H189" s="203">
        <v>14500</v>
      </c>
      <c r="I189" s="224"/>
      <c r="J189" s="205">
        <f t="shared" ref="J189:J248" si="49">+I189*H189</f>
        <v>0</v>
      </c>
      <c r="K189" s="205">
        <f t="shared" ref="K189:K248" si="50">+(H189-G189)*I189</f>
        <v>0</v>
      </c>
      <c r="L189" s="319">
        <f t="shared" ref="L189:L248" si="51">+G189*F189</f>
        <v>288200</v>
      </c>
      <c r="M189" s="336">
        <f t="shared" ref="M189:M248" si="52">F189*H189</f>
        <v>319000</v>
      </c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</row>
    <row r="190" spans="1:26" ht="14.4">
      <c r="A190" s="326"/>
      <c r="B190" s="230" t="s">
        <v>284</v>
      </c>
      <c r="C190" s="229">
        <v>2</v>
      </c>
      <c r="D190" s="201"/>
      <c r="E190" s="191"/>
      <c r="F190" s="202">
        <f t="shared" si="48"/>
        <v>2</v>
      </c>
      <c r="G190" s="203">
        <v>27200</v>
      </c>
      <c r="H190" s="203">
        <v>32000</v>
      </c>
      <c r="I190" s="204"/>
      <c r="J190" s="205">
        <f t="shared" si="49"/>
        <v>0</v>
      </c>
      <c r="K190" s="205">
        <f t="shared" si="50"/>
        <v>0</v>
      </c>
      <c r="L190" s="319">
        <f t="shared" si="51"/>
        <v>54400</v>
      </c>
      <c r="M190" s="336">
        <f t="shared" si="52"/>
        <v>64000</v>
      </c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</row>
    <row r="191" spans="1:26" ht="14.4">
      <c r="A191" s="326"/>
      <c r="B191" s="230" t="s">
        <v>285</v>
      </c>
      <c r="C191" s="229">
        <v>4</v>
      </c>
      <c r="D191" s="201"/>
      <c r="E191" s="201"/>
      <c r="F191" s="202">
        <f t="shared" si="48"/>
        <v>4</v>
      </c>
      <c r="G191" s="203">
        <v>15100</v>
      </c>
      <c r="H191" s="203">
        <v>23200</v>
      </c>
      <c r="I191" s="204"/>
      <c r="J191" s="205">
        <f t="shared" si="49"/>
        <v>0</v>
      </c>
      <c r="K191" s="205">
        <f t="shared" si="50"/>
        <v>0</v>
      </c>
      <c r="L191" s="319">
        <f t="shared" si="51"/>
        <v>60400</v>
      </c>
      <c r="M191" s="336">
        <f t="shared" si="52"/>
        <v>92800</v>
      </c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</row>
    <row r="192" spans="1:26" ht="14.4">
      <c r="A192" s="326"/>
      <c r="B192" s="230" t="s">
        <v>286</v>
      </c>
      <c r="C192" s="227"/>
      <c r="D192" s="201"/>
      <c r="E192" s="201"/>
      <c r="F192" s="202">
        <f t="shared" si="48"/>
        <v>0</v>
      </c>
      <c r="G192" s="203">
        <v>17400</v>
      </c>
      <c r="H192" s="203">
        <v>28800</v>
      </c>
      <c r="I192" s="204"/>
      <c r="J192" s="205">
        <f t="shared" si="49"/>
        <v>0</v>
      </c>
      <c r="K192" s="205">
        <f t="shared" si="50"/>
        <v>0</v>
      </c>
      <c r="L192" s="319">
        <f t="shared" si="51"/>
        <v>0</v>
      </c>
      <c r="M192" s="336">
        <f t="shared" si="52"/>
        <v>0</v>
      </c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</row>
    <row r="193" spans="1:26" ht="14.4">
      <c r="A193" s="326"/>
      <c r="B193" s="230" t="s">
        <v>287</v>
      </c>
      <c r="C193" s="227">
        <v>1</v>
      </c>
      <c r="D193" s="201"/>
      <c r="E193" s="201"/>
      <c r="F193" s="202">
        <f t="shared" si="48"/>
        <v>1</v>
      </c>
      <c r="G193" s="203">
        <v>13600</v>
      </c>
      <c r="H193" s="203">
        <v>15000</v>
      </c>
      <c r="I193" s="204"/>
      <c r="J193" s="205">
        <f t="shared" si="49"/>
        <v>0</v>
      </c>
      <c r="K193" s="205">
        <f t="shared" si="50"/>
        <v>0</v>
      </c>
      <c r="L193" s="319">
        <f t="shared" si="51"/>
        <v>13600</v>
      </c>
      <c r="M193" s="336">
        <f t="shared" si="52"/>
        <v>15000</v>
      </c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</row>
    <row r="194" spans="1:26" ht="14.4">
      <c r="A194" s="326"/>
      <c r="B194" s="230" t="s">
        <v>288</v>
      </c>
      <c r="C194" s="227"/>
      <c r="D194" s="201"/>
      <c r="E194" s="201"/>
      <c r="F194" s="202">
        <f t="shared" si="48"/>
        <v>0</v>
      </c>
      <c r="G194" s="203">
        <v>11000</v>
      </c>
      <c r="H194" s="203">
        <v>12000</v>
      </c>
      <c r="I194" s="204"/>
      <c r="J194" s="205">
        <f t="shared" si="49"/>
        <v>0</v>
      </c>
      <c r="K194" s="205">
        <f t="shared" si="50"/>
        <v>0</v>
      </c>
      <c r="L194" s="319">
        <f t="shared" si="51"/>
        <v>0</v>
      </c>
      <c r="M194" s="336">
        <f t="shared" si="52"/>
        <v>0</v>
      </c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</row>
    <row r="195" spans="1:26" ht="14.4">
      <c r="A195" s="326"/>
      <c r="B195" s="230" t="s">
        <v>289</v>
      </c>
      <c r="C195" s="229"/>
      <c r="D195" s="201"/>
      <c r="E195" s="201"/>
      <c r="F195" s="202">
        <f t="shared" si="48"/>
        <v>0</v>
      </c>
      <c r="G195" s="203">
        <v>24100</v>
      </c>
      <c r="H195" s="203">
        <v>35000</v>
      </c>
      <c r="I195" s="204"/>
      <c r="J195" s="205">
        <f t="shared" si="49"/>
        <v>0</v>
      </c>
      <c r="K195" s="205">
        <f t="shared" si="50"/>
        <v>0</v>
      </c>
      <c r="L195" s="319">
        <f t="shared" si="51"/>
        <v>0</v>
      </c>
      <c r="M195" s="336">
        <f t="shared" si="52"/>
        <v>0</v>
      </c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</row>
    <row r="196" spans="1:26" ht="14.4">
      <c r="A196" s="326"/>
      <c r="B196" s="230" t="s">
        <v>290</v>
      </c>
      <c r="C196" s="229">
        <v>5</v>
      </c>
      <c r="D196" s="201"/>
      <c r="E196" s="201"/>
      <c r="F196" s="202">
        <f t="shared" si="48"/>
        <v>5</v>
      </c>
      <c r="G196" s="203">
        <v>7500</v>
      </c>
      <c r="H196" s="203">
        <v>12500</v>
      </c>
      <c r="I196" s="204"/>
      <c r="J196" s="205">
        <f t="shared" si="49"/>
        <v>0</v>
      </c>
      <c r="K196" s="205">
        <f t="shared" si="50"/>
        <v>0</v>
      </c>
      <c r="L196" s="319">
        <f t="shared" si="51"/>
        <v>37500</v>
      </c>
      <c r="M196" s="336">
        <f t="shared" si="52"/>
        <v>62500</v>
      </c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</row>
    <row r="197" spans="1:26" ht="14.4">
      <c r="A197" s="326"/>
      <c r="B197" s="230" t="s">
        <v>291</v>
      </c>
      <c r="C197" s="227">
        <v>5</v>
      </c>
      <c r="D197" s="201"/>
      <c r="E197" s="201"/>
      <c r="F197" s="202">
        <f t="shared" si="48"/>
        <v>5</v>
      </c>
      <c r="G197" s="203">
        <v>27200</v>
      </c>
      <c r="H197" s="203">
        <v>32000</v>
      </c>
      <c r="I197" s="204"/>
      <c r="J197" s="205">
        <f t="shared" si="49"/>
        <v>0</v>
      </c>
      <c r="K197" s="205">
        <f t="shared" si="50"/>
        <v>0</v>
      </c>
      <c r="L197" s="319">
        <f t="shared" si="51"/>
        <v>136000</v>
      </c>
      <c r="M197" s="336">
        <f t="shared" si="52"/>
        <v>160000</v>
      </c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</row>
    <row r="198" spans="1:26" ht="14.4">
      <c r="A198" s="326"/>
      <c r="B198" s="337" t="s">
        <v>64</v>
      </c>
      <c r="C198" s="227">
        <v>6</v>
      </c>
      <c r="D198" s="201"/>
      <c r="E198" s="201"/>
      <c r="F198" s="202">
        <f t="shared" si="48"/>
        <v>6</v>
      </c>
      <c r="G198" s="203">
        <v>31300</v>
      </c>
      <c r="H198" s="203">
        <v>36000</v>
      </c>
      <c r="I198" s="204"/>
      <c r="J198" s="205">
        <f t="shared" si="49"/>
        <v>0</v>
      </c>
      <c r="K198" s="205">
        <f t="shared" si="50"/>
        <v>0</v>
      </c>
      <c r="L198" s="319">
        <f t="shared" si="51"/>
        <v>187800</v>
      </c>
      <c r="M198" s="336">
        <f t="shared" si="52"/>
        <v>216000</v>
      </c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</row>
    <row r="199" spans="1:26" ht="14.4">
      <c r="A199" s="326"/>
      <c r="B199" s="337" t="s">
        <v>292</v>
      </c>
      <c r="C199" s="227"/>
      <c r="D199" s="201"/>
      <c r="E199" s="201"/>
      <c r="F199" s="202">
        <f t="shared" si="48"/>
        <v>0</v>
      </c>
      <c r="G199" s="203">
        <v>30600</v>
      </c>
      <c r="H199" s="203">
        <v>36000</v>
      </c>
      <c r="I199" s="204"/>
      <c r="J199" s="205">
        <f t="shared" si="49"/>
        <v>0</v>
      </c>
      <c r="K199" s="205">
        <f t="shared" si="50"/>
        <v>0</v>
      </c>
      <c r="L199" s="319">
        <f t="shared" si="51"/>
        <v>0</v>
      </c>
      <c r="M199" s="336">
        <f t="shared" si="52"/>
        <v>0</v>
      </c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</row>
    <row r="200" spans="1:26" ht="14.4">
      <c r="A200" s="326"/>
      <c r="B200" s="337" t="s">
        <v>293</v>
      </c>
      <c r="C200" s="227">
        <v>1</v>
      </c>
      <c r="D200" s="201"/>
      <c r="E200" s="201"/>
      <c r="F200" s="202">
        <f t="shared" si="48"/>
        <v>1</v>
      </c>
      <c r="G200" s="203">
        <v>45000</v>
      </c>
      <c r="H200" s="203">
        <v>50000</v>
      </c>
      <c r="I200" s="204"/>
      <c r="J200" s="205">
        <f t="shared" si="49"/>
        <v>0</v>
      </c>
      <c r="K200" s="205">
        <f t="shared" si="50"/>
        <v>0</v>
      </c>
      <c r="L200" s="319">
        <f t="shared" si="51"/>
        <v>45000</v>
      </c>
      <c r="M200" s="336">
        <f t="shared" si="52"/>
        <v>50000</v>
      </c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</row>
    <row r="201" spans="1:26" ht="14.4">
      <c r="A201" s="326"/>
      <c r="B201" s="337" t="s">
        <v>65</v>
      </c>
      <c r="C201" s="227">
        <v>13.5</v>
      </c>
      <c r="D201" s="201"/>
      <c r="E201" s="201"/>
      <c r="F201" s="202">
        <f t="shared" si="48"/>
        <v>13.5</v>
      </c>
      <c r="G201" s="203">
        <v>54200</v>
      </c>
      <c r="H201" s="203">
        <v>62500</v>
      </c>
      <c r="I201" s="204"/>
      <c r="J201" s="205">
        <f t="shared" si="49"/>
        <v>0</v>
      </c>
      <c r="K201" s="205">
        <f t="shared" si="50"/>
        <v>0</v>
      </c>
      <c r="L201" s="319">
        <f t="shared" si="51"/>
        <v>731700</v>
      </c>
      <c r="M201" s="336">
        <f t="shared" si="52"/>
        <v>843750</v>
      </c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</row>
    <row r="202" spans="1:26" ht="14.4">
      <c r="A202" s="326"/>
      <c r="B202" s="337" t="s">
        <v>294</v>
      </c>
      <c r="C202" s="227">
        <v>2</v>
      </c>
      <c r="D202" s="201"/>
      <c r="E202" s="201"/>
      <c r="F202" s="202">
        <f t="shared" si="48"/>
        <v>2</v>
      </c>
      <c r="G202" s="203">
        <v>36000</v>
      </c>
      <c r="H202" s="203">
        <v>42000</v>
      </c>
      <c r="I202" s="204"/>
      <c r="J202" s="205">
        <f t="shared" si="49"/>
        <v>0</v>
      </c>
      <c r="K202" s="205">
        <f t="shared" si="50"/>
        <v>0</v>
      </c>
      <c r="L202" s="319">
        <f t="shared" si="51"/>
        <v>72000</v>
      </c>
      <c r="M202" s="336">
        <f t="shared" si="52"/>
        <v>84000</v>
      </c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</row>
    <row r="203" spans="1:26" ht="14.4">
      <c r="A203" s="326"/>
      <c r="B203" s="337" t="s">
        <v>295</v>
      </c>
      <c r="C203" s="227">
        <v>18</v>
      </c>
      <c r="D203" s="201"/>
      <c r="E203" s="201"/>
      <c r="F203" s="202">
        <f t="shared" si="48"/>
        <v>18</v>
      </c>
      <c r="G203" s="203">
        <v>8700</v>
      </c>
      <c r="H203" s="203">
        <v>10000</v>
      </c>
      <c r="I203" s="204"/>
      <c r="J203" s="205">
        <f t="shared" si="49"/>
        <v>0</v>
      </c>
      <c r="K203" s="205">
        <f t="shared" si="50"/>
        <v>0</v>
      </c>
      <c r="L203" s="319">
        <f t="shared" si="51"/>
        <v>156600</v>
      </c>
      <c r="M203" s="336">
        <f t="shared" si="52"/>
        <v>180000</v>
      </c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</row>
    <row r="204" spans="1:26" ht="14.4">
      <c r="A204" s="326"/>
      <c r="B204" s="337" t="s">
        <v>296</v>
      </c>
      <c r="C204" s="227"/>
      <c r="D204" s="201"/>
      <c r="E204" s="201"/>
      <c r="F204" s="202">
        <f t="shared" si="48"/>
        <v>0</v>
      </c>
      <c r="G204" s="203">
        <v>52200</v>
      </c>
      <c r="H204" s="203">
        <v>62500</v>
      </c>
      <c r="I204" s="204"/>
      <c r="J204" s="205">
        <f t="shared" si="49"/>
        <v>0</v>
      </c>
      <c r="K204" s="205">
        <f t="shared" si="50"/>
        <v>0</v>
      </c>
      <c r="L204" s="319">
        <f t="shared" si="51"/>
        <v>0</v>
      </c>
      <c r="M204" s="336">
        <f t="shared" si="52"/>
        <v>0</v>
      </c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</row>
    <row r="205" spans="1:26" ht="14.4">
      <c r="A205" s="326"/>
      <c r="B205" s="337" t="s">
        <v>297</v>
      </c>
      <c r="C205" s="227"/>
      <c r="D205" s="201"/>
      <c r="E205" s="201"/>
      <c r="F205" s="202">
        <f t="shared" si="48"/>
        <v>0</v>
      </c>
      <c r="G205" s="203">
        <v>43400</v>
      </c>
      <c r="H205" s="203">
        <v>50000</v>
      </c>
      <c r="I205" s="204"/>
      <c r="J205" s="205">
        <f t="shared" si="49"/>
        <v>0</v>
      </c>
      <c r="K205" s="205">
        <f t="shared" si="50"/>
        <v>0</v>
      </c>
      <c r="L205" s="319">
        <f t="shared" si="51"/>
        <v>0</v>
      </c>
      <c r="M205" s="336">
        <f t="shared" si="52"/>
        <v>0</v>
      </c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</row>
    <row r="206" spans="1:26" ht="14.4">
      <c r="A206" s="326"/>
      <c r="B206" s="337" t="s">
        <v>688</v>
      </c>
      <c r="C206" s="229">
        <v>3</v>
      </c>
      <c r="D206" s="201"/>
      <c r="E206" s="201"/>
      <c r="F206" s="202">
        <f t="shared" si="48"/>
        <v>3</v>
      </c>
      <c r="G206" s="203">
        <v>30000</v>
      </c>
      <c r="H206" s="203">
        <v>32000</v>
      </c>
      <c r="I206" s="204"/>
      <c r="J206" s="205">
        <f t="shared" si="49"/>
        <v>0</v>
      </c>
      <c r="K206" s="205">
        <f t="shared" si="50"/>
        <v>0</v>
      </c>
      <c r="L206" s="319">
        <f t="shared" si="51"/>
        <v>90000</v>
      </c>
      <c r="M206" s="336">
        <f t="shared" si="52"/>
        <v>96000</v>
      </c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</row>
    <row r="207" spans="1:26" ht="14.4">
      <c r="A207" s="326"/>
      <c r="B207" s="337" t="s">
        <v>299</v>
      </c>
      <c r="C207" s="229">
        <v>3</v>
      </c>
      <c r="D207" s="201"/>
      <c r="E207" s="201"/>
      <c r="F207" s="202">
        <f t="shared" si="48"/>
        <v>3</v>
      </c>
      <c r="G207" s="203">
        <v>35000</v>
      </c>
      <c r="H207" s="203">
        <v>36500</v>
      </c>
      <c r="I207" s="204"/>
      <c r="J207" s="205">
        <f t="shared" si="49"/>
        <v>0</v>
      </c>
      <c r="K207" s="205">
        <f t="shared" si="50"/>
        <v>0</v>
      </c>
      <c r="L207" s="319">
        <f t="shared" si="51"/>
        <v>105000</v>
      </c>
      <c r="M207" s="336">
        <f t="shared" si="52"/>
        <v>109500</v>
      </c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</row>
    <row r="208" spans="1:26" ht="14.4">
      <c r="A208" s="326"/>
      <c r="B208" s="337" t="s">
        <v>300</v>
      </c>
      <c r="C208" s="229">
        <v>1</v>
      </c>
      <c r="D208" s="201"/>
      <c r="E208" s="201"/>
      <c r="F208" s="202">
        <f t="shared" si="48"/>
        <v>1</v>
      </c>
      <c r="G208" s="203">
        <v>27000</v>
      </c>
      <c r="H208" s="203">
        <v>30000</v>
      </c>
      <c r="I208" s="204"/>
      <c r="J208" s="205">
        <f t="shared" si="49"/>
        <v>0</v>
      </c>
      <c r="K208" s="205">
        <f t="shared" si="50"/>
        <v>0</v>
      </c>
      <c r="L208" s="319">
        <f t="shared" si="51"/>
        <v>27000</v>
      </c>
      <c r="M208" s="336">
        <f t="shared" si="52"/>
        <v>30000</v>
      </c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</row>
    <row r="209" spans="1:26" ht="14.4">
      <c r="A209" s="326"/>
      <c r="B209" s="337" t="s">
        <v>301</v>
      </c>
      <c r="C209" s="227">
        <v>52</v>
      </c>
      <c r="D209" s="201"/>
      <c r="E209" s="201"/>
      <c r="F209" s="202">
        <f t="shared" si="48"/>
        <v>52</v>
      </c>
      <c r="G209" s="203">
        <v>16700</v>
      </c>
      <c r="H209" s="203">
        <v>19200</v>
      </c>
      <c r="I209" s="204"/>
      <c r="J209" s="205">
        <f t="shared" si="49"/>
        <v>0</v>
      </c>
      <c r="K209" s="205">
        <f t="shared" si="50"/>
        <v>0</v>
      </c>
      <c r="L209" s="319">
        <f t="shared" si="51"/>
        <v>868400</v>
      </c>
      <c r="M209" s="336">
        <f t="shared" si="52"/>
        <v>998400</v>
      </c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</row>
    <row r="210" spans="1:26" ht="14.4">
      <c r="A210" s="326"/>
      <c r="B210" s="337" t="s">
        <v>302</v>
      </c>
      <c r="C210" s="227">
        <v>74.5</v>
      </c>
      <c r="D210" s="201"/>
      <c r="E210" s="201"/>
      <c r="F210" s="202">
        <f t="shared" si="48"/>
        <v>74.5</v>
      </c>
      <c r="G210" s="203">
        <v>57000</v>
      </c>
      <c r="H210" s="203">
        <v>65000</v>
      </c>
      <c r="I210" s="204"/>
      <c r="J210" s="205">
        <f t="shared" si="49"/>
        <v>0</v>
      </c>
      <c r="K210" s="205">
        <f t="shared" si="50"/>
        <v>0</v>
      </c>
      <c r="L210" s="319">
        <f t="shared" si="51"/>
        <v>4246500</v>
      </c>
      <c r="M210" s="336">
        <f t="shared" si="52"/>
        <v>4842500</v>
      </c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</row>
    <row r="211" spans="1:26" ht="14.4">
      <c r="A211" s="326"/>
      <c r="B211" s="337" t="s">
        <v>303</v>
      </c>
      <c r="C211" s="227">
        <v>16</v>
      </c>
      <c r="D211" s="201"/>
      <c r="E211" s="201"/>
      <c r="F211" s="202">
        <f t="shared" si="48"/>
        <v>16</v>
      </c>
      <c r="G211" s="203">
        <v>43000</v>
      </c>
      <c r="H211" s="203">
        <v>45000</v>
      </c>
      <c r="I211" s="204"/>
      <c r="J211" s="205">
        <f t="shared" si="49"/>
        <v>0</v>
      </c>
      <c r="K211" s="205">
        <f t="shared" si="50"/>
        <v>0</v>
      </c>
      <c r="L211" s="319">
        <f t="shared" si="51"/>
        <v>688000</v>
      </c>
      <c r="M211" s="336">
        <f t="shared" si="52"/>
        <v>720000</v>
      </c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</row>
    <row r="212" spans="1:26" ht="14.4">
      <c r="A212" s="326"/>
      <c r="B212" s="337" t="s">
        <v>304</v>
      </c>
      <c r="C212" s="227">
        <v>14</v>
      </c>
      <c r="D212" s="201"/>
      <c r="E212" s="201"/>
      <c r="F212" s="202">
        <f t="shared" si="48"/>
        <v>14</v>
      </c>
      <c r="G212" s="203">
        <v>45700</v>
      </c>
      <c r="H212" s="203">
        <v>50000</v>
      </c>
      <c r="I212" s="204"/>
      <c r="J212" s="205">
        <f t="shared" si="49"/>
        <v>0</v>
      </c>
      <c r="K212" s="205">
        <f t="shared" si="50"/>
        <v>0</v>
      </c>
      <c r="L212" s="319">
        <f t="shared" si="51"/>
        <v>639800</v>
      </c>
      <c r="M212" s="336">
        <f t="shared" si="52"/>
        <v>700000</v>
      </c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</row>
    <row r="213" spans="1:26" ht="14.4">
      <c r="A213" s="326"/>
      <c r="B213" s="337" t="s">
        <v>305</v>
      </c>
      <c r="C213" s="227">
        <v>8</v>
      </c>
      <c r="D213" s="201"/>
      <c r="E213" s="201"/>
      <c r="F213" s="202">
        <f t="shared" si="48"/>
        <v>8</v>
      </c>
      <c r="G213" s="203">
        <v>48000</v>
      </c>
      <c r="H213" s="203">
        <v>55000</v>
      </c>
      <c r="I213" s="204"/>
      <c r="J213" s="205">
        <f t="shared" si="49"/>
        <v>0</v>
      </c>
      <c r="K213" s="205">
        <f t="shared" si="50"/>
        <v>0</v>
      </c>
      <c r="L213" s="319">
        <f t="shared" si="51"/>
        <v>384000</v>
      </c>
      <c r="M213" s="336">
        <f t="shared" si="52"/>
        <v>440000</v>
      </c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</row>
    <row r="214" spans="1:26" ht="14.4">
      <c r="A214" s="326"/>
      <c r="B214" s="337" t="s">
        <v>306</v>
      </c>
      <c r="C214" s="227">
        <v>30</v>
      </c>
      <c r="D214" s="201"/>
      <c r="E214" s="201"/>
      <c r="F214" s="202">
        <f t="shared" si="48"/>
        <v>30</v>
      </c>
      <c r="G214" s="203">
        <v>27000</v>
      </c>
      <c r="H214" s="203">
        <v>30000</v>
      </c>
      <c r="I214" s="204"/>
      <c r="J214" s="205">
        <f t="shared" si="49"/>
        <v>0</v>
      </c>
      <c r="K214" s="205">
        <f t="shared" si="50"/>
        <v>0</v>
      </c>
      <c r="L214" s="319">
        <f t="shared" si="51"/>
        <v>810000</v>
      </c>
      <c r="M214" s="336">
        <f t="shared" si="52"/>
        <v>900000</v>
      </c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</row>
    <row r="215" spans="1:26" ht="14.4">
      <c r="A215" s="326"/>
      <c r="B215" s="337" t="s">
        <v>307</v>
      </c>
      <c r="C215" s="227">
        <v>3.5</v>
      </c>
      <c r="D215" s="201"/>
      <c r="E215" s="201"/>
      <c r="F215" s="202">
        <f t="shared" si="48"/>
        <v>3.5</v>
      </c>
      <c r="G215" s="203">
        <v>37000</v>
      </c>
      <c r="H215" s="203">
        <v>45000</v>
      </c>
      <c r="I215" s="204"/>
      <c r="J215" s="205">
        <f t="shared" si="49"/>
        <v>0</v>
      </c>
      <c r="K215" s="205">
        <f t="shared" si="50"/>
        <v>0</v>
      </c>
      <c r="L215" s="319">
        <f t="shared" si="51"/>
        <v>129500</v>
      </c>
      <c r="M215" s="336">
        <f t="shared" si="52"/>
        <v>157500</v>
      </c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</row>
    <row r="216" spans="1:26" ht="14.4">
      <c r="A216" s="326"/>
      <c r="B216" s="337" t="s">
        <v>308</v>
      </c>
      <c r="C216" s="227">
        <v>19</v>
      </c>
      <c r="D216" s="201"/>
      <c r="E216" s="201"/>
      <c r="F216" s="202">
        <f t="shared" si="48"/>
        <v>19</v>
      </c>
      <c r="G216" s="203">
        <v>33000</v>
      </c>
      <c r="H216" s="203">
        <v>35000</v>
      </c>
      <c r="I216" s="204"/>
      <c r="J216" s="205">
        <f t="shared" si="49"/>
        <v>0</v>
      </c>
      <c r="K216" s="205">
        <f t="shared" si="50"/>
        <v>0</v>
      </c>
      <c r="L216" s="319">
        <f t="shared" si="51"/>
        <v>627000</v>
      </c>
      <c r="M216" s="336">
        <f t="shared" si="52"/>
        <v>665000</v>
      </c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</row>
    <row r="217" spans="1:26" ht="14.4">
      <c r="A217" s="326"/>
      <c r="B217" s="337" t="s">
        <v>309</v>
      </c>
      <c r="C217" s="227">
        <v>16</v>
      </c>
      <c r="D217" s="201"/>
      <c r="E217" s="201"/>
      <c r="F217" s="202">
        <f t="shared" si="48"/>
        <v>16</v>
      </c>
      <c r="G217" s="203">
        <v>14000</v>
      </c>
      <c r="H217" s="203">
        <v>16000</v>
      </c>
      <c r="I217" s="204"/>
      <c r="J217" s="205">
        <f t="shared" si="49"/>
        <v>0</v>
      </c>
      <c r="K217" s="205">
        <f t="shared" si="50"/>
        <v>0</v>
      </c>
      <c r="L217" s="319">
        <f t="shared" si="51"/>
        <v>224000</v>
      </c>
      <c r="M217" s="336">
        <f t="shared" si="52"/>
        <v>256000</v>
      </c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</row>
    <row r="218" spans="1:26" ht="14.4">
      <c r="A218" s="326"/>
      <c r="B218" s="337" t="s">
        <v>310</v>
      </c>
      <c r="C218" s="229"/>
      <c r="D218" s="201"/>
      <c r="E218" s="201"/>
      <c r="F218" s="202">
        <f t="shared" si="48"/>
        <v>0</v>
      </c>
      <c r="G218" s="203">
        <v>39300</v>
      </c>
      <c r="H218" s="203">
        <v>45000</v>
      </c>
      <c r="I218" s="204"/>
      <c r="J218" s="205">
        <f t="shared" si="49"/>
        <v>0</v>
      </c>
      <c r="K218" s="205">
        <f t="shared" si="50"/>
        <v>0</v>
      </c>
      <c r="L218" s="319">
        <f t="shared" si="51"/>
        <v>0</v>
      </c>
      <c r="M218" s="336">
        <f t="shared" si="52"/>
        <v>0</v>
      </c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</row>
    <row r="219" spans="1:26" ht="14.4">
      <c r="A219" s="326"/>
      <c r="B219" s="337" t="s">
        <v>311</v>
      </c>
      <c r="C219" s="227"/>
      <c r="D219" s="201"/>
      <c r="E219" s="201"/>
      <c r="F219" s="202">
        <f t="shared" si="48"/>
        <v>0</v>
      </c>
      <c r="G219" s="203">
        <v>11800</v>
      </c>
      <c r="H219" s="203">
        <v>15500</v>
      </c>
      <c r="I219" s="204"/>
      <c r="J219" s="205">
        <f t="shared" si="49"/>
        <v>0</v>
      </c>
      <c r="K219" s="205">
        <f t="shared" si="50"/>
        <v>0</v>
      </c>
      <c r="L219" s="319">
        <f t="shared" si="51"/>
        <v>0</v>
      </c>
      <c r="M219" s="336">
        <f t="shared" si="52"/>
        <v>0</v>
      </c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</row>
    <row r="220" spans="1:26" ht="14.4">
      <c r="A220" s="326"/>
      <c r="B220" s="230" t="s">
        <v>312</v>
      </c>
      <c r="C220" s="227">
        <v>2</v>
      </c>
      <c r="D220" s="201"/>
      <c r="E220" s="201"/>
      <c r="F220" s="202">
        <f t="shared" si="48"/>
        <v>2</v>
      </c>
      <c r="G220" s="203">
        <v>17000</v>
      </c>
      <c r="H220" s="203">
        <v>25000</v>
      </c>
      <c r="I220" s="204"/>
      <c r="J220" s="205">
        <f t="shared" si="49"/>
        <v>0</v>
      </c>
      <c r="K220" s="205">
        <f t="shared" si="50"/>
        <v>0</v>
      </c>
      <c r="L220" s="319">
        <f t="shared" si="51"/>
        <v>34000</v>
      </c>
      <c r="M220" s="336">
        <f t="shared" si="52"/>
        <v>50000</v>
      </c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</row>
    <row r="221" spans="1:26" ht="14.4">
      <c r="A221" s="326"/>
      <c r="B221" s="337" t="s">
        <v>313</v>
      </c>
      <c r="C221" s="229"/>
      <c r="D221" s="201"/>
      <c r="E221" s="201"/>
      <c r="F221" s="202">
        <f t="shared" si="48"/>
        <v>0</v>
      </c>
      <c r="G221" s="203">
        <v>24500</v>
      </c>
      <c r="H221" s="203">
        <v>28000</v>
      </c>
      <c r="I221" s="204"/>
      <c r="J221" s="205">
        <f t="shared" si="49"/>
        <v>0</v>
      </c>
      <c r="K221" s="205">
        <f t="shared" si="50"/>
        <v>0</v>
      </c>
      <c r="L221" s="319">
        <f t="shared" si="51"/>
        <v>0</v>
      </c>
      <c r="M221" s="336">
        <f t="shared" si="52"/>
        <v>0</v>
      </c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</row>
    <row r="222" spans="1:26" ht="14.4">
      <c r="A222" s="326"/>
      <c r="B222" s="337" t="s">
        <v>314</v>
      </c>
      <c r="C222" s="229">
        <v>3</v>
      </c>
      <c r="D222" s="201"/>
      <c r="E222" s="201"/>
      <c r="F222" s="202">
        <f t="shared" si="48"/>
        <v>3</v>
      </c>
      <c r="G222" s="203">
        <v>24500</v>
      </c>
      <c r="H222" s="203">
        <v>28000</v>
      </c>
      <c r="I222" s="204"/>
      <c r="J222" s="205">
        <f t="shared" si="49"/>
        <v>0</v>
      </c>
      <c r="K222" s="205">
        <f t="shared" si="50"/>
        <v>0</v>
      </c>
      <c r="L222" s="319">
        <f t="shared" si="51"/>
        <v>73500</v>
      </c>
      <c r="M222" s="336">
        <f t="shared" si="52"/>
        <v>84000</v>
      </c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</row>
    <row r="223" spans="1:26" ht="14.4">
      <c r="A223" s="326"/>
      <c r="B223" s="337" t="s">
        <v>315</v>
      </c>
      <c r="C223" s="229">
        <v>20</v>
      </c>
      <c r="D223" s="201"/>
      <c r="E223" s="201"/>
      <c r="F223" s="202">
        <f t="shared" si="48"/>
        <v>20</v>
      </c>
      <c r="G223" s="203">
        <v>26200</v>
      </c>
      <c r="H223" s="203">
        <v>30000</v>
      </c>
      <c r="I223" s="204"/>
      <c r="J223" s="205">
        <f t="shared" si="49"/>
        <v>0</v>
      </c>
      <c r="K223" s="205">
        <f t="shared" si="50"/>
        <v>0</v>
      </c>
      <c r="L223" s="319">
        <f t="shared" si="51"/>
        <v>524000</v>
      </c>
      <c r="M223" s="336">
        <f t="shared" si="52"/>
        <v>600000</v>
      </c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</row>
    <row r="224" spans="1:26" ht="14.4">
      <c r="A224" s="326"/>
      <c r="B224" s="337" t="s">
        <v>316</v>
      </c>
      <c r="C224" s="227">
        <v>68</v>
      </c>
      <c r="D224" s="201"/>
      <c r="E224" s="201"/>
      <c r="F224" s="202">
        <f t="shared" si="48"/>
        <v>68</v>
      </c>
      <c r="G224" s="203">
        <v>6600</v>
      </c>
      <c r="H224" s="203">
        <v>7000</v>
      </c>
      <c r="I224" s="204"/>
      <c r="J224" s="205">
        <f t="shared" si="49"/>
        <v>0</v>
      </c>
      <c r="K224" s="205">
        <f t="shared" si="50"/>
        <v>0</v>
      </c>
      <c r="L224" s="319">
        <f t="shared" si="51"/>
        <v>448800</v>
      </c>
      <c r="M224" s="336">
        <f t="shared" si="52"/>
        <v>476000</v>
      </c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</row>
    <row r="225" spans="1:26" ht="14.4">
      <c r="A225" s="326"/>
      <c r="B225" s="337" t="s">
        <v>317</v>
      </c>
      <c r="C225" s="227">
        <v>19</v>
      </c>
      <c r="D225" s="201"/>
      <c r="E225" s="201"/>
      <c r="F225" s="202">
        <f t="shared" si="48"/>
        <v>19</v>
      </c>
      <c r="G225" s="203">
        <v>15200</v>
      </c>
      <c r="H225" s="203">
        <v>19000</v>
      </c>
      <c r="I225" s="204"/>
      <c r="J225" s="205">
        <f t="shared" si="49"/>
        <v>0</v>
      </c>
      <c r="K225" s="205">
        <f t="shared" si="50"/>
        <v>0</v>
      </c>
      <c r="L225" s="319">
        <f t="shared" si="51"/>
        <v>288800</v>
      </c>
      <c r="M225" s="336">
        <f t="shared" si="52"/>
        <v>361000</v>
      </c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</row>
    <row r="226" spans="1:26" ht="14.4">
      <c r="A226" s="326"/>
      <c r="B226" s="337" t="s">
        <v>318</v>
      </c>
      <c r="C226" s="227">
        <v>1</v>
      </c>
      <c r="D226" s="201"/>
      <c r="E226" s="201"/>
      <c r="F226" s="202">
        <f t="shared" si="48"/>
        <v>1</v>
      </c>
      <c r="G226" s="203">
        <v>38300</v>
      </c>
      <c r="H226" s="203">
        <v>45000</v>
      </c>
      <c r="I226" s="204"/>
      <c r="J226" s="205">
        <f t="shared" si="49"/>
        <v>0</v>
      </c>
      <c r="K226" s="205">
        <f t="shared" si="50"/>
        <v>0</v>
      </c>
      <c r="L226" s="319">
        <f t="shared" si="51"/>
        <v>38300</v>
      </c>
      <c r="M226" s="336">
        <f t="shared" si="52"/>
        <v>45000</v>
      </c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</row>
    <row r="227" spans="1:26" ht="14.4">
      <c r="A227" s="326"/>
      <c r="B227" s="337" t="s">
        <v>319</v>
      </c>
      <c r="C227" s="229">
        <v>1</v>
      </c>
      <c r="D227" s="201"/>
      <c r="E227" s="201"/>
      <c r="F227" s="202">
        <f t="shared" si="48"/>
        <v>1</v>
      </c>
      <c r="G227" s="203">
        <v>34900</v>
      </c>
      <c r="H227" s="203">
        <v>40000</v>
      </c>
      <c r="I227" s="204"/>
      <c r="J227" s="205">
        <f t="shared" si="49"/>
        <v>0</v>
      </c>
      <c r="K227" s="205">
        <f t="shared" si="50"/>
        <v>0</v>
      </c>
      <c r="L227" s="319">
        <f t="shared" si="51"/>
        <v>34900</v>
      </c>
      <c r="M227" s="336">
        <f t="shared" si="52"/>
        <v>40000</v>
      </c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</row>
    <row r="228" spans="1:26" ht="14.4">
      <c r="A228" s="326"/>
      <c r="B228" s="337" t="s">
        <v>320</v>
      </c>
      <c r="C228" s="227"/>
      <c r="D228" s="201"/>
      <c r="E228" s="201"/>
      <c r="F228" s="202">
        <f t="shared" si="48"/>
        <v>0</v>
      </c>
      <c r="G228" s="203">
        <v>28800</v>
      </c>
      <c r="H228" s="203">
        <v>36000</v>
      </c>
      <c r="I228" s="204"/>
      <c r="J228" s="205">
        <f t="shared" si="49"/>
        <v>0</v>
      </c>
      <c r="K228" s="205">
        <f t="shared" si="50"/>
        <v>0</v>
      </c>
      <c r="L228" s="319">
        <f t="shared" si="51"/>
        <v>0</v>
      </c>
      <c r="M228" s="336">
        <f t="shared" si="52"/>
        <v>0</v>
      </c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</row>
    <row r="229" spans="1:26" ht="14.4">
      <c r="A229" s="326"/>
      <c r="B229" s="337" t="s">
        <v>321</v>
      </c>
      <c r="C229" s="227"/>
      <c r="D229" s="201"/>
      <c r="E229" s="201"/>
      <c r="F229" s="202">
        <f t="shared" si="48"/>
        <v>0</v>
      </c>
      <c r="G229" s="203">
        <v>11600</v>
      </c>
      <c r="H229" s="203">
        <v>15500</v>
      </c>
      <c r="I229" s="204"/>
      <c r="J229" s="205">
        <f t="shared" si="49"/>
        <v>0</v>
      </c>
      <c r="K229" s="205">
        <f t="shared" si="50"/>
        <v>0</v>
      </c>
      <c r="L229" s="319">
        <f t="shared" si="51"/>
        <v>0</v>
      </c>
      <c r="M229" s="336">
        <f t="shared" si="52"/>
        <v>0</v>
      </c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</row>
    <row r="230" spans="1:26" ht="14.4">
      <c r="A230" s="326"/>
      <c r="B230" s="337" t="s">
        <v>322</v>
      </c>
      <c r="C230" s="229">
        <v>1</v>
      </c>
      <c r="D230" s="201"/>
      <c r="E230" s="201"/>
      <c r="F230" s="202">
        <f t="shared" si="48"/>
        <v>1</v>
      </c>
      <c r="G230" s="203">
        <v>31900</v>
      </c>
      <c r="H230" s="203">
        <v>40000</v>
      </c>
      <c r="I230" s="204"/>
      <c r="J230" s="205">
        <f t="shared" si="49"/>
        <v>0</v>
      </c>
      <c r="K230" s="205">
        <f t="shared" si="50"/>
        <v>0</v>
      </c>
      <c r="L230" s="319">
        <f t="shared" si="51"/>
        <v>31900</v>
      </c>
      <c r="M230" s="336">
        <f t="shared" si="52"/>
        <v>40000</v>
      </c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</row>
    <row r="231" spans="1:26" ht="14.4">
      <c r="A231" s="326"/>
      <c r="B231" s="337" t="s">
        <v>323</v>
      </c>
      <c r="C231" s="227"/>
      <c r="D231" s="201"/>
      <c r="E231" s="201"/>
      <c r="F231" s="202">
        <f t="shared" si="48"/>
        <v>0</v>
      </c>
      <c r="G231" s="203">
        <v>50000</v>
      </c>
      <c r="H231" s="203">
        <v>62500</v>
      </c>
      <c r="I231" s="204"/>
      <c r="J231" s="205">
        <f t="shared" si="49"/>
        <v>0</v>
      </c>
      <c r="K231" s="205">
        <f t="shared" si="50"/>
        <v>0</v>
      </c>
      <c r="L231" s="319">
        <f t="shared" si="51"/>
        <v>0</v>
      </c>
      <c r="M231" s="336">
        <f t="shared" si="52"/>
        <v>0</v>
      </c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</row>
    <row r="232" spans="1:26" ht="14.4">
      <c r="A232" s="326"/>
      <c r="B232" s="337" t="s">
        <v>324</v>
      </c>
      <c r="C232" s="227">
        <v>11.5</v>
      </c>
      <c r="D232" s="201"/>
      <c r="E232" s="201"/>
      <c r="F232" s="202">
        <f t="shared" si="48"/>
        <v>11.5</v>
      </c>
      <c r="G232" s="203">
        <v>20100</v>
      </c>
      <c r="H232" s="203">
        <v>25000</v>
      </c>
      <c r="I232" s="204"/>
      <c r="J232" s="205">
        <f t="shared" si="49"/>
        <v>0</v>
      </c>
      <c r="K232" s="205">
        <f t="shared" si="50"/>
        <v>0</v>
      </c>
      <c r="L232" s="319">
        <f t="shared" si="51"/>
        <v>231150</v>
      </c>
      <c r="M232" s="336">
        <f t="shared" si="52"/>
        <v>287500</v>
      </c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</row>
    <row r="233" spans="1:26" ht="14.4">
      <c r="A233" s="326"/>
      <c r="B233" s="337" t="s">
        <v>325</v>
      </c>
      <c r="C233" s="227">
        <v>2</v>
      </c>
      <c r="D233" s="201"/>
      <c r="E233" s="201"/>
      <c r="F233" s="202">
        <f t="shared" si="48"/>
        <v>2</v>
      </c>
      <c r="G233" s="203">
        <v>20100</v>
      </c>
      <c r="H233" s="203">
        <v>25000</v>
      </c>
      <c r="I233" s="204"/>
      <c r="J233" s="205">
        <f t="shared" si="49"/>
        <v>0</v>
      </c>
      <c r="K233" s="205">
        <f t="shared" si="50"/>
        <v>0</v>
      </c>
      <c r="L233" s="319">
        <f t="shared" si="51"/>
        <v>40200</v>
      </c>
      <c r="M233" s="336">
        <f t="shared" si="52"/>
        <v>50000</v>
      </c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</row>
    <row r="234" spans="1:26" ht="14.4">
      <c r="A234" s="326"/>
      <c r="B234" s="337" t="s">
        <v>326</v>
      </c>
      <c r="C234" s="227"/>
      <c r="D234" s="201"/>
      <c r="E234" s="201"/>
      <c r="F234" s="202">
        <f t="shared" si="48"/>
        <v>0</v>
      </c>
      <c r="G234" s="203">
        <v>43600</v>
      </c>
      <c r="H234" s="203">
        <v>50000</v>
      </c>
      <c r="I234" s="204"/>
      <c r="J234" s="205">
        <f t="shared" si="49"/>
        <v>0</v>
      </c>
      <c r="K234" s="205">
        <f t="shared" si="50"/>
        <v>0</v>
      </c>
      <c r="L234" s="319">
        <f t="shared" si="51"/>
        <v>0</v>
      </c>
      <c r="M234" s="336">
        <f t="shared" si="52"/>
        <v>0</v>
      </c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</row>
    <row r="235" spans="1:26" ht="14.4">
      <c r="A235" s="326"/>
      <c r="B235" s="337" t="s">
        <v>327</v>
      </c>
      <c r="C235" s="227">
        <v>1.5</v>
      </c>
      <c r="D235" s="201"/>
      <c r="E235" s="201"/>
      <c r="F235" s="202">
        <f t="shared" si="48"/>
        <v>1.5</v>
      </c>
      <c r="G235" s="203">
        <v>34000</v>
      </c>
      <c r="H235" s="203">
        <v>40000</v>
      </c>
      <c r="I235" s="204"/>
      <c r="J235" s="205">
        <f t="shared" si="49"/>
        <v>0</v>
      </c>
      <c r="K235" s="205">
        <f t="shared" si="50"/>
        <v>0</v>
      </c>
      <c r="L235" s="319">
        <f t="shared" si="51"/>
        <v>51000</v>
      </c>
      <c r="M235" s="336">
        <f t="shared" si="52"/>
        <v>60000</v>
      </c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</row>
    <row r="236" spans="1:26" ht="14.4">
      <c r="A236" s="326"/>
      <c r="B236" s="337" t="s">
        <v>328</v>
      </c>
      <c r="C236" s="229">
        <v>4</v>
      </c>
      <c r="D236" s="201"/>
      <c r="E236" s="201"/>
      <c r="F236" s="202">
        <f t="shared" si="48"/>
        <v>4</v>
      </c>
      <c r="G236" s="203">
        <v>25000</v>
      </c>
      <c r="H236" s="203">
        <v>28000</v>
      </c>
      <c r="I236" s="204"/>
      <c r="J236" s="205">
        <f t="shared" si="49"/>
        <v>0</v>
      </c>
      <c r="K236" s="205">
        <f t="shared" si="50"/>
        <v>0</v>
      </c>
      <c r="L236" s="319">
        <f t="shared" si="51"/>
        <v>100000</v>
      </c>
      <c r="M236" s="336">
        <f t="shared" si="52"/>
        <v>112000</v>
      </c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</row>
    <row r="237" spans="1:26" ht="14.4">
      <c r="A237" s="326"/>
      <c r="B237" s="337" t="s">
        <v>329</v>
      </c>
      <c r="C237" s="227">
        <v>0.5</v>
      </c>
      <c r="D237" s="201"/>
      <c r="E237" s="201"/>
      <c r="F237" s="202">
        <f t="shared" si="48"/>
        <v>0.5</v>
      </c>
      <c r="G237" s="203">
        <v>20100</v>
      </c>
      <c r="H237" s="203">
        <v>25000</v>
      </c>
      <c r="I237" s="204"/>
      <c r="J237" s="205">
        <f t="shared" si="49"/>
        <v>0</v>
      </c>
      <c r="K237" s="205">
        <f t="shared" si="50"/>
        <v>0</v>
      </c>
      <c r="L237" s="319">
        <f t="shared" si="51"/>
        <v>10050</v>
      </c>
      <c r="M237" s="336">
        <f t="shared" si="52"/>
        <v>12500</v>
      </c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</row>
    <row r="238" spans="1:26" ht="14.4">
      <c r="A238" s="326"/>
      <c r="B238" s="337" t="s">
        <v>330</v>
      </c>
      <c r="C238" s="227"/>
      <c r="D238" s="201"/>
      <c r="E238" s="201"/>
      <c r="F238" s="202">
        <f t="shared" si="48"/>
        <v>0</v>
      </c>
      <c r="G238" s="203">
        <v>50000</v>
      </c>
      <c r="H238" s="203">
        <v>62500</v>
      </c>
      <c r="I238" s="204"/>
      <c r="J238" s="205">
        <f t="shared" si="49"/>
        <v>0</v>
      </c>
      <c r="K238" s="205">
        <f t="shared" si="50"/>
        <v>0</v>
      </c>
      <c r="L238" s="319">
        <f t="shared" si="51"/>
        <v>0</v>
      </c>
      <c r="M238" s="336">
        <f t="shared" si="52"/>
        <v>0</v>
      </c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</row>
    <row r="239" spans="1:26" ht="14.4">
      <c r="A239" s="326"/>
      <c r="B239" s="230" t="s">
        <v>331</v>
      </c>
      <c r="C239" s="227"/>
      <c r="D239" s="201"/>
      <c r="E239" s="201"/>
      <c r="F239" s="202">
        <f t="shared" si="48"/>
        <v>0</v>
      </c>
      <c r="G239" s="203">
        <v>6000</v>
      </c>
      <c r="H239" s="203">
        <v>8000</v>
      </c>
      <c r="I239" s="204"/>
      <c r="J239" s="205">
        <f t="shared" si="49"/>
        <v>0</v>
      </c>
      <c r="K239" s="205">
        <f t="shared" si="50"/>
        <v>0</v>
      </c>
      <c r="L239" s="319">
        <f t="shared" si="51"/>
        <v>0</v>
      </c>
      <c r="M239" s="336">
        <f t="shared" si="52"/>
        <v>0</v>
      </c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</row>
    <row r="240" spans="1:26" ht="14.4">
      <c r="A240" s="326"/>
      <c r="B240" s="337" t="s">
        <v>332</v>
      </c>
      <c r="C240" s="227">
        <v>1</v>
      </c>
      <c r="D240" s="201"/>
      <c r="E240" s="201"/>
      <c r="F240" s="202">
        <f t="shared" si="48"/>
        <v>1</v>
      </c>
      <c r="G240" s="203">
        <v>36000</v>
      </c>
      <c r="H240" s="203">
        <v>45000</v>
      </c>
      <c r="I240" s="204"/>
      <c r="J240" s="205">
        <f t="shared" si="49"/>
        <v>0</v>
      </c>
      <c r="K240" s="205">
        <f t="shared" si="50"/>
        <v>0</v>
      </c>
      <c r="L240" s="319">
        <f t="shared" si="51"/>
        <v>36000</v>
      </c>
      <c r="M240" s="336">
        <f t="shared" si="52"/>
        <v>45000</v>
      </c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</row>
    <row r="241" spans="1:26" ht="14.4">
      <c r="A241" s="326"/>
      <c r="B241" s="337" t="s">
        <v>333</v>
      </c>
      <c r="C241" s="227"/>
      <c r="D241" s="201"/>
      <c r="E241" s="201"/>
      <c r="F241" s="202">
        <f t="shared" si="48"/>
        <v>0</v>
      </c>
      <c r="G241" s="203">
        <v>28800</v>
      </c>
      <c r="H241" s="203">
        <v>36000</v>
      </c>
      <c r="I241" s="204"/>
      <c r="J241" s="205">
        <f t="shared" si="49"/>
        <v>0</v>
      </c>
      <c r="K241" s="205">
        <f t="shared" si="50"/>
        <v>0</v>
      </c>
      <c r="L241" s="319">
        <f t="shared" si="51"/>
        <v>0</v>
      </c>
      <c r="M241" s="336">
        <f t="shared" si="52"/>
        <v>0</v>
      </c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</row>
    <row r="242" spans="1:26" ht="14.4">
      <c r="A242" s="326"/>
      <c r="B242" s="337" t="s">
        <v>334</v>
      </c>
      <c r="C242" s="227">
        <v>5.5</v>
      </c>
      <c r="D242" s="201"/>
      <c r="E242" s="201"/>
      <c r="F242" s="202">
        <f t="shared" si="48"/>
        <v>5.5</v>
      </c>
      <c r="G242" s="203">
        <v>31900</v>
      </c>
      <c r="H242" s="203">
        <v>40000</v>
      </c>
      <c r="I242" s="204"/>
      <c r="J242" s="205">
        <f t="shared" si="49"/>
        <v>0</v>
      </c>
      <c r="K242" s="205">
        <f t="shared" si="50"/>
        <v>0</v>
      </c>
      <c r="L242" s="319">
        <f t="shared" si="51"/>
        <v>175450</v>
      </c>
      <c r="M242" s="336">
        <f t="shared" si="52"/>
        <v>220000</v>
      </c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</row>
    <row r="243" spans="1:26" ht="14.4">
      <c r="A243" s="326"/>
      <c r="B243" s="337" t="s">
        <v>335</v>
      </c>
      <c r="C243" s="227"/>
      <c r="D243" s="201"/>
      <c r="E243" s="201"/>
      <c r="F243" s="202">
        <f t="shared" si="48"/>
        <v>0</v>
      </c>
      <c r="G243" s="203">
        <v>50000</v>
      </c>
      <c r="H243" s="203">
        <v>62500</v>
      </c>
      <c r="I243" s="204"/>
      <c r="J243" s="205">
        <f t="shared" si="49"/>
        <v>0</v>
      </c>
      <c r="K243" s="205">
        <f t="shared" si="50"/>
        <v>0</v>
      </c>
      <c r="L243" s="319">
        <f t="shared" si="51"/>
        <v>0</v>
      </c>
      <c r="M243" s="336">
        <f t="shared" si="52"/>
        <v>0</v>
      </c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</row>
    <row r="244" spans="1:26" ht="14.4">
      <c r="A244" s="326"/>
      <c r="B244" s="337" t="s">
        <v>336</v>
      </c>
      <c r="C244" s="227">
        <v>2</v>
      </c>
      <c r="D244" s="201"/>
      <c r="E244" s="201"/>
      <c r="F244" s="202">
        <f t="shared" si="48"/>
        <v>2</v>
      </c>
      <c r="G244" s="203">
        <v>16400</v>
      </c>
      <c r="H244" s="203">
        <v>25000</v>
      </c>
      <c r="I244" s="204"/>
      <c r="J244" s="205">
        <f t="shared" si="49"/>
        <v>0</v>
      </c>
      <c r="K244" s="205">
        <f t="shared" si="50"/>
        <v>0</v>
      </c>
      <c r="L244" s="319">
        <f t="shared" si="51"/>
        <v>32800</v>
      </c>
      <c r="M244" s="336">
        <f t="shared" si="52"/>
        <v>50000</v>
      </c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</row>
    <row r="245" spans="1:26" ht="14.4">
      <c r="A245" s="326"/>
      <c r="B245" s="337" t="s">
        <v>337</v>
      </c>
      <c r="C245" s="227">
        <v>2.5</v>
      </c>
      <c r="D245" s="201"/>
      <c r="E245" s="201"/>
      <c r="F245" s="202">
        <f t="shared" si="48"/>
        <v>2.5</v>
      </c>
      <c r="G245" s="203">
        <v>38300</v>
      </c>
      <c r="H245" s="203">
        <v>45000</v>
      </c>
      <c r="I245" s="204"/>
      <c r="J245" s="205">
        <f t="shared" si="49"/>
        <v>0</v>
      </c>
      <c r="K245" s="205">
        <f t="shared" si="50"/>
        <v>0</v>
      </c>
      <c r="L245" s="319">
        <f t="shared" si="51"/>
        <v>95750</v>
      </c>
      <c r="M245" s="336">
        <f t="shared" si="52"/>
        <v>112500</v>
      </c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</row>
    <row r="246" spans="1:26" ht="14.4">
      <c r="A246" s="326"/>
      <c r="B246" s="337" t="s">
        <v>338</v>
      </c>
      <c r="C246" s="227"/>
      <c r="D246" s="201"/>
      <c r="E246" s="201"/>
      <c r="F246" s="202">
        <f t="shared" si="48"/>
        <v>0</v>
      </c>
      <c r="G246" s="203">
        <v>10500</v>
      </c>
      <c r="H246" s="338">
        <v>15000</v>
      </c>
      <c r="I246" s="204"/>
      <c r="J246" s="205">
        <f t="shared" si="49"/>
        <v>0</v>
      </c>
      <c r="K246" s="205">
        <f t="shared" si="50"/>
        <v>0</v>
      </c>
      <c r="L246" s="319">
        <f t="shared" si="51"/>
        <v>0</v>
      </c>
      <c r="M246" s="336">
        <f t="shared" si="52"/>
        <v>0</v>
      </c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</row>
    <row r="247" spans="1:26" ht="14.4">
      <c r="A247" s="326"/>
      <c r="B247" s="337" t="s">
        <v>339</v>
      </c>
      <c r="C247" s="227"/>
      <c r="D247" s="201"/>
      <c r="E247" s="201"/>
      <c r="F247" s="202">
        <f t="shared" si="48"/>
        <v>0</v>
      </c>
      <c r="G247" s="338">
        <v>14000</v>
      </c>
      <c r="H247" s="338">
        <v>20000</v>
      </c>
      <c r="I247" s="204"/>
      <c r="J247" s="205">
        <f t="shared" si="49"/>
        <v>0</v>
      </c>
      <c r="K247" s="205">
        <f t="shared" si="50"/>
        <v>0</v>
      </c>
      <c r="L247" s="319">
        <f t="shared" si="51"/>
        <v>0</v>
      </c>
      <c r="M247" s="336">
        <f t="shared" si="52"/>
        <v>0</v>
      </c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</row>
    <row r="248" spans="1:26" ht="14.4">
      <c r="A248" s="326"/>
      <c r="B248" s="337" t="s">
        <v>340</v>
      </c>
      <c r="C248" s="227">
        <v>2.5</v>
      </c>
      <c r="D248" s="201"/>
      <c r="E248" s="201"/>
      <c r="F248" s="202">
        <f t="shared" si="48"/>
        <v>2.5</v>
      </c>
      <c r="G248" s="239">
        <v>34900</v>
      </c>
      <c r="H248" s="239">
        <v>37500</v>
      </c>
      <c r="I248" s="213"/>
      <c r="J248" s="205">
        <f t="shared" si="49"/>
        <v>0</v>
      </c>
      <c r="K248" s="205">
        <f t="shared" si="50"/>
        <v>0</v>
      </c>
      <c r="L248" s="319">
        <f t="shared" si="51"/>
        <v>87250</v>
      </c>
      <c r="M248" s="336">
        <f t="shared" si="52"/>
        <v>93750</v>
      </c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</row>
    <row r="249" spans="1:26" ht="14.4">
      <c r="A249" s="339"/>
      <c r="B249" s="340"/>
      <c r="C249" s="341"/>
      <c r="D249" s="341"/>
      <c r="E249" s="342">
        <f t="shared" ref="E249:H249" si="53">SUM(E180:E248)</f>
        <v>0</v>
      </c>
      <c r="F249" s="342">
        <f t="shared" si="53"/>
        <v>514.5</v>
      </c>
      <c r="G249" s="343">
        <f t="shared" si="53"/>
        <v>1814000</v>
      </c>
      <c r="H249" s="343">
        <f t="shared" si="53"/>
        <v>2153700</v>
      </c>
      <c r="I249" s="344"/>
      <c r="J249" s="345">
        <f t="shared" ref="J249:K249" si="54">SUM(J180:J248)</f>
        <v>0</v>
      </c>
      <c r="K249" s="345">
        <f t="shared" si="54"/>
        <v>0</v>
      </c>
      <c r="L249" s="346">
        <f>SUM(L189:L248)</f>
        <v>12956250</v>
      </c>
      <c r="M249" s="347">
        <f>SUM(M180:M248)</f>
        <v>17567700</v>
      </c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</row>
    <row r="250" spans="1:26" ht="14.4">
      <c r="A250" s="671" t="s">
        <v>341</v>
      </c>
      <c r="B250" s="230" t="s">
        <v>342</v>
      </c>
      <c r="C250" s="229">
        <v>4</v>
      </c>
      <c r="D250" s="201"/>
      <c r="E250" s="321"/>
      <c r="F250" s="202">
        <f t="shared" ref="F250:F330" si="55">+C250+D250-E250</f>
        <v>4</v>
      </c>
      <c r="G250" s="203">
        <v>22400</v>
      </c>
      <c r="H250" s="203">
        <v>25000</v>
      </c>
      <c r="I250" s="224"/>
      <c r="J250" s="205">
        <f t="shared" ref="J250:J305" si="56">+I250*H250</f>
        <v>0</v>
      </c>
      <c r="K250" s="205">
        <f t="shared" ref="K250:K312" si="57">+(H250-G250)*I250</f>
        <v>0</v>
      </c>
      <c r="L250" s="323">
        <f t="shared" ref="L250:L312" si="58">+G250*F250</f>
        <v>89600</v>
      </c>
      <c r="M250" s="348">
        <f t="shared" ref="M250:M312" si="59">F250*H250</f>
        <v>100000</v>
      </c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</row>
    <row r="251" spans="1:26" ht="14.4">
      <c r="A251" s="672"/>
      <c r="B251" s="230" t="s">
        <v>343</v>
      </c>
      <c r="C251" s="227">
        <v>4</v>
      </c>
      <c r="D251" s="201"/>
      <c r="E251" s="321"/>
      <c r="F251" s="202">
        <f t="shared" si="55"/>
        <v>4</v>
      </c>
      <c r="G251" s="203">
        <v>15000</v>
      </c>
      <c r="H251" s="203">
        <v>17000</v>
      </c>
      <c r="I251" s="204"/>
      <c r="J251" s="205">
        <f t="shared" si="56"/>
        <v>0</v>
      </c>
      <c r="K251" s="205">
        <f t="shared" si="57"/>
        <v>0</v>
      </c>
      <c r="L251" s="323">
        <f t="shared" si="58"/>
        <v>60000</v>
      </c>
      <c r="M251" s="348">
        <f t="shared" si="59"/>
        <v>68000</v>
      </c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</row>
    <row r="252" spans="1:26" ht="14.4">
      <c r="A252" s="672"/>
      <c r="B252" s="211" t="s">
        <v>344</v>
      </c>
      <c r="C252" s="227">
        <v>2</v>
      </c>
      <c r="D252" s="201"/>
      <c r="E252" s="321"/>
      <c r="F252" s="202">
        <f t="shared" si="55"/>
        <v>2</v>
      </c>
      <c r="G252" s="203">
        <v>16920</v>
      </c>
      <c r="H252" s="203">
        <v>19000</v>
      </c>
      <c r="I252" s="204"/>
      <c r="J252" s="205">
        <f t="shared" si="56"/>
        <v>0</v>
      </c>
      <c r="K252" s="205">
        <f t="shared" si="57"/>
        <v>0</v>
      </c>
      <c r="L252" s="323">
        <f t="shared" si="58"/>
        <v>33840</v>
      </c>
      <c r="M252" s="348">
        <f t="shared" si="59"/>
        <v>38000</v>
      </c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</row>
    <row r="253" spans="1:26" ht="14.4">
      <c r="A253" s="672"/>
      <c r="B253" s="211" t="s">
        <v>345</v>
      </c>
      <c r="C253" s="229">
        <v>10</v>
      </c>
      <c r="D253" s="201"/>
      <c r="E253" s="321"/>
      <c r="F253" s="202">
        <f t="shared" si="55"/>
        <v>10</v>
      </c>
      <c r="G253" s="203">
        <v>9000</v>
      </c>
      <c r="H253" s="203">
        <v>10000</v>
      </c>
      <c r="I253" s="204"/>
      <c r="J253" s="205">
        <f t="shared" si="56"/>
        <v>0</v>
      </c>
      <c r="K253" s="205">
        <f t="shared" si="57"/>
        <v>0</v>
      </c>
      <c r="L253" s="323">
        <f t="shared" si="58"/>
        <v>90000</v>
      </c>
      <c r="M253" s="348">
        <f t="shared" si="59"/>
        <v>100000</v>
      </c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</row>
    <row r="254" spans="1:26" ht="14.4">
      <c r="A254" s="672"/>
      <c r="B254" s="230" t="s">
        <v>346</v>
      </c>
      <c r="C254" s="229"/>
      <c r="D254" s="201"/>
      <c r="E254" s="321"/>
      <c r="F254" s="202">
        <f t="shared" si="55"/>
        <v>0</v>
      </c>
      <c r="G254" s="203">
        <v>15600</v>
      </c>
      <c r="H254" s="203">
        <v>16500</v>
      </c>
      <c r="I254" s="204"/>
      <c r="J254" s="205">
        <f t="shared" si="56"/>
        <v>0</v>
      </c>
      <c r="K254" s="205">
        <f t="shared" si="57"/>
        <v>0</v>
      </c>
      <c r="L254" s="323">
        <f t="shared" si="58"/>
        <v>0</v>
      </c>
      <c r="M254" s="348">
        <f t="shared" si="59"/>
        <v>0</v>
      </c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</row>
    <row r="255" spans="1:26" ht="14.4">
      <c r="A255" s="672"/>
      <c r="B255" s="230" t="s">
        <v>347</v>
      </c>
      <c r="C255" s="227">
        <v>6</v>
      </c>
      <c r="D255" s="201"/>
      <c r="E255" s="321"/>
      <c r="F255" s="202">
        <f t="shared" si="55"/>
        <v>6</v>
      </c>
      <c r="G255" s="203">
        <v>36000</v>
      </c>
      <c r="H255" s="203">
        <v>40600</v>
      </c>
      <c r="I255" s="204"/>
      <c r="J255" s="205">
        <f t="shared" si="56"/>
        <v>0</v>
      </c>
      <c r="K255" s="205">
        <f t="shared" si="57"/>
        <v>0</v>
      </c>
      <c r="L255" s="323">
        <f t="shared" si="58"/>
        <v>216000</v>
      </c>
      <c r="M255" s="348">
        <f t="shared" si="59"/>
        <v>243600</v>
      </c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</row>
    <row r="256" spans="1:26" ht="14.4">
      <c r="A256" s="672"/>
      <c r="B256" s="230" t="s">
        <v>348</v>
      </c>
      <c r="C256" s="227">
        <v>3</v>
      </c>
      <c r="D256" s="201"/>
      <c r="E256" s="321"/>
      <c r="F256" s="202">
        <f t="shared" si="55"/>
        <v>3</v>
      </c>
      <c r="G256" s="203">
        <v>46000</v>
      </c>
      <c r="H256" s="203">
        <v>51000</v>
      </c>
      <c r="I256" s="204"/>
      <c r="J256" s="205">
        <f t="shared" si="56"/>
        <v>0</v>
      </c>
      <c r="K256" s="205">
        <f t="shared" si="57"/>
        <v>0</v>
      </c>
      <c r="L256" s="323">
        <f t="shared" si="58"/>
        <v>138000</v>
      </c>
      <c r="M256" s="348">
        <f t="shared" si="59"/>
        <v>153000</v>
      </c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</row>
    <row r="257" spans="1:26" ht="14.4">
      <c r="A257" s="672"/>
      <c r="B257" s="349" t="s">
        <v>349</v>
      </c>
      <c r="C257" s="229"/>
      <c r="D257" s="201"/>
      <c r="E257" s="321"/>
      <c r="F257" s="202">
        <f t="shared" si="55"/>
        <v>0</v>
      </c>
      <c r="G257" s="203">
        <v>45000</v>
      </c>
      <c r="H257" s="203">
        <v>50000</v>
      </c>
      <c r="I257" s="204"/>
      <c r="J257" s="205">
        <f t="shared" si="56"/>
        <v>0</v>
      </c>
      <c r="K257" s="205">
        <f t="shared" si="57"/>
        <v>0</v>
      </c>
      <c r="L257" s="323">
        <f t="shared" si="58"/>
        <v>0</v>
      </c>
      <c r="M257" s="348">
        <f t="shared" si="59"/>
        <v>0</v>
      </c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</row>
    <row r="258" spans="1:26" ht="14.4">
      <c r="A258" s="672"/>
      <c r="B258" s="230" t="s">
        <v>350</v>
      </c>
      <c r="C258" s="229"/>
      <c r="D258" s="201"/>
      <c r="E258" s="321"/>
      <c r="F258" s="202">
        <f t="shared" si="55"/>
        <v>0</v>
      </c>
      <c r="G258" s="203">
        <v>25000</v>
      </c>
      <c r="H258" s="203">
        <v>25000</v>
      </c>
      <c r="I258" s="204"/>
      <c r="J258" s="205">
        <f t="shared" si="56"/>
        <v>0</v>
      </c>
      <c r="K258" s="205">
        <f t="shared" si="57"/>
        <v>0</v>
      </c>
      <c r="L258" s="323">
        <f t="shared" si="58"/>
        <v>0</v>
      </c>
      <c r="M258" s="348">
        <f t="shared" si="59"/>
        <v>0</v>
      </c>
      <c r="N258" s="191" t="s">
        <v>351</v>
      </c>
      <c r="O258" s="191" t="s">
        <v>124</v>
      </c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</row>
    <row r="259" spans="1:26" ht="14.4">
      <c r="A259" s="672"/>
      <c r="B259" s="230" t="s">
        <v>352</v>
      </c>
      <c r="C259" s="227">
        <v>5</v>
      </c>
      <c r="D259" s="201"/>
      <c r="E259" s="321"/>
      <c r="F259" s="202">
        <f t="shared" si="55"/>
        <v>5</v>
      </c>
      <c r="G259" s="203">
        <v>44000</v>
      </c>
      <c r="H259" s="203">
        <v>50000</v>
      </c>
      <c r="I259" s="204"/>
      <c r="J259" s="205">
        <f t="shared" si="56"/>
        <v>0</v>
      </c>
      <c r="K259" s="205">
        <f t="shared" si="57"/>
        <v>0</v>
      </c>
      <c r="L259" s="323">
        <f t="shared" si="58"/>
        <v>220000</v>
      </c>
      <c r="M259" s="348">
        <f t="shared" si="59"/>
        <v>250000</v>
      </c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</row>
    <row r="260" spans="1:26" ht="14.4">
      <c r="A260" s="672"/>
      <c r="B260" s="211" t="s">
        <v>353</v>
      </c>
      <c r="C260" s="229"/>
      <c r="D260" s="201"/>
      <c r="E260" s="321"/>
      <c r="F260" s="202">
        <f t="shared" si="55"/>
        <v>0</v>
      </c>
      <c r="G260" s="203">
        <v>3333</v>
      </c>
      <c r="H260" s="203">
        <v>3500</v>
      </c>
      <c r="I260" s="204"/>
      <c r="J260" s="205">
        <f t="shared" si="56"/>
        <v>0</v>
      </c>
      <c r="K260" s="205">
        <f t="shared" si="57"/>
        <v>0</v>
      </c>
      <c r="L260" s="323">
        <f t="shared" si="58"/>
        <v>0</v>
      </c>
      <c r="M260" s="348">
        <f t="shared" si="59"/>
        <v>0</v>
      </c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</row>
    <row r="261" spans="1:26" ht="14.4">
      <c r="A261" s="672"/>
      <c r="B261" s="230" t="s">
        <v>354</v>
      </c>
      <c r="C261" s="227">
        <v>14</v>
      </c>
      <c r="D261" s="201"/>
      <c r="E261" s="321"/>
      <c r="F261" s="202">
        <f t="shared" si="55"/>
        <v>14</v>
      </c>
      <c r="G261" s="203">
        <v>6500</v>
      </c>
      <c r="H261" s="203">
        <v>7500</v>
      </c>
      <c r="I261" s="204"/>
      <c r="J261" s="205">
        <f t="shared" si="56"/>
        <v>0</v>
      </c>
      <c r="K261" s="205">
        <f t="shared" si="57"/>
        <v>0</v>
      </c>
      <c r="L261" s="323">
        <f t="shared" si="58"/>
        <v>91000</v>
      </c>
      <c r="M261" s="348">
        <f t="shared" si="59"/>
        <v>105000</v>
      </c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</row>
    <row r="262" spans="1:26" ht="14.4">
      <c r="A262" s="672"/>
      <c r="B262" s="230" t="s">
        <v>355</v>
      </c>
      <c r="C262" s="227">
        <v>14</v>
      </c>
      <c r="D262" s="201"/>
      <c r="E262" s="321"/>
      <c r="F262" s="202">
        <f t="shared" si="55"/>
        <v>14</v>
      </c>
      <c r="G262" s="203">
        <v>6700</v>
      </c>
      <c r="H262" s="203">
        <v>7500</v>
      </c>
      <c r="I262" s="204"/>
      <c r="J262" s="205">
        <f t="shared" si="56"/>
        <v>0</v>
      </c>
      <c r="K262" s="205">
        <f t="shared" si="57"/>
        <v>0</v>
      </c>
      <c r="L262" s="323">
        <f t="shared" si="58"/>
        <v>93800</v>
      </c>
      <c r="M262" s="348">
        <f t="shared" si="59"/>
        <v>105000</v>
      </c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</row>
    <row r="263" spans="1:26" ht="14.4">
      <c r="A263" s="672"/>
      <c r="B263" s="230" t="s">
        <v>356</v>
      </c>
      <c r="C263" s="227">
        <f>26+35</f>
        <v>61</v>
      </c>
      <c r="D263" s="201"/>
      <c r="E263" s="321"/>
      <c r="F263" s="202">
        <f t="shared" si="55"/>
        <v>61</v>
      </c>
      <c r="G263" s="203">
        <v>10800</v>
      </c>
      <c r="H263" s="203">
        <v>13000</v>
      </c>
      <c r="I263" s="204"/>
      <c r="J263" s="205">
        <f t="shared" si="56"/>
        <v>0</v>
      </c>
      <c r="K263" s="205">
        <f t="shared" si="57"/>
        <v>0</v>
      </c>
      <c r="L263" s="323">
        <f t="shared" si="58"/>
        <v>658800</v>
      </c>
      <c r="M263" s="348">
        <f t="shared" si="59"/>
        <v>793000</v>
      </c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</row>
    <row r="264" spans="1:26" ht="14.4">
      <c r="A264" s="672"/>
      <c r="B264" s="230" t="s">
        <v>357</v>
      </c>
      <c r="C264" s="227">
        <v>37</v>
      </c>
      <c r="D264" s="201"/>
      <c r="E264" s="321"/>
      <c r="F264" s="202">
        <f t="shared" si="55"/>
        <v>37</v>
      </c>
      <c r="G264" s="203">
        <v>2000</v>
      </c>
      <c r="H264" s="203">
        <v>3000</v>
      </c>
      <c r="I264" s="204"/>
      <c r="J264" s="205">
        <f t="shared" si="56"/>
        <v>0</v>
      </c>
      <c r="K264" s="205">
        <f t="shared" si="57"/>
        <v>0</v>
      </c>
      <c r="L264" s="323">
        <f t="shared" si="58"/>
        <v>74000</v>
      </c>
      <c r="M264" s="348">
        <f t="shared" si="59"/>
        <v>111000</v>
      </c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</row>
    <row r="265" spans="1:26" ht="14.4">
      <c r="A265" s="672"/>
      <c r="B265" s="230" t="s">
        <v>358</v>
      </c>
      <c r="C265" s="227">
        <f>45+1</f>
        <v>46</v>
      </c>
      <c r="D265" s="201"/>
      <c r="E265" s="321"/>
      <c r="F265" s="202">
        <f t="shared" si="55"/>
        <v>46</v>
      </c>
      <c r="G265" s="203">
        <v>24000</v>
      </c>
      <c r="H265" s="203">
        <v>27700</v>
      </c>
      <c r="I265" s="204"/>
      <c r="J265" s="205">
        <f t="shared" si="56"/>
        <v>0</v>
      </c>
      <c r="K265" s="205">
        <f t="shared" si="57"/>
        <v>0</v>
      </c>
      <c r="L265" s="323">
        <f t="shared" si="58"/>
        <v>1104000</v>
      </c>
      <c r="M265" s="348">
        <f t="shared" si="59"/>
        <v>1274200</v>
      </c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</row>
    <row r="266" spans="1:26" ht="14.4">
      <c r="A266" s="672"/>
      <c r="B266" s="350" t="s">
        <v>359</v>
      </c>
      <c r="C266" s="227">
        <f>12+11</f>
        <v>23</v>
      </c>
      <c r="D266" s="201"/>
      <c r="E266" s="321"/>
      <c r="F266" s="202">
        <f t="shared" si="55"/>
        <v>23</v>
      </c>
      <c r="G266" s="351">
        <v>27000</v>
      </c>
      <c r="H266" s="351">
        <v>32000</v>
      </c>
      <c r="I266" s="204"/>
      <c r="J266" s="205">
        <f t="shared" si="56"/>
        <v>0</v>
      </c>
      <c r="K266" s="205">
        <f t="shared" si="57"/>
        <v>0</v>
      </c>
      <c r="L266" s="323">
        <f t="shared" si="58"/>
        <v>621000</v>
      </c>
      <c r="M266" s="348">
        <f t="shared" si="59"/>
        <v>736000</v>
      </c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</row>
    <row r="267" spans="1:26" ht="14.4">
      <c r="A267" s="672"/>
      <c r="B267" s="230" t="s">
        <v>360</v>
      </c>
      <c r="C267" s="227">
        <v>5</v>
      </c>
      <c r="D267" s="201"/>
      <c r="E267" s="321"/>
      <c r="F267" s="202">
        <f t="shared" si="55"/>
        <v>5</v>
      </c>
      <c r="G267" s="203">
        <v>18000</v>
      </c>
      <c r="H267" s="203">
        <v>20000</v>
      </c>
      <c r="I267" s="204"/>
      <c r="J267" s="205">
        <f t="shared" si="56"/>
        <v>0</v>
      </c>
      <c r="K267" s="205">
        <f t="shared" si="57"/>
        <v>0</v>
      </c>
      <c r="L267" s="323">
        <f t="shared" si="58"/>
        <v>90000</v>
      </c>
      <c r="M267" s="348">
        <f t="shared" si="59"/>
        <v>100000</v>
      </c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</row>
    <row r="268" spans="1:26" ht="14.4">
      <c r="A268" s="672"/>
      <c r="B268" s="230" t="s">
        <v>96</v>
      </c>
      <c r="C268" s="227">
        <v>21</v>
      </c>
      <c r="D268" s="201"/>
      <c r="E268" s="321"/>
      <c r="F268" s="202">
        <f t="shared" si="55"/>
        <v>21</v>
      </c>
      <c r="G268" s="203">
        <v>12000</v>
      </c>
      <c r="H268" s="203">
        <v>13500</v>
      </c>
      <c r="I268" s="204"/>
      <c r="J268" s="205">
        <f t="shared" si="56"/>
        <v>0</v>
      </c>
      <c r="K268" s="205">
        <f t="shared" si="57"/>
        <v>0</v>
      </c>
      <c r="L268" s="323">
        <f t="shared" si="58"/>
        <v>252000</v>
      </c>
      <c r="M268" s="348">
        <f t="shared" si="59"/>
        <v>283500</v>
      </c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</row>
    <row r="269" spans="1:26" ht="14.4">
      <c r="A269" s="672"/>
      <c r="B269" s="230" t="s">
        <v>361</v>
      </c>
      <c r="C269" s="229">
        <v>52</v>
      </c>
      <c r="D269" s="201"/>
      <c r="E269" s="321"/>
      <c r="F269" s="202">
        <f t="shared" si="55"/>
        <v>52</v>
      </c>
      <c r="G269" s="203">
        <v>37000</v>
      </c>
      <c r="H269" s="203">
        <v>46000</v>
      </c>
      <c r="I269" s="204"/>
      <c r="J269" s="205">
        <f t="shared" si="56"/>
        <v>0</v>
      </c>
      <c r="K269" s="205">
        <f t="shared" si="57"/>
        <v>0</v>
      </c>
      <c r="L269" s="323">
        <f t="shared" si="58"/>
        <v>1924000</v>
      </c>
      <c r="M269" s="348">
        <f t="shared" si="59"/>
        <v>2392000</v>
      </c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</row>
    <row r="270" spans="1:26" ht="14.4">
      <c r="A270" s="672"/>
      <c r="B270" s="230" t="s">
        <v>362</v>
      </c>
      <c r="C270" s="227">
        <v>12</v>
      </c>
      <c r="D270" s="201"/>
      <c r="E270" s="321"/>
      <c r="F270" s="202">
        <f t="shared" si="55"/>
        <v>12</v>
      </c>
      <c r="G270" s="203">
        <v>18000</v>
      </c>
      <c r="H270" s="203">
        <v>20000</v>
      </c>
      <c r="I270" s="204"/>
      <c r="J270" s="205">
        <f t="shared" si="56"/>
        <v>0</v>
      </c>
      <c r="K270" s="205">
        <f t="shared" si="57"/>
        <v>0</v>
      </c>
      <c r="L270" s="323">
        <f t="shared" si="58"/>
        <v>216000</v>
      </c>
      <c r="M270" s="348">
        <f t="shared" si="59"/>
        <v>240000</v>
      </c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</row>
    <row r="271" spans="1:26" ht="14.4">
      <c r="A271" s="672"/>
      <c r="B271" s="230" t="s">
        <v>363</v>
      </c>
      <c r="C271" s="229">
        <v>101</v>
      </c>
      <c r="D271" s="201"/>
      <c r="E271" s="321"/>
      <c r="F271" s="202">
        <f t="shared" si="55"/>
        <v>101</v>
      </c>
      <c r="G271" s="203">
        <v>10400</v>
      </c>
      <c r="H271" s="203">
        <v>12000</v>
      </c>
      <c r="I271" s="204"/>
      <c r="J271" s="205">
        <f t="shared" si="56"/>
        <v>0</v>
      </c>
      <c r="K271" s="205">
        <f t="shared" si="57"/>
        <v>0</v>
      </c>
      <c r="L271" s="323">
        <f t="shared" si="58"/>
        <v>1050400</v>
      </c>
      <c r="M271" s="348">
        <f t="shared" si="59"/>
        <v>1212000</v>
      </c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</row>
    <row r="272" spans="1:26" ht="14.4">
      <c r="A272" s="672"/>
      <c r="B272" s="230" t="s">
        <v>364</v>
      </c>
      <c r="C272" s="227">
        <v>14</v>
      </c>
      <c r="D272" s="201"/>
      <c r="E272" s="321"/>
      <c r="F272" s="202">
        <f t="shared" si="55"/>
        <v>14</v>
      </c>
      <c r="G272" s="203">
        <v>31400</v>
      </c>
      <c r="H272" s="203">
        <v>35000</v>
      </c>
      <c r="I272" s="204"/>
      <c r="J272" s="205">
        <f t="shared" si="56"/>
        <v>0</v>
      </c>
      <c r="K272" s="205">
        <f t="shared" si="57"/>
        <v>0</v>
      </c>
      <c r="L272" s="323">
        <f t="shared" si="58"/>
        <v>439600</v>
      </c>
      <c r="M272" s="348">
        <f t="shared" si="59"/>
        <v>490000</v>
      </c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</row>
    <row r="273" spans="1:26" ht="14.4">
      <c r="A273" s="672"/>
      <c r="B273" s="352" t="s">
        <v>365</v>
      </c>
      <c r="C273" s="227">
        <f>20+44.5</f>
        <v>64.5</v>
      </c>
      <c r="D273" s="201"/>
      <c r="E273" s="321"/>
      <c r="F273" s="202">
        <f t="shared" si="55"/>
        <v>64.5</v>
      </c>
      <c r="G273" s="203">
        <v>32000</v>
      </c>
      <c r="H273" s="203">
        <v>37000</v>
      </c>
      <c r="I273" s="204"/>
      <c r="J273" s="205">
        <f t="shared" si="56"/>
        <v>0</v>
      </c>
      <c r="K273" s="205">
        <f t="shared" si="57"/>
        <v>0</v>
      </c>
      <c r="L273" s="323">
        <f t="shared" si="58"/>
        <v>2064000</v>
      </c>
      <c r="M273" s="348">
        <f t="shared" si="59"/>
        <v>2386500</v>
      </c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</row>
    <row r="274" spans="1:26" ht="14.4">
      <c r="A274" s="672"/>
      <c r="B274" s="230" t="s">
        <v>366</v>
      </c>
      <c r="C274" s="229"/>
      <c r="D274" s="201"/>
      <c r="E274" s="321"/>
      <c r="F274" s="202">
        <f t="shared" si="55"/>
        <v>0</v>
      </c>
      <c r="G274" s="203">
        <v>40000</v>
      </c>
      <c r="H274" s="203">
        <v>45000</v>
      </c>
      <c r="I274" s="204"/>
      <c r="J274" s="205">
        <f t="shared" si="56"/>
        <v>0</v>
      </c>
      <c r="K274" s="205">
        <f t="shared" si="57"/>
        <v>0</v>
      </c>
      <c r="L274" s="323">
        <f t="shared" si="58"/>
        <v>0</v>
      </c>
      <c r="M274" s="348">
        <f t="shared" si="59"/>
        <v>0</v>
      </c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</row>
    <row r="275" spans="1:26" ht="14.4">
      <c r="A275" s="672"/>
      <c r="B275" s="230" t="s">
        <v>367</v>
      </c>
      <c r="C275" s="227">
        <v>8</v>
      </c>
      <c r="D275" s="201"/>
      <c r="E275" s="321"/>
      <c r="F275" s="202">
        <f t="shared" si="55"/>
        <v>8</v>
      </c>
      <c r="G275" s="203">
        <v>11000</v>
      </c>
      <c r="H275" s="203">
        <v>12000</v>
      </c>
      <c r="I275" s="204"/>
      <c r="J275" s="205">
        <f t="shared" si="56"/>
        <v>0</v>
      </c>
      <c r="K275" s="205">
        <f t="shared" si="57"/>
        <v>0</v>
      </c>
      <c r="L275" s="323">
        <f t="shared" si="58"/>
        <v>88000</v>
      </c>
      <c r="M275" s="348">
        <f t="shared" si="59"/>
        <v>96000</v>
      </c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1:26" ht="14.4">
      <c r="A276" s="672"/>
      <c r="B276" s="211" t="s">
        <v>368</v>
      </c>
      <c r="C276" s="229">
        <v>7</v>
      </c>
      <c r="D276" s="201"/>
      <c r="E276" s="321"/>
      <c r="F276" s="202">
        <f t="shared" si="55"/>
        <v>7</v>
      </c>
      <c r="G276" s="203">
        <v>15600</v>
      </c>
      <c r="H276" s="203">
        <v>17600</v>
      </c>
      <c r="I276" s="204"/>
      <c r="J276" s="205">
        <f t="shared" si="56"/>
        <v>0</v>
      </c>
      <c r="K276" s="205">
        <f t="shared" si="57"/>
        <v>0</v>
      </c>
      <c r="L276" s="323">
        <f t="shared" si="58"/>
        <v>109200</v>
      </c>
      <c r="M276" s="348">
        <f t="shared" si="59"/>
        <v>123200</v>
      </c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1:26" ht="14.4">
      <c r="A277" s="672"/>
      <c r="B277" s="211" t="s">
        <v>369</v>
      </c>
      <c r="C277" s="229">
        <v>4</v>
      </c>
      <c r="D277" s="201"/>
      <c r="E277" s="321"/>
      <c r="F277" s="202">
        <f t="shared" si="55"/>
        <v>4</v>
      </c>
      <c r="G277" s="203">
        <v>20700</v>
      </c>
      <c r="H277" s="203">
        <v>21700</v>
      </c>
      <c r="I277" s="204"/>
      <c r="J277" s="205">
        <f t="shared" si="56"/>
        <v>0</v>
      </c>
      <c r="K277" s="205">
        <f t="shared" si="57"/>
        <v>0</v>
      </c>
      <c r="L277" s="323">
        <f t="shared" si="58"/>
        <v>82800</v>
      </c>
      <c r="M277" s="348">
        <f t="shared" si="59"/>
        <v>86800</v>
      </c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1:26" ht="14.4">
      <c r="A278" s="672"/>
      <c r="B278" s="230" t="s">
        <v>370</v>
      </c>
      <c r="C278" s="227">
        <v>2</v>
      </c>
      <c r="D278" s="201"/>
      <c r="E278" s="321"/>
      <c r="F278" s="202">
        <f t="shared" si="55"/>
        <v>2</v>
      </c>
      <c r="G278" s="203">
        <v>36000</v>
      </c>
      <c r="H278" s="203">
        <v>40000</v>
      </c>
      <c r="I278" s="204"/>
      <c r="J278" s="205">
        <f t="shared" si="56"/>
        <v>0</v>
      </c>
      <c r="K278" s="205">
        <f t="shared" si="57"/>
        <v>0</v>
      </c>
      <c r="L278" s="323">
        <f t="shared" si="58"/>
        <v>72000</v>
      </c>
      <c r="M278" s="348">
        <f t="shared" si="59"/>
        <v>80000</v>
      </c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1:26" ht="14.4">
      <c r="A279" s="672"/>
      <c r="B279" s="230" t="s">
        <v>371</v>
      </c>
      <c r="C279" s="227">
        <v>3.5</v>
      </c>
      <c r="D279" s="201"/>
      <c r="E279" s="321"/>
      <c r="F279" s="202">
        <f t="shared" si="55"/>
        <v>3.5</v>
      </c>
      <c r="G279" s="203">
        <v>22000</v>
      </c>
      <c r="H279" s="203">
        <v>24000</v>
      </c>
      <c r="I279" s="204"/>
      <c r="J279" s="205">
        <f t="shared" si="56"/>
        <v>0</v>
      </c>
      <c r="K279" s="205">
        <f t="shared" si="57"/>
        <v>0</v>
      </c>
      <c r="L279" s="323">
        <f t="shared" si="58"/>
        <v>77000</v>
      </c>
      <c r="M279" s="348">
        <f t="shared" si="59"/>
        <v>84000</v>
      </c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1:26" ht="14.4">
      <c r="A280" s="672"/>
      <c r="B280" s="230" t="s">
        <v>372</v>
      </c>
      <c r="C280" s="227">
        <v>7</v>
      </c>
      <c r="D280" s="201"/>
      <c r="E280" s="321"/>
      <c r="F280" s="202">
        <f t="shared" si="55"/>
        <v>7</v>
      </c>
      <c r="G280" s="203">
        <v>34100</v>
      </c>
      <c r="H280" s="203">
        <v>37000</v>
      </c>
      <c r="I280" s="204"/>
      <c r="J280" s="205">
        <f t="shared" si="56"/>
        <v>0</v>
      </c>
      <c r="K280" s="205">
        <f t="shared" si="57"/>
        <v>0</v>
      </c>
      <c r="L280" s="323">
        <f t="shared" si="58"/>
        <v>238700</v>
      </c>
      <c r="M280" s="348">
        <f t="shared" si="59"/>
        <v>259000</v>
      </c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</row>
    <row r="281" spans="1:26" ht="14.4">
      <c r="A281" s="672"/>
      <c r="B281" s="230" t="s">
        <v>88</v>
      </c>
      <c r="C281" s="229">
        <v>5</v>
      </c>
      <c r="D281" s="201"/>
      <c r="E281" s="321"/>
      <c r="F281" s="202">
        <f t="shared" si="55"/>
        <v>5</v>
      </c>
      <c r="G281" s="203">
        <v>16000</v>
      </c>
      <c r="H281" s="203">
        <v>20000</v>
      </c>
      <c r="I281" s="204"/>
      <c r="J281" s="205">
        <f t="shared" si="56"/>
        <v>0</v>
      </c>
      <c r="K281" s="205">
        <f t="shared" si="57"/>
        <v>0</v>
      </c>
      <c r="L281" s="323">
        <f t="shared" si="58"/>
        <v>80000</v>
      </c>
      <c r="M281" s="348">
        <f t="shared" si="59"/>
        <v>100000</v>
      </c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</row>
    <row r="282" spans="1:26" ht="14.4">
      <c r="A282" s="672"/>
      <c r="B282" s="230" t="s">
        <v>86</v>
      </c>
      <c r="C282" s="227">
        <v>18.5</v>
      </c>
      <c r="D282" s="201"/>
      <c r="E282" s="321"/>
      <c r="F282" s="202">
        <f t="shared" si="55"/>
        <v>18.5</v>
      </c>
      <c r="G282" s="203">
        <v>51818</v>
      </c>
      <c r="H282" s="203">
        <v>57000</v>
      </c>
      <c r="I282" s="204"/>
      <c r="J282" s="205">
        <f t="shared" si="56"/>
        <v>0</v>
      </c>
      <c r="K282" s="205">
        <f t="shared" si="57"/>
        <v>0</v>
      </c>
      <c r="L282" s="323">
        <f t="shared" si="58"/>
        <v>958633</v>
      </c>
      <c r="M282" s="348">
        <f t="shared" si="59"/>
        <v>1054500</v>
      </c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</row>
    <row r="283" spans="1:26" ht="14.4">
      <c r="A283" s="672"/>
      <c r="B283" s="230" t="s">
        <v>87</v>
      </c>
      <c r="C283" s="227">
        <v>50</v>
      </c>
      <c r="D283" s="201"/>
      <c r="E283" s="321"/>
      <c r="F283" s="202">
        <f t="shared" si="55"/>
        <v>50</v>
      </c>
      <c r="G283" s="203">
        <v>22000</v>
      </c>
      <c r="H283" s="203">
        <v>28000</v>
      </c>
      <c r="I283" s="204"/>
      <c r="J283" s="205">
        <f t="shared" si="56"/>
        <v>0</v>
      </c>
      <c r="K283" s="205">
        <f t="shared" si="57"/>
        <v>0</v>
      </c>
      <c r="L283" s="323">
        <f t="shared" si="58"/>
        <v>1100000</v>
      </c>
      <c r="M283" s="348">
        <f t="shared" si="59"/>
        <v>1400000</v>
      </c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</row>
    <row r="284" spans="1:26" ht="14.4">
      <c r="A284" s="672"/>
      <c r="B284" s="230" t="s">
        <v>373</v>
      </c>
      <c r="C284" s="227">
        <v>34</v>
      </c>
      <c r="D284" s="201"/>
      <c r="E284" s="321"/>
      <c r="F284" s="202">
        <f t="shared" si="55"/>
        <v>34</v>
      </c>
      <c r="G284" s="203">
        <v>3716</v>
      </c>
      <c r="H284" s="203">
        <v>4000</v>
      </c>
      <c r="I284" s="204"/>
      <c r="J284" s="205">
        <f t="shared" si="56"/>
        <v>0</v>
      </c>
      <c r="K284" s="205">
        <f t="shared" si="57"/>
        <v>0</v>
      </c>
      <c r="L284" s="323">
        <f t="shared" si="58"/>
        <v>126344</v>
      </c>
      <c r="M284" s="348">
        <f t="shared" si="59"/>
        <v>136000</v>
      </c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</row>
    <row r="285" spans="1:26" ht="14.4">
      <c r="A285" s="672"/>
      <c r="B285" s="230" t="s">
        <v>374</v>
      </c>
      <c r="C285" s="227">
        <v>51</v>
      </c>
      <c r="D285" s="201"/>
      <c r="E285" s="321"/>
      <c r="F285" s="202">
        <f t="shared" si="55"/>
        <v>51</v>
      </c>
      <c r="G285" s="203">
        <v>22000</v>
      </c>
      <c r="H285" s="203">
        <v>28000</v>
      </c>
      <c r="I285" s="204"/>
      <c r="J285" s="205">
        <f t="shared" si="56"/>
        <v>0</v>
      </c>
      <c r="K285" s="205">
        <f t="shared" si="57"/>
        <v>0</v>
      </c>
      <c r="L285" s="323">
        <f t="shared" si="58"/>
        <v>1122000</v>
      </c>
      <c r="M285" s="348">
        <f t="shared" si="59"/>
        <v>1428000</v>
      </c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</row>
    <row r="286" spans="1:26" ht="14.4">
      <c r="A286" s="672"/>
      <c r="B286" s="230" t="s">
        <v>375</v>
      </c>
      <c r="C286" s="227">
        <v>5.5</v>
      </c>
      <c r="D286" s="201"/>
      <c r="E286" s="321"/>
      <c r="F286" s="202">
        <f t="shared" si="55"/>
        <v>5.5</v>
      </c>
      <c r="G286" s="203">
        <v>28000</v>
      </c>
      <c r="H286" s="203">
        <v>30000</v>
      </c>
      <c r="I286" s="204"/>
      <c r="J286" s="205">
        <f t="shared" si="56"/>
        <v>0</v>
      </c>
      <c r="K286" s="205">
        <f t="shared" si="57"/>
        <v>0</v>
      </c>
      <c r="L286" s="323">
        <f t="shared" si="58"/>
        <v>154000</v>
      </c>
      <c r="M286" s="348">
        <f t="shared" si="59"/>
        <v>165000</v>
      </c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</row>
    <row r="287" spans="1:26" ht="14.4">
      <c r="A287" s="672"/>
      <c r="B287" s="230" t="s">
        <v>376</v>
      </c>
      <c r="C287" s="227">
        <v>0.5</v>
      </c>
      <c r="D287" s="201"/>
      <c r="E287" s="321"/>
      <c r="F287" s="202">
        <f t="shared" si="55"/>
        <v>0.5</v>
      </c>
      <c r="G287" s="203">
        <v>22000</v>
      </c>
      <c r="H287" s="203">
        <v>25000</v>
      </c>
      <c r="I287" s="204"/>
      <c r="J287" s="205">
        <f t="shared" si="56"/>
        <v>0</v>
      </c>
      <c r="K287" s="205">
        <f t="shared" si="57"/>
        <v>0</v>
      </c>
      <c r="L287" s="323">
        <f t="shared" si="58"/>
        <v>11000</v>
      </c>
      <c r="M287" s="348">
        <f t="shared" si="59"/>
        <v>12500</v>
      </c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</row>
    <row r="288" spans="1:26" ht="14.4">
      <c r="A288" s="672"/>
      <c r="B288" s="211" t="s">
        <v>277</v>
      </c>
      <c r="C288" s="227">
        <v>5</v>
      </c>
      <c r="D288" s="201"/>
      <c r="E288" s="321"/>
      <c r="F288" s="202">
        <f t="shared" si="55"/>
        <v>5</v>
      </c>
      <c r="G288" s="203">
        <v>2500</v>
      </c>
      <c r="H288" s="203">
        <v>3000</v>
      </c>
      <c r="I288" s="204"/>
      <c r="J288" s="205">
        <f t="shared" si="56"/>
        <v>0</v>
      </c>
      <c r="K288" s="205">
        <f t="shared" si="57"/>
        <v>0</v>
      </c>
      <c r="L288" s="323">
        <f t="shared" si="58"/>
        <v>12500</v>
      </c>
      <c r="M288" s="348">
        <f t="shared" si="59"/>
        <v>15000</v>
      </c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</row>
    <row r="289" spans="1:26" ht="14.4">
      <c r="A289" s="672"/>
      <c r="B289" s="230" t="s">
        <v>377</v>
      </c>
      <c r="C289" s="227">
        <v>20.5</v>
      </c>
      <c r="D289" s="201"/>
      <c r="E289" s="321"/>
      <c r="F289" s="202">
        <f t="shared" si="55"/>
        <v>20.5</v>
      </c>
      <c r="G289" s="203">
        <v>22500</v>
      </c>
      <c r="H289" s="203">
        <v>25000</v>
      </c>
      <c r="I289" s="204"/>
      <c r="J289" s="205">
        <f t="shared" si="56"/>
        <v>0</v>
      </c>
      <c r="K289" s="205">
        <f t="shared" si="57"/>
        <v>0</v>
      </c>
      <c r="L289" s="323">
        <f t="shared" si="58"/>
        <v>461250</v>
      </c>
      <c r="M289" s="348">
        <f t="shared" si="59"/>
        <v>512500</v>
      </c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</row>
    <row r="290" spans="1:26" ht="14.4">
      <c r="A290" s="672"/>
      <c r="B290" s="230" t="s">
        <v>378</v>
      </c>
      <c r="C290" s="227">
        <v>11</v>
      </c>
      <c r="D290" s="201"/>
      <c r="E290" s="321"/>
      <c r="F290" s="202">
        <f t="shared" si="55"/>
        <v>11</v>
      </c>
      <c r="G290" s="203">
        <v>13500</v>
      </c>
      <c r="H290" s="203">
        <v>15000</v>
      </c>
      <c r="I290" s="204"/>
      <c r="J290" s="205">
        <f t="shared" si="56"/>
        <v>0</v>
      </c>
      <c r="K290" s="205">
        <f t="shared" si="57"/>
        <v>0</v>
      </c>
      <c r="L290" s="323">
        <f t="shared" si="58"/>
        <v>148500</v>
      </c>
      <c r="M290" s="348">
        <f t="shared" si="59"/>
        <v>165000</v>
      </c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</row>
    <row r="291" spans="1:26" ht="14.4">
      <c r="A291" s="672"/>
      <c r="B291" s="230" t="s">
        <v>83</v>
      </c>
      <c r="C291" s="227">
        <v>13.5</v>
      </c>
      <c r="D291" s="201"/>
      <c r="E291" s="321"/>
      <c r="F291" s="202">
        <f t="shared" si="55"/>
        <v>13.5</v>
      </c>
      <c r="G291" s="203">
        <v>46000</v>
      </c>
      <c r="H291" s="203">
        <v>52000</v>
      </c>
      <c r="I291" s="204"/>
      <c r="J291" s="205">
        <f t="shared" si="56"/>
        <v>0</v>
      </c>
      <c r="K291" s="205">
        <f t="shared" si="57"/>
        <v>0</v>
      </c>
      <c r="L291" s="323">
        <f t="shared" si="58"/>
        <v>621000</v>
      </c>
      <c r="M291" s="348">
        <f t="shared" si="59"/>
        <v>702000</v>
      </c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</row>
    <row r="292" spans="1:26" ht="14.4">
      <c r="A292" s="672"/>
      <c r="B292" s="230" t="s">
        <v>379</v>
      </c>
      <c r="C292" s="227">
        <v>33</v>
      </c>
      <c r="D292" s="201"/>
      <c r="E292" s="321"/>
      <c r="F292" s="202">
        <f t="shared" si="55"/>
        <v>33</v>
      </c>
      <c r="G292" s="203">
        <v>28500</v>
      </c>
      <c r="H292" s="203">
        <v>31000</v>
      </c>
      <c r="I292" s="204"/>
      <c r="J292" s="205">
        <f t="shared" si="56"/>
        <v>0</v>
      </c>
      <c r="K292" s="205">
        <f t="shared" si="57"/>
        <v>0</v>
      </c>
      <c r="L292" s="323">
        <f t="shared" si="58"/>
        <v>940500</v>
      </c>
      <c r="M292" s="348">
        <f t="shared" si="59"/>
        <v>1023000</v>
      </c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</row>
    <row r="293" spans="1:26" ht="14.4">
      <c r="A293" s="672"/>
      <c r="B293" s="230" t="s">
        <v>380</v>
      </c>
      <c r="C293" s="227"/>
      <c r="D293" s="201"/>
      <c r="E293" s="321"/>
      <c r="F293" s="202">
        <f t="shared" si="55"/>
        <v>0</v>
      </c>
      <c r="G293" s="203">
        <v>28500</v>
      </c>
      <c r="H293" s="203">
        <v>31000</v>
      </c>
      <c r="I293" s="204"/>
      <c r="J293" s="205">
        <f t="shared" si="56"/>
        <v>0</v>
      </c>
      <c r="K293" s="205">
        <f t="shared" si="57"/>
        <v>0</v>
      </c>
      <c r="L293" s="323">
        <f t="shared" si="58"/>
        <v>0</v>
      </c>
      <c r="M293" s="348">
        <f t="shared" si="59"/>
        <v>0</v>
      </c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</row>
    <row r="294" spans="1:26" ht="14.4">
      <c r="A294" s="672"/>
      <c r="B294" s="230" t="s">
        <v>381</v>
      </c>
      <c r="C294" s="227">
        <v>8</v>
      </c>
      <c r="D294" s="201"/>
      <c r="E294" s="321"/>
      <c r="F294" s="202">
        <f t="shared" si="55"/>
        <v>8</v>
      </c>
      <c r="G294" s="239">
        <v>37500</v>
      </c>
      <c r="H294" s="239">
        <v>45000</v>
      </c>
      <c r="I294" s="213"/>
      <c r="J294" s="205">
        <f t="shared" si="56"/>
        <v>0</v>
      </c>
      <c r="K294" s="205">
        <f t="shared" si="57"/>
        <v>0</v>
      </c>
      <c r="L294" s="323">
        <f t="shared" si="58"/>
        <v>300000</v>
      </c>
      <c r="M294" s="348">
        <f t="shared" si="59"/>
        <v>360000</v>
      </c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</row>
    <row r="295" spans="1:26" ht="14.4">
      <c r="A295" s="672"/>
      <c r="B295" s="230" t="s">
        <v>689</v>
      </c>
      <c r="C295" s="227">
        <v>7</v>
      </c>
      <c r="D295" s="201"/>
      <c r="E295" s="321"/>
      <c r="F295" s="202">
        <f t="shared" si="55"/>
        <v>7</v>
      </c>
      <c r="G295" s="239">
        <v>37500</v>
      </c>
      <c r="H295" s="239">
        <v>45000</v>
      </c>
      <c r="I295" s="213"/>
      <c r="J295" s="205">
        <f t="shared" si="56"/>
        <v>0</v>
      </c>
      <c r="K295" s="205">
        <f t="shared" si="57"/>
        <v>0</v>
      </c>
      <c r="L295" s="323">
        <f t="shared" si="58"/>
        <v>262500</v>
      </c>
      <c r="M295" s="348">
        <f t="shared" si="59"/>
        <v>315000</v>
      </c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</row>
    <row r="296" spans="1:26" ht="14.4">
      <c r="A296" s="672"/>
      <c r="B296" s="353" t="s">
        <v>382</v>
      </c>
      <c r="C296" s="227">
        <v>5.5</v>
      </c>
      <c r="D296" s="201"/>
      <c r="E296" s="321"/>
      <c r="F296" s="202">
        <f t="shared" si="55"/>
        <v>5.5</v>
      </c>
      <c r="G296" s="354">
        <v>26000</v>
      </c>
      <c r="H296" s="354">
        <v>30000</v>
      </c>
      <c r="I296" s="355"/>
      <c r="J296" s="356">
        <f t="shared" si="56"/>
        <v>0</v>
      </c>
      <c r="K296" s="356">
        <f t="shared" si="57"/>
        <v>0</v>
      </c>
      <c r="L296" s="357">
        <f t="shared" si="58"/>
        <v>143000</v>
      </c>
      <c r="M296" s="348">
        <f t="shared" si="59"/>
        <v>165000</v>
      </c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</row>
    <row r="297" spans="1:26" ht="14.4">
      <c r="A297" s="672"/>
      <c r="B297" s="230" t="s">
        <v>383</v>
      </c>
      <c r="C297" s="227">
        <f>33.5+5</f>
        <v>38.5</v>
      </c>
      <c r="D297" s="201"/>
      <c r="E297" s="321"/>
      <c r="F297" s="202">
        <f t="shared" si="55"/>
        <v>38.5</v>
      </c>
      <c r="G297" s="203">
        <v>32000</v>
      </c>
      <c r="H297" s="203">
        <v>36000</v>
      </c>
      <c r="I297" s="204"/>
      <c r="J297" s="205">
        <f t="shared" si="56"/>
        <v>0</v>
      </c>
      <c r="K297" s="205">
        <f t="shared" si="57"/>
        <v>0</v>
      </c>
      <c r="L297" s="323">
        <f t="shared" si="58"/>
        <v>1232000</v>
      </c>
      <c r="M297" s="348">
        <f t="shared" si="59"/>
        <v>1386000</v>
      </c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</row>
    <row r="298" spans="1:26" ht="14.4">
      <c r="A298" s="672"/>
      <c r="B298" s="230" t="s">
        <v>384</v>
      </c>
      <c r="C298" s="227">
        <f>16+4</f>
        <v>20</v>
      </c>
      <c r="D298" s="201"/>
      <c r="E298" s="321"/>
      <c r="F298" s="202">
        <f t="shared" si="55"/>
        <v>20</v>
      </c>
      <c r="G298" s="203">
        <v>32000</v>
      </c>
      <c r="H298" s="203">
        <v>36000</v>
      </c>
      <c r="I298" s="204"/>
      <c r="J298" s="205">
        <f t="shared" si="56"/>
        <v>0</v>
      </c>
      <c r="K298" s="205">
        <f t="shared" si="57"/>
        <v>0</v>
      </c>
      <c r="L298" s="323">
        <f t="shared" si="58"/>
        <v>640000</v>
      </c>
      <c r="M298" s="348">
        <f t="shared" si="59"/>
        <v>720000</v>
      </c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</row>
    <row r="299" spans="1:26" ht="14.4">
      <c r="A299" s="672"/>
      <c r="B299" s="358" t="s">
        <v>385</v>
      </c>
      <c r="C299" s="227">
        <v>15</v>
      </c>
      <c r="D299" s="201"/>
      <c r="E299" s="321"/>
      <c r="F299" s="202">
        <f t="shared" si="55"/>
        <v>15</v>
      </c>
      <c r="G299" s="203">
        <v>9000</v>
      </c>
      <c r="H299" s="203">
        <v>10000</v>
      </c>
      <c r="I299" s="204"/>
      <c r="J299" s="205">
        <f t="shared" si="56"/>
        <v>0</v>
      </c>
      <c r="K299" s="205">
        <f t="shared" si="57"/>
        <v>0</v>
      </c>
      <c r="L299" s="323">
        <f t="shared" si="58"/>
        <v>135000</v>
      </c>
      <c r="M299" s="348">
        <f t="shared" si="59"/>
        <v>150000</v>
      </c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</row>
    <row r="300" spans="1:26" ht="14.4">
      <c r="A300" s="672"/>
      <c r="B300" s="230" t="s">
        <v>386</v>
      </c>
      <c r="C300" s="227">
        <v>21</v>
      </c>
      <c r="D300" s="201"/>
      <c r="E300" s="321"/>
      <c r="F300" s="202">
        <f t="shared" si="55"/>
        <v>21</v>
      </c>
      <c r="G300" s="203">
        <v>33000</v>
      </c>
      <c r="H300" s="203">
        <v>36000</v>
      </c>
      <c r="I300" s="204"/>
      <c r="J300" s="205">
        <f t="shared" si="56"/>
        <v>0</v>
      </c>
      <c r="K300" s="205">
        <f t="shared" si="57"/>
        <v>0</v>
      </c>
      <c r="L300" s="323">
        <f t="shared" si="58"/>
        <v>693000</v>
      </c>
      <c r="M300" s="348">
        <f t="shared" si="59"/>
        <v>756000</v>
      </c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</row>
    <row r="301" spans="1:26" ht="14.4">
      <c r="A301" s="672"/>
      <c r="B301" s="230" t="s">
        <v>387</v>
      </c>
      <c r="C301" s="229">
        <v>6</v>
      </c>
      <c r="D301" s="201"/>
      <c r="E301" s="321"/>
      <c r="F301" s="202">
        <f t="shared" si="55"/>
        <v>6</v>
      </c>
      <c r="G301" s="203">
        <v>21500</v>
      </c>
      <c r="H301" s="203">
        <v>28000</v>
      </c>
      <c r="I301" s="204"/>
      <c r="J301" s="205">
        <f t="shared" si="56"/>
        <v>0</v>
      </c>
      <c r="K301" s="205">
        <f t="shared" si="57"/>
        <v>0</v>
      </c>
      <c r="L301" s="323">
        <f t="shared" si="58"/>
        <v>129000</v>
      </c>
      <c r="M301" s="348">
        <f t="shared" si="59"/>
        <v>168000</v>
      </c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</row>
    <row r="302" spans="1:26" ht="14.4">
      <c r="A302" s="672"/>
      <c r="B302" s="230" t="s">
        <v>388</v>
      </c>
      <c r="C302" s="229"/>
      <c r="D302" s="201"/>
      <c r="E302" s="321"/>
      <c r="F302" s="202">
        <f t="shared" si="55"/>
        <v>0</v>
      </c>
      <c r="G302" s="203">
        <v>5300</v>
      </c>
      <c r="H302" s="203">
        <v>7000</v>
      </c>
      <c r="I302" s="204"/>
      <c r="J302" s="205">
        <f t="shared" si="56"/>
        <v>0</v>
      </c>
      <c r="K302" s="205">
        <f t="shared" si="57"/>
        <v>0</v>
      </c>
      <c r="L302" s="323">
        <f t="shared" si="58"/>
        <v>0</v>
      </c>
      <c r="M302" s="348">
        <f t="shared" si="59"/>
        <v>0</v>
      </c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</row>
    <row r="303" spans="1:26" ht="14.4">
      <c r="A303" s="672"/>
      <c r="B303" s="359" t="s">
        <v>389</v>
      </c>
      <c r="C303" s="227">
        <v>18</v>
      </c>
      <c r="D303" s="201"/>
      <c r="E303" s="321"/>
      <c r="F303" s="202">
        <f t="shared" si="55"/>
        <v>18</v>
      </c>
      <c r="G303" s="360">
        <v>13500</v>
      </c>
      <c r="H303" s="360">
        <v>15000</v>
      </c>
      <c r="I303" s="361"/>
      <c r="J303" s="362">
        <f t="shared" si="56"/>
        <v>0</v>
      </c>
      <c r="K303" s="362">
        <f t="shared" si="57"/>
        <v>0</v>
      </c>
      <c r="L303" s="363">
        <f t="shared" si="58"/>
        <v>243000</v>
      </c>
      <c r="M303" s="348">
        <f t="shared" si="59"/>
        <v>270000</v>
      </c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</row>
    <row r="304" spans="1:26" ht="14.4">
      <c r="A304" s="672"/>
      <c r="B304" s="230" t="s">
        <v>390</v>
      </c>
      <c r="C304" s="227">
        <v>4</v>
      </c>
      <c r="D304" s="201"/>
      <c r="E304" s="321"/>
      <c r="F304" s="202">
        <f t="shared" si="55"/>
        <v>4</v>
      </c>
      <c r="G304" s="203">
        <v>26000</v>
      </c>
      <c r="H304" s="203">
        <v>30000</v>
      </c>
      <c r="I304" s="204"/>
      <c r="J304" s="205">
        <f t="shared" si="56"/>
        <v>0</v>
      </c>
      <c r="K304" s="205">
        <f t="shared" si="57"/>
        <v>0</v>
      </c>
      <c r="L304" s="323">
        <f t="shared" si="58"/>
        <v>104000</v>
      </c>
      <c r="M304" s="348">
        <f t="shared" si="59"/>
        <v>120000</v>
      </c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</row>
    <row r="305" spans="1:26" ht="14.4">
      <c r="A305" s="672"/>
      <c r="B305" s="230" t="s">
        <v>391</v>
      </c>
      <c r="C305" s="229">
        <v>3</v>
      </c>
      <c r="D305" s="201"/>
      <c r="E305" s="321"/>
      <c r="F305" s="202">
        <f t="shared" si="55"/>
        <v>3</v>
      </c>
      <c r="G305" s="203">
        <v>32000</v>
      </c>
      <c r="H305" s="203">
        <v>35000</v>
      </c>
      <c r="I305" s="204"/>
      <c r="J305" s="205">
        <f t="shared" si="56"/>
        <v>0</v>
      </c>
      <c r="K305" s="205">
        <f t="shared" si="57"/>
        <v>0</v>
      </c>
      <c r="L305" s="323">
        <f t="shared" si="58"/>
        <v>96000</v>
      </c>
      <c r="M305" s="348">
        <f t="shared" si="59"/>
        <v>105000</v>
      </c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</row>
    <row r="306" spans="1:26" ht="14.4">
      <c r="A306" s="672"/>
      <c r="B306" s="211" t="s">
        <v>392</v>
      </c>
      <c r="C306" s="229">
        <v>3.75</v>
      </c>
      <c r="D306" s="201"/>
      <c r="E306" s="321"/>
      <c r="F306" s="202">
        <f t="shared" si="55"/>
        <v>3.75</v>
      </c>
      <c r="G306" s="203">
        <v>22000</v>
      </c>
      <c r="H306" s="203">
        <v>25000</v>
      </c>
      <c r="I306" s="204"/>
      <c r="J306" s="205">
        <f>+I306*F117</f>
        <v>0</v>
      </c>
      <c r="K306" s="205">
        <f t="shared" si="57"/>
        <v>0</v>
      </c>
      <c r="L306" s="323">
        <f t="shared" si="58"/>
        <v>82500</v>
      </c>
      <c r="M306" s="348">
        <f t="shared" si="59"/>
        <v>93750</v>
      </c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</row>
    <row r="307" spans="1:26" ht="14.4">
      <c r="A307" s="672"/>
      <c r="B307" s="230" t="s">
        <v>393</v>
      </c>
      <c r="C307" s="227"/>
      <c r="D307" s="201"/>
      <c r="E307" s="321"/>
      <c r="F307" s="202">
        <f t="shared" si="55"/>
        <v>0</v>
      </c>
      <c r="G307" s="203">
        <v>22000</v>
      </c>
      <c r="H307" s="203">
        <v>25000</v>
      </c>
      <c r="I307" s="204"/>
      <c r="J307" s="205">
        <f t="shared" ref="J307:J312" si="60">+I307*H307</f>
        <v>0</v>
      </c>
      <c r="K307" s="205">
        <f t="shared" si="57"/>
        <v>0</v>
      </c>
      <c r="L307" s="323">
        <f t="shared" si="58"/>
        <v>0</v>
      </c>
      <c r="M307" s="348">
        <f t="shared" si="59"/>
        <v>0</v>
      </c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</row>
    <row r="308" spans="1:26" ht="14.4">
      <c r="A308" s="672"/>
      <c r="B308" s="230" t="s">
        <v>394</v>
      </c>
      <c r="C308" s="227">
        <v>7</v>
      </c>
      <c r="D308" s="201"/>
      <c r="E308" s="321"/>
      <c r="F308" s="202">
        <f t="shared" si="55"/>
        <v>7</v>
      </c>
      <c r="G308" s="203">
        <v>13500</v>
      </c>
      <c r="H308" s="203">
        <v>15000</v>
      </c>
      <c r="I308" s="204"/>
      <c r="J308" s="205">
        <f t="shared" si="60"/>
        <v>0</v>
      </c>
      <c r="K308" s="205">
        <f t="shared" si="57"/>
        <v>0</v>
      </c>
      <c r="L308" s="323">
        <f t="shared" si="58"/>
        <v>94500</v>
      </c>
      <c r="M308" s="348">
        <f t="shared" si="59"/>
        <v>105000</v>
      </c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</row>
    <row r="309" spans="1:26" ht="14.4">
      <c r="A309" s="672"/>
      <c r="B309" s="230" t="s">
        <v>395</v>
      </c>
      <c r="C309" s="227">
        <v>11</v>
      </c>
      <c r="D309" s="201"/>
      <c r="E309" s="321"/>
      <c r="F309" s="202">
        <f t="shared" si="55"/>
        <v>11</v>
      </c>
      <c r="G309" s="203">
        <v>31300</v>
      </c>
      <c r="H309" s="203">
        <v>35000</v>
      </c>
      <c r="I309" s="204"/>
      <c r="J309" s="205">
        <f t="shared" si="60"/>
        <v>0</v>
      </c>
      <c r="K309" s="205">
        <f t="shared" si="57"/>
        <v>0</v>
      </c>
      <c r="L309" s="323">
        <f t="shared" si="58"/>
        <v>344300</v>
      </c>
      <c r="M309" s="348">
        <f t="shared" si="59"/>
        <v>385000</v>
      </c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</row>
    <row r="310" spans="1:26" ht="14.4">
      <c r="A310" s="672"/>
      <c r="B310" s="230" t="s">
        <v>396</v>
      </c>
      <c r="C310" s="229">
        <v>8</v>
      </c>
      <c r="D310" s="201"/>
      <c r="E310" s="321"/>
      <c r="F310" s="202">
        <f t="shared" si="55"/>
        <v>8</v>
      </c>
      <c r="G310" s="203">
        <v>17000</v>
      </c>
      <c r="H310" s="203">
        <v>18700</v>
      </c>
      <c r="I310" s="204"/>
      <c r="J310" s="205">
        <f t="shared" si="60"/>
        <v>0</v>
      </c>
      <c r="K310" s="205">
        <f t="shared" si="57"/>
        <v>0</v>
      </c>
      <c r="L310" s="323">
        <f t="shared" si="58"/>
        <v>136000</v>
      </c>
      <c r="M310" s="348">
        <f t="shared" si="59"/>
        <v>149600</v>
      </c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</row>
    <row r="311" spans="1:26" ht="14.4">
      <c r="A311" s="672"/>
      <c r="B311" s="230" t="s">
        <v>397</v>
      </c>
      <c r="C311" s="229">
        <v>1</v>
      </c>
      <c r="D311" s="201"/>
      <c r="E311" s="321"/>
      <c r="F311" s="202">
        <f t="shared" si="55"/>
        <v>1</v>
      </c>
      <c r="G311" s="203">
        <v>11000</v>
      </c>
      <c r="H311" s="203">
        <v>12000</v>
      </c>
      <c r="I311" s="204"/>
      <c r="J311" s="205">
        <f t="shared" si="60"/>
        <v>0</v>
      </c>
      <c r="K311" s="205">
        <f t="shared" si="57"/>
        <v>0</v>
      </c>
      <c r="L311" s="323">
        <f t="shared" si="58"/>
        <v>11000</v>
      </c>
      <c r="M311" s="348">
        <f t="shared" si="59"/>
        <v>12000</v>
      </c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</row>
    <row r="312" spans="1:26" ht="14.4">
      <c r="A312" s="672"/>
      <c r="B312" s="230" t="s">
        <v>398</v>
      </c>
      <c r="C312" s="229">
        <v>2</v>
      </c>
      <c r="D312" s="201"/>
      <c r="E312" s="321"/>
      <c r="F312" s="202">
        <f t="shared" si="55"/>
        <v>2</v>
      </c>
      <c r="G312" s="203">
        <v>31300</v>
      </c>
      <c r="H312" s="203">
        <v>35000</v>
      </c>
      <c r="I312" s="204"/>
      <c r="J312" s="205">
        <f t="shared" si="60"/>
        <v>0</v>
      </c>
      <c r="K312" s="205">
        <f t="shared" si="57"/>
        <v>0</v>
      </c>
      <c r="L312" s="323">
        <f t="shared" si="58"/>
        <v>62600</v>
      </c>
      <c r="M312" s="348">
        <f t="shared" si="59"/>
        <v>70000</v>
      </c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</row>
    <row r="313" spans="1:26" ht="14.4">
      <c r="A313" s="673"/>
      <c r="B313" s="364"/>
      <c r="C313" s="365"/>
      <c r="D313" s="365"/>
      <c r="E313" s="366">
        <f>SUM(E250:E308)</f>
        <v>0</v>
      </c>
      <c r="F313" s="367">
        <f t="shared" si="55"/>
        <v>0</v>
      </c>
      <c r="G313" s="368">
        <f t="shared" ref="G313:H313" si="61">SUM(G250:G308)</f>
        <v>1363287</v>
      </c>
      <c r="H313" s="369">
        <f t="shared" si="61"/>
        <v>1546100</v>
      </c>
      <c r="I313" s="370"/>
      <c r="J313" s="371">
        <f>SUM(J250:J312)</f>
        <v>0</v>
      </c>
      <c r="K313" s="371">
        <f>SUM(K250:K308)</f>
        <v>0</v>
      </c>
      <c r="L313" s="372">
        <f t="shared" ref="L313:M313" si="62">SUM(L250:L312)</f>
        <v>20637867</v>
      </c>
      <c r="M313" s="372">
        <f t="shared" si="62"/>
        <v>23953650</v>
      </c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</row>
    <row r="314" spans="1:26" ht="14.4">
      <c r="A314" s="674" t="s">
        <v>399</v>
      </c>
      <c r="B314" s="211" t="s">
        <v>105</v>
      </c>
      <c r="C314" s="238">
        <v>493</v>
      </c>
      <c r="D314" s="321"/>
      <c r="E314" s="321"/>
      <c r="F314" s="373">
        <f t="shared" si="55"/>
        <v>493</v>
      </c>
      <c r="G314" s="203">
        <v>5750</v>
      </c>
      <c r="H314" s="203">
        <v>6200</v>
      </c>
      <c r="I314" s="224"/>
      <c r="J314" s="205">
        <f t="shared" ref="J314:J330" si="63">+H314*I314</f>
        <v>0</v>
      </c>
      <c r="K314" s="205">
        <f t="shared" ref="K314:K330" si="64">+(H314-G314)*I314</f>
        <v>0</v>
      </c>
      <c r="L314" s="374">
        <f t="shared" ref="L314:L330" si="65">+G314*F314</f>
        <v>2834750</v>
      </c>
      <c r="M314" s="375">
        <f t="shared" ref="M314:M330" si="66">F314*H314</f>
        <v>3056600</v>
      </c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</row>
    <row r="315" spans="1:26" ht="14.4">
      <c r="A315" s="675"/>
      <c r="B315" s="211" t="s">
        <v>106</v>
      </c>
      <c r="C315" s="227">
        <v>103</v>
      </c>
      <c r="D315" s="321"/>
      <c r="E315" s="321"/>
      <c r="F315" s="373">
        <f t="shared" si="55"/>
        <v>103</v>
      </c>
      <c r="G315" s="203">
        <v>11500</v>
      </c>
      <c r="H315" s="203">
        <v>11300</v>
      </c>
      <c r="I315" s="204"/>
      <c r="J315" s="205">
        <f t="shared" si="63"/>
        <v>0</v>
      </c>
      <c r="K315" s="205">
        <f t="shared" si="64"/>
        <v>0</v>
      </c>
      <c r="L315" s="374">
        <f t="shared" si="65"/>
        <v>1184500</v>
      </c>
      <c r="M315" s="375">
        <f t="shared" si="66"/>
        <v>1163900</v>
      </c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</row>
    <row r="316" spans="1:26" ht="14.4">
      <c r="A316" s="675"/>
      <c r="B316" s="211" t="s">
        <v>400</v>
      </c>
      <c r="C316" s="229">
        <v>4</v>
      </c>
      <c r="D316" s="321"/>
      <c r="E316" s="321"/>
      <c r="F316" s="373">
        <f t="shared" si="55"/>
        <v>4</v>
      </c>
      <c r="G316" s="203">
        <v>8800</v>
      </c>
      <c r="H316" s="203">
        <v>8000</v>
      </c>
      <c r="I316" s="204"/>
      <c r="J316" s="205">
        <f t="shared" si="63"/>
        <v>0</v>
      </c>
      <c r="K316" s="205">
        <f t="shared" si="64"/>
        <v>0</v>
      </c>
      <c r="L316" s="374">
        <f t="shared" si="65"/>
        <v>35200</v>
      </c>
      <c r="M316" s="375">
        <f t="shared" si="66"/>
        <v>32000</v>
      </c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</row>
    <row r="317" spans="1:26" ht="14.4">
      <c r="A317" s="675"/>
      <c r="B317" s="211" t="s">
        <v>401</v>
      </c>
      <c r="C317" s="227">
        <v>58</v>
      </c>
      <c r="D317" s="321"/>
      <c r="E317" s="321"/>
      <c r="F317" s="373">
        <f t="shared" si="55"/>
        <v>58</v>
      </c>
      <c r="G317" s="203">
        <v>4400</v>
      </c>
      <c r="H317" s="203">
        <v>4700</v>
      </c>
      <c r="I317" s="204"/>
      <c r="J317" s="205">
        <f t="shared" si="63"/>
        <v>0</v>
      </c>
      <c r="K317" s="205">
        <f t="shared" si="64"/>
        <v>0</v>
      </c>
      <c r="L317" s="374">
        <f t="shared" si="65"/>
        <v>255200</v>
      </c>
      <c r="M317" s="375">
        <f t="shared" si="66"/>
        <v>272600</v>
      </c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</row>
    <row r="318" spans="1:26" ht="14.4">
      <c r="A318" s="675"/>
      <c r="B318" s="211" t="s">
        <v>402</v>
      </c>
      <c r="C318" s="227">
        <v>15</v>
      </c>
      <c r="D318" s="321"/>
      <c r="E318" s="321"/>
      <c r="F318" s="373">
        <f t="shared" si="55"/>
        <v>15</v>
      </c>
      <c r="G318" s="203">
        <v>4400</v>
      </c>
      <c r="H318" s="203">
        <v>4700</v>
      </c>
      <c r="I318" s="204"/>
      <c r="J318" s="205">
        <f t="shared" si="63"/>
        <v>0</v>
      </c>
      <c r="K318" s="205">
        <f t="shared" si="64"/>
        <v>0</v>
      </c>
      <c r="L318" s="374">
        <f t="shared" si="65"/>
        <v>66000</v>
      </c>
      <c r="M318" s="375">
        <f t="shared" si="66"/>
        <v>70500</v>
      </c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</row>
    <row r="319" spans="1:26" ht="14.4">
      <c r="A319" s="675"/>
      <c r="B319" s="211" t="s">
        <v>661</v>
      </c>
      <c r="C319" s="238">
        <v>22</v>
      </c>
      <c r="D319" s="321"/>
      <c r="E319" s="321"/>
      <c r="F319" s="373">
        <f t="shared" si="55"/>
        <v>22</v>
      </c>
      <c r="G319" s="203">
        <v>4400</v>
      </c>
      <c r="H319" s="203">
        <v>4700</v>
      </c>
      <c r="I319" s="204"/>
      <c r="J319" s="205">
        <f t="shared" si="63"/>
        <v>0</v>
      </c>
      <c r="K319" s="205">
        <f t="shared" si="64"/>
        <v>0</v>
      </c>
      <c r="L319" s="374">
        <f t="shared" si="65"/>
        <v>96800</v>
      </c>
      <c r="M319" s="375">
        <f t="shared" si="66"/>
        <v>103400</v>
      </c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</row>
    <row r="320" spans="1:26" ht="14.4">
      <c r="A320" s="675"/>
      <c r="B320" s="211" t="s">
        <v>403</v>
      </c>
      <c r="C320" s="238">
        <f>542+9</f>
        <v>551</v>
      </c>
      <c r="D320" s="321"/>
      <c r="E320" s="321"/>
      <c r="F320" s="373">
        <f t="shared" si="55"/>
        <v>551</v>
      </c>
      <c r="G320" s="203">
        <v>6800</v>
      </c>
      <c r="H320" s="203">
        <v>7200</v>
      </c>
      <c r="I320" s="204"/>
      <c r="J320" s="205">
        <f t="shared" si="63"/>
        <v>0</v>
      </c>
      <c r="K320" s="205">
        <f t="shared" si="64"/>
        <v>0</v>
      </c>
      <c r="L320" s="374">
        <f t="shared" si="65"/>
        <v>3746800</v>
      </c>
      <c r="M320" s="375">
        <f t="shared" si="66"/>
        <v>3967200</v>
      </c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</row>
    <row r="321" spans="1:26" ht="14.4">
      <c r="A321" s="675"/>
      <c r="B321" s="211" t="s">
        <v>404</v>
      </c>
      <c r="C321" s="227">
        <v>11</v>
      </c>
      <c r="D321" s="321"/>
      <c r="E321" s="321"/>
      <c r="F321" s="373">
        <f t="shared" si="55"/>
        <v>11</v>
      </c>
      <c r="G321" s="203">
        <v>13600</v>
      </c>
      <c r="H321" s="203">
        <v>14400</v>
      </c>
      <c r="I321" s="204"/>
      <c r="J321" s="205">
        <f t="shared" si="63"/>
        <v>0</v>
      </c>
      <c r="K321" s="205">
        <f t="shared" si="64"/>
        <v>0</v>
      </c>
      <c r="L321" s="374">
        <f t="shared" si="65"/>
        <v>149600</v>
      </c>
      <c r="M321" s="375">
        <f t="shared" si="66"/>
        <v>158400</v>
      </c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</row>
    <row r="322" spans="1:26" ht="14.4">
      <c r="A322" s="675"/>
      <c r="B322" s="230" t="s">
        <v>405</v>
      </c>
      <c r="C322" s="238">
        <v>61</v>
      </c>
      <c r="D322" s="321"/>
      <c r="E322" s="321"/>
      <c r="F322" s="373">
        <f t="shared" si="55"/>
        <v>61</v>
      </c>
      <c r="G322" s="203">
        <v>3571</v>
      </c>
      <c r="H322" s="203">
        <v>4000</v>
      </c>
      <c r="I322" s="204"/>
      <c r="J322" s="205">
        <f t="shared" si="63"/>
        <v>0</v>
      </c>
      <c r="K322" s="205">
        <f t="shared" si="64"/>
        <v>0</v>
      </c>
      <c r="L322" s="374">
        <f t="shared" si="65"/>
        <v>217831</v>
      </c>
      <c r="M322" s="375">
        <f t="shared" si="66"/>
        <v>244000</v>
      </c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</row>
    <row r="323" spans="1:26" ht="14.4">
      <c r="A323" s="675"/>
      <c r="B323" s="230" t="s">
        <v>406</v>
      </c>
      <c r="C323" s="227">
        <v>7</v>
      </c>
      <c r="D323" s="321"/>
      <c r="E323" s="321"/>
      <c r="F323" s="373">
        <f t="shared" si="55"/>
        <v>7</v>
      </c>
      <c r="G323" s="203">
        <v>7141</v>
      </c>
      <c r="H323" s="203">
        <v>8000</v>
      </c>
      <c r="I323" s="204"/>
      <c r="J323" s="205">
        <f t="shared" si="63"/>
        <v>0</v>
      </c>
      <c r="K323" s="205">
        <f t="shared" si="64"/>
        <v>0</v>
      </c>
      <c r="L323" s="374">
        <f t="shared" si="65"/>
        <v>49987</v>
      </c>
      <c r="M323" s="375">
        <f t="shared" si="66"/>
        <v>56000</v>
      </c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</row>
    <row r="324" spans="1:26" ht="14.4">
      <c r="A324" s="675"/>
      <c r="B324" s="230" t="s">
        <v>407</v>
      </c>
      <c r="C324" s="238">
        <v>82</v>
      </c>
      <c r="D324" s="321"/>
      <c r="E324" s="321"/>
      <c r="F324" s="373">
        <f t="shared" si="55"/>
        <v>82</v>
      </c>
      <c r="G324" s="203">
        <v>5251</v>
      </c>
      <c r="H324" s="203">
        <v>5800</v>
      </c>
      <c r="I324" s="204"/>
      <c r="J324" s="205">
        <f t="shared" si="63"/>
        <v>0</v>
      </c>
      <c r="K324" s="205">
        <f t="shared" si="64"/>
        <v>0</v>
      </c>
      <c r="L324" s="374">
        <f t="shared" si="65"/>
        <v>430582</v>
      </c>
      <c r="M324" s="375">
        <f t="shared" si="66"/>
        <v>475600</v>
      </c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</row>
    <row r="325" spans="1:26" ht="14.4">
      <c r="A325" s="675"/>
      <c r="B325" s="230" t="s">
        <v>408</v>
      </c>
      <c r="C325" s="238">
        <v>16</v>
      </c>
      <c r="D325" s="321"/>
      <c r="E325" s="321"/>
      <c r="F325" s="373">
        <f t="shared" si="55"/>
        <v>16</v>
      </c>
      <c r="G325" s="203">
        <v>10521</v>
      </c>
      <c r="H325" s="203">
        <v>11600</v>
      </c>
      <c r="I325" s="204"/>
      <c r="J325" s="205">
        <f t="shared" si="63"/>
        <v>0</v>
      </c>
      <c r="K325" s="205">
        <f t="shared" si="64"/>
        <v>0</v>
      </c>
      <c r="L325" s="374">
        <f t="shared" si="65"/>
        <v>168336</v>
      </c>
      <c r="M325" s="375">
        <f t="shared" si="66"/>
        <v>185600</v>
      </c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</row>
    <row r="326" spans="1:26" ht="14.4">
      <c r="A326" s="675"/>
      <c r="B326" s="230" t="s">
        <v>409</v>
      </c>
      <c r="C326" s="227"/>
      <c r="D326" s="321"/>
      <c r="E326" s="321"/>
      <c r="F326" s="373">
        <f t="shared" si="55"/>
        <v>0</v>
      </c>
      <c r="G326" s="203">
        <v>7552</v>
      </c>
      <c r="H326" s="203">
        <v>8000</v>
      </c>
      <c r="I326" s="224"/>
      <c r="J326" s="205">
        <f t="shared" si="63"/>
        <v>0</v>
      </c>
      <c r="K326" s="205">
        <f t="shared" si="64"/>
        <v>0</v>
      </c>
      <c r="L326" s="374">
        <f t="shared" si="65"/>
        <v>0</v>
      </c>
      <c r="M326" s="375">
        <f t="shared" si="66"/>
        <v>0</v>
      </c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</row>
    <row r="327" spans="1:26" ht="14.4">
      <c r="A327" s="675"/>
      <c r="B327" s="230" t="s">
        <v>410</v>
      </c>
      <c r="C327" s="238">
        <v>15</v>
      </c>
      <c r="D327" s="321"/>
      <c r="E327" s="321"/>
      <c r="F327" s="373">
        <f t="shared" si="55"/>
        <v>15</v>
      </c>
      <c r="G327" s="203">
        <v>7521</v>
      </c>
      <c r="H327" s="203">
        <v>8000</v>
      </c>
      <c r="I327" s="204"/>
      <c r="J327" s="205">
        <f t="shared" si="63"/>
        <v>0</v>
      </c>
      <c r="K327" s="205">
        <f t="shared" si="64"/>
        <v>0</v>
      </c>
      <c r="L327" s="374">
        <f t="shared" si="65"/>
        <v>112815</v>
      </c>
      <c r="M327" s="375">
        <f t="shared" si="66"/>
        <v>120000</v>
      </c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</row>
    <row r="328" spans="1:26" ht="14.4">
      <c r="A328" s="675"/>
      <c r="B328" s="230" t="s">
        <v>411</v>
      </c>
      <c r="C328" s="227">
        <v>41</v>
      </c>
      <c r="D328" s="321"/>
      <c r="E328" s="321"/>
      <c r="F328" s="373">
        <f t="shared" si="55"/>
        <v>41</v>
      </c>
      <c r="G328" s="203">
        <v>800</v>
      </c>
      <c r="H328" s="203">
        <v>1200</v>
      </c>
      <c r="I328" s="204"/>
      <c r="J328" s="205">
        <f t="shared" si="63"/>
        <v>0</v>
      </c>
      <c r="K328" s="205">
        <f t="shared" si="64"/>
        <v>0</v>
      </c>
      <c r="L328" s="374">
        <f t="shared" si="65"/>
        <v>32800</v>
      </c>
      <c r="M328" s="375">
        <f t="shared" si="66"/>
        <v>49200</v>
      </c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</row>
    <row r="329" spans="1:26" ht="14.4">
      <c r="A329" s="675"/>
      <c r="B329" s="230" t="s">
        <v>412</v>
      </c>
      <c r="C329" s="227"/>
      <c r="D329" s="321"/>
      <c r="E329" s="321"/>
      <c r="F329" s="373">
        <f t="shared" si="55"/>
        <v>0</v>
      </c>
      <c r="G329" s="203">
        <v>2480</v>
      </c>
      <c r="H329" s="203">
        <v>3000</v>
      </c>
      <c r="I329" s="204"/>
      <c r="J329" s="205">
        <f t="shared" si="63"/>
        <v>0</v>
      </c>
      <c r="K329" s="205">
        <f t="shared" si="64"/>
        <v>0</v>
      </c>
      <c r="L329" s="374">
        <f t="shared" si="65"/>
        <v>0</v>
      </c>
      <c r="M329" s="375">
        <f t="shared" si="66"/>
        <v>0</v>
      </c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</row>
    <row r="330" spans="1:26" ht="14.4">
      <c r="A330" s="675"/>
      <c r="B330" s="230" t="s">
        <v>413</v>
      </c>
      <c r="C330" s="227">
        <v>26</v>
      </c>
      <c r="D330" s="321"/>
      <c r="E330" s="321"/>
      <c r="F330" s="373">
        <f t="shared" si="55"/>
        <v>26</v>
      </c>
      <c r="G330" s="239">
        <v>2100</v>
      </c>
      <c r="H330" s="239">
        <v>2500</v>
      </c>
      <c r="I330" s="213"/>
      <c r="J330" s="205">
        <f t="shared" si="63"/>
        <v>0</v>
      </c>
      <c r="K330" s="205">
        <f t="shared" si="64"/>
        <v>0</v>
      </c>
      <c r="L330" s="374">
        <f t="shared" si="65"/>
        <v>54600</v>
      </c>
      <c r="M330" s="375">
        <f t="shared" si="66"/>
        <v>65000</v>
      </c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</row>
    <row r="331" spans="1:26" ht="14.4">
      <c r="A331" s="676"/>
      <c r="B331" s="376"/>
      <c r="C331" s="377">
        <f t="shared" ref="C331:I331" si="67">SUM(C314:C327)</f>
        <v>1438</v>
      </c>
      <c r="D331" s="378">
        <f t="shared" si="67"/>
        <v>0</v>
      </c>
      <c r="E331" s="379">
        <f t="shared" si="67"/>
        <v>0</v>
      </c>
      <c r="F331" s="379">
        <f t="shared" si="67"/>
        <v>1438</v>
      </c>
      <c r="G331" s="380">
        <f t="shared" si="67"/>
        <v>101207</v>
      </c>
      <c r="H331" s="380">
        <f t="shared" si="67"/>
        <v>106600</v>
      </c>
      <c r="I331" s="381">
        <f t="shared" si="67"/>
        <v>0</v>
      </c>
      <c r="J331" s="382">
        <f>SUM(J314:J330)</f>
        <v>0</v>
      </c>
      <c r="K331" s="382">
        <f>SUM(K314:K327)</f>
        <v>0</v>
      </c>
      <c r="L331" s="382">
        <f t="shared" ref="L331:M331" si="68">SUM(L314:L330)</f>
        <v>9435801</v>
      </c>
      <c r="M331" s="382">
        <f t="shared" si="68"/>
        <v>10020000</v>
      </c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</row>
    <row r="332" spans="1:26" ht="14.4">
      <c r="A332" s="191"/>
      <c r="B332" s="383"/>
      <c r="C332" s="384"/>
      <c r="D332" s="191"/>
      <c r="E332" s="191"/>
      <c r="F332" s="191"/>
      <c r="G332" s="386"/>
      <c r="H332" s="386"/>
      <c r="I332" s="386"/>
      <c r="J332" s="387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</row>
    <row r="333" spans="1:26" ht="14.4">
      <c r="A333" s="191"/>
      <c r="B333" s="387"/>
      <c r="C333" s="201"/>
      <c r="D333" s="390" t="s">
        <v>118</v>
      </c>
      <c r="E333" s="390" t="s">
        <v>131</v>
      </c>
      <c r="F333" s="390" t="s">
        <v>414</v>
      </c>
      <c r="G333" s="386"/>
      <c r="H333" s="677" t="s">
        <v>415</v>
      </c>
      <c r="I333" s="678"/>
      <c r="J333" s="387"/>
      <c r="K333" s="677" t="s">
        <v>416</v>
      </c>
      <c r="L333" s="678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</row>
    <row r="334" spans="1:26" ht="14.4">
      <c r="A334" s="191"/>
      <c r="B334" s="390" t="s">
        <v>3</v>
      </c>
      <c r="C334" s="391"/>
      <c r="D334" s="392">
        <f t="shared" ref="D334:F334" si="69">+J22</f>
        <v>0</v>
      </c>
      <c r="E334" s="392">
        <f t="shared" si="69"/>
        <v>0</v>
      </c>
      <c r="F334" s="464">
        <f t="shared" si="69"/>
        <v>67505117</v>
      </c>
      <c r="G334" s="386"/>
      <c r="H334" s="393" t="s">
        <v>120</v>
      </c>
      <c r="I334" s="394">
        <f>Enrique!B39</f>
        <v>20006356</v>
      </c>
      <c r="J334" s="387"/>
      <c r="K334" s="393" t="s">
        <v>417</v>
      </c>
      <c r="L334" s="394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</row>
    <row r="335" spans="1:26" ht="14.4">
      <c r="A335" s="191"/>
      <c r="B335" s="390" t="s">
        <v>418</v>
      </c>
      <c r="C335" s="391"/>
      <c r="D335" s="392">
        <f t="shared" ref="D335:F335" si="70">+J61</f>
        <v>0</v>
      </c>
      <c r="E335" s="392">
        <f t="shared" si="70"/>
        <v>0</v>
      </c>
      <c r="F335" s="464">
        <f t="shared" si="70"/>
        <v>54136388.25</v>
      </c>
      <c r="G335" s="386"/>
      <c r="H335" s="395" t="s">
        <v>419</v>
      </c>
      <c r="I335" s="396">
        <v>20000000</v>
      </c>
      <c r="J335" s="387" t="s">
        <v>420</v>
      </c>
      <c r="K335" s="395" t="s">
        <v>421</v>
      </c>
      <c r="L335" s="396">
        <v>460000</v>
      </c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</row>
    <row r="336" spans="1:26" ht="14.4">
      <c r="A336" s="191"/>
      <c r="B336" s="390" t="s">
        <v>422</v>
      </c>
      <c r="C336" s="391"/>
      <c r="D336" s="392">
        <f t="shared" ref="D336:F336" si="71">+J89</f>
        <v>0</v>
      </c>
      <c r="E336" s="392">
        <f t="shared" si="71"/>
        <v>0</v>
      </c>
      <c r="F336" s="464">
        <f t="shared" si="71"/>
        <v>15546799</v>
      </c>
      <c r="G336" s="386"/>
      <c r="H336" s="395"/>
      <c r="I336" s="396"/>
      <c r="J336" s="387"/>
      <c r="K336" s="395"/>
      <c r="L336" s="396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</row>
    <row r="337" spans="1:26" ht="14.4">
      <c r="A337" s="191"/>
      <c r="B337" s="390" t="s">
        <v>424</v>
      </c>
      <c r="C337" s="391"/>
      <c r="D337" s="392">
        <f t="shared" ref="D337:F337" si="72">+J149</f>
        <v>0</v>
      </c>
      <c r="E337" s="392">
        <f t="shared" si="72"/>
        <v>0</v>
      </c>
      <c r="F337" s="464">
        <f t="shared" si="72"/>
        <v>8099895</v>
      </c>
      <c r="G337" s="386"/>
      <c r="H337" s="395" t="s">
        <v>662</v>
      </c>
      <c r="I337" s="396">
        <v>20000000</v>
      </c>
      <c r="J337" s="387"/>
      <c r="K337" s="395"/>
      <c r="L337" s="396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</row>
    <row r="338" spans="1:26" ht="14.4">
      <c r="A338" s="191"/>
      <c r="B338" s="390" t="s">
        <v>425</v>
      </c>
      <c r="C338" s="391"/>
      <c r="D338" s="392">
        <f t="shared" ref="D338:F338" si="73">+J161</f>
        <v>0</v>
      </c>
      <c r="E338" s="392">
        <f t="shared" si="73"/>
        <v>0</v>
      </c>
      <c r="F338" s="464">
        <f t="shared" si="73"/>
        <v>8454107</v>
      </c>
      <c r="G338" s="386"/>
      <c r="H338" s="395"/>
      <c r="I338" s="396"/>
      <c r="J338" s="387"/>
      <c r="K338" s="395"/>
      <c r="L338" s="396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</row>
    <row r="339" spans="1:26" ht="14.4">
      <c r="A339" s="191"/>
      <c r="B339" s="390" t="s">
        <v>426</v>
      </c>
      <c r="C339" s="391"/>
      <c r="D339" s="392">
        <f t="shared" ref="D339:E339" si="74">+J249</f>
        <v>0</v>
      </c>
      <c r="E339" s="392">
        <f t="shared" si="74"/>
        <v>0</v>
      </c>
      <c r="F339" s="464">
        <f>+L249+L188</f>
        <v>14818000</v>
      </c>
      <c r="G339" s="386"/>
      <c r="H339" s="395"/>
      <c r="I339" s="396"/>
      <c r="J339" s="387"/>
      <c r="K339" s="395"/>
      <c r="L339" s="396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</row>
    <row r="340" spans="1:26" ht="14.4">
      <c r="A340" s="191"/>
      <c r="B340" s="390" t="s">
        <v>427</v>
      </c>
      <c r="C340" s="391"/>
      <c r="D340" s="392">
        <f t="shared" ref="D340:E340" si="75">+J313</f>
        <v>0</v>
      </c>
      <c r="E340" s="392">
        <f t="shared" si="75"/>
        <v>0</v>
      </c>
      <c r="F340" s="465">
        <f>L313</f>
        <v>20637867</v>
      </c>
      <c r="G340" s="386"/>
      <c r="H340" s="395"/>
      <c r="I340" s="396"/>
      <c r="J340" s="387"/>
      <c r="K340" s="395"/>
      <c r="L340" s="396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</row>
    <row r="341" spans="1:26" ht="14.4">
      <c r="A341" s="191"/>
      <c r="B341" s="390" t="s">
        <v>663</v>
      </c>
      <c r="C341" s="391"/>
      <c r="D341" s="392">
        <f t="shared" ref="D341:E341" si="76">+J314</f>
        <v>0</v>
      </c>
      <c r="E341" s="392">
        <f t="shared" si="76"/>
        <v>0</v>
      </c>
      <c r="F341" s="465">
        <f>L188</f>
        <v>1861750</v>
      </c>
      <c r="G341" s="386"/>
      <c r="H341" s="395"/>
      <c r="I341" s="396"/>
      <c r="J341" s="387"/>
      <c r="K341" s="395"/>
      <c r="L341" s="396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</row>
    <row r="342" spans="1:26" ht="14.4">
      <c r="A342" s="191"/>
      <c r="B342" s="390" t="s">
        <v>428</v>
      </c>
      <c r="C342" s="391"/>
      <c r="D342" s="392">
        <f t="shared" ref="D342:F342" si="77">+J331</f>
        <v>0</v>
      </c>
      <c r="E342" s="392">
        <f t="shared" si="77"/>
        <v>0</v>
      </c>
      <c r="F342" s="464">
        <f t="shared" si="77"/>
        <v>9435801</v>
      </c>
      <c r="G342" s="386"/>
      <c r="H342" s="395"/>
      <c r="I342" s="396"/>
      <c r="J342" s="387"/>
      <c r="K342" s="395"/>
      <c r="L342" s="396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</row>
    <row r="343" spans="1:26" ht="14.4">
      <c r="A343" s="191"/>
      <c r="B343" s="390" t="s">
        <v>429</v>
      </c>
      <c r="C343" s="391"/>
      <c r="D343" s="392">
        <f t="shared" ref="D343:F343" si="78">J583</f>
        <v>0</v>
      </c>
      <c r="E343" s="392">
        <f t="shared" si="78"/>
        <v>0</v>
      </c>
      <c r="F343" s="464">
        <f t="shared" si="78"/>
        <v>31534873.75</v>
      </c>
      <c r="G343" s="386"/>
      <c r="H343" s="395"/>
      <c r="I343" s="396"/>
      <c r="J343" s="387"/>
      <c r="K343" s="395"/>
      <c r="L343" s="396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</row>
    <row r="344" spans="1:26" ht="15.6">
      <c r="A344" s="191"/>
      <c r="B344" s="398" t="s">
        <v>430</v>
      </c>
      <c r="C344" s="399"/>
      <c r="D344" s="400">
        <f t="shared" ref="D344:F344" si="79">SUM(D334:D343)</f>
        <v>0</v>
      </c>
      <c r="E344" s="400">
        <f t="shared" si="79"/>
        <v>0</v>
      </c>
      <c r="F344" s="401">
        <f t="shared" si="79"/>
        <v>232030598</v>
      </c>
      <c r="G344" s="386"/>
      <c r="H344" s="395" t="s">
        <v>431</v>
      </c>
      <c r="I344" s="396"/>
      <c r="J344" s="387"/>
      <c r="K344" s="395"/>
      <c r="L344" s="396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</row>
    <row r="345" spans="1:26" ht="15.6">
      <c r="A345" s="191"/>
      <c r="B345" s="402" t="s">
        <v>432</v>
      </c>
      <c r="C345" s="403"/>
      <c r="D345" s="404"/>
      <c r="E345" s="405"/>
      <c r="F345" s="406">
        <v>26329000</v>
      </c>
      <c r="G345" s="386"/>
      <c r="H345" s="395" t="s">
        <v>433</v>
      </c>
      <c r="I345" s="407"/>
      <c r="J345" s="387"/>
      <c r="K345" s="395"/>
      <c r="L345" s="407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</row>
    <row r="346" spans="1:26" ht="14.4">
      <c r="A346" s="191"/>
      <c r="B346" s="408" t="s">
        <v>112</v>
      </c>
      <c r="C346" s="409"/>
      <c r="D346" s="410"/>
      <c r="E346" s="411"/>
      <c r="F346" s="412">
        <v>15200000</v>
      </c>
      <c r="G346" s="386"/>
      <c r="H346" s="386"/>
      <c r="I346" s="413">
        <f>SUM(I334:I345)</f>
        <v>60006356</v>
      </c>
      <c r="J346" s="387"/>
      <c r="K346" s="386"/>
      <c r="L346" s="413">
        <f>SUM(L334:L345)</f>
        <v>460000</v>
      </c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</row>
    <row r="347" spans="1:26" ht="17.399999999999999">
      <c r="A347" s="191"/>
      <c r="B347" s="414" t="s">
        <v>430</v>
      </c>
      <c r="C347" s="415"/>
      <c r="D347" s="416"/>
      <c r="E347" s="411"/>
      <c r="F347" s="466">
        <f>F344+F345+F346</f>
        <v>273559598</v>
      </c>
      <c r="G347" s="467" t="s">
        <v>435</v>
      </c>
      <c r="H347" s="419">
        <f>F347-I346+L346</f>
        <v>214013242</v>
      </c>
      <c r="I347" s="387"/>
      <c r="J347" s="387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</row>
    <row r="348" spans="1:26" ht="14.4">
      <c r="A348" s="420"/>
      <c r="B348" s="420"/>
      <c r="C348" s="20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</row>
    <row r="349" spans="1:26" ht="14.4">
      <c r="A349" s="420"/>
      <c r="B349" s="420"/>
      <c r="C349" s="20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</row>
    <row r="350" spans="1:26" ht="28.8">
      <c r="A350" s="679">
        <v>24</v>
      </c>
      <c r="B350" s="680"/>
      <c r="C350" s="421" t="s">
        <v>125</v>
      </c>
      <c r="D350" s="422" t="s">
        <v>126</v>
      </c>
      <c r="E350" s="422" t="s">
        <v>127</v>
      </c>
      <c r="F350" s="423" t="s">
        <v>0</v>
      </c>
      <c r="G350" s="424" t="s">
        <v>436</v>
      </c>
      <c r="H350" s="425" t="s">
        <v>437</v>
      </c>
      <c r="I350" s="426" t="s">
        <v>438</v>
      </c>
      <c r="J350" s="422" t="s">
        <v>130</v>
      </c>
      <c r="K350" s="422" t="s">
        <v>131</v>
      </c>
      <c r="L350" s="422" t="s">
        <v>2</v>
      </c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</row>
    <row r="351" spans="1:26" ht="14.4">
      <c r="A351" s="427"/>
      <c r="B351" s="428" t="s">
        <v>439</v>
      </c>
      <c r="C351" s="321"/>
      <c r="D351" s="321"/>
      <c r="E351" s="321"/>
      <c r="F351" s="429">
        <f t="shared" ref="F351:F429" si="80">+C351+D351-E351</f>
        <v>0</v>
      </c>
      <c r="G351" s="203">
        <v>213600</v>
      </c>
      <c r="H351" s="203">
        <v>220000</v>
      </c>
      <c r="I351" s="204"/>
      <c r="J351" s="205">
        <f t="shared" ref="J351:J372" si="81">+H351*I351</f>
        <v>0</v>
      </c>
      <c r="K351" s="205">
        <f t="shared" ref="K351:K429" si="82">+(H351-G351)*I351</f>
        <v>0</v>
      </c>
      <c r="L351" s="430">
        <f t="shared" ref="L351:L429" si="83">+G351*F351</f>
        <v>0</v>
      </c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</row>
    <row r="352" spans="1:26" ht="14.4">
      <c r="A352" s="427"/>
      <c r="B352" s="428" t="s">
        <v>440</v>
      </c>
      <c r="C352" s="431">
        <v>3</v>
      </c>
      <c r="D352" s="321"/>
      <c r="E352" s="321"/>
      <c r="F352" s="429">
        <f t="shared" si="80"/>
        <v>3</v>
      </c>
      <c r="G352" s="203">
        <v>166772</v>
      </c>
      <c r="H352" s="203">
        <v>180000</v>
      </c>
      <c r="I352" s="204"/>
      <c r="J352" s="205">
        <f t="shared" si="81"/>
        <v>0</v>
      </c>
      <c r="K352" s="205">
        <f t="shared" si="82"/>
        <v>0</v>
      </c>
      <c r="L352" s="430">
        <f t="shared" si="83"/>
        <v>500316</v>
      </c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</row>
    <row r="353" spans="1:26" ht="14.4">
      <c r="A353" s="427"/>
      <c r="B353" s="428" t="s">
        <v>441</v>
      </c>
      <c r="C353" s="431"/>
      <c r="D353" s="321"/>
      <c r="E353" s="321"/>
      <c r="F353" s="429">
        <f t="shared" si="80"/>
        <v>0</v>
      </c>
      <c r="G353" s="203">
        <v>176484</v>
      </c>
      <c r="H353" s="203">
        <v>190000</v>
      </c>
      <c r="I353" s="204"/>
      <c r="J353" s="205">
        <f t="shared" si="81"/>
        <v>0</v>
      </c>
      <c r="K353" s="205">
        <f t="shared" si="82"/>
        <v>0</v>
      </c>
      <c r="L353" s="430">
        <f t="shared" si="83"/>
        <v>0</v>
      </c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</row>
    <row r="354" spans="1:26" ht="14.4">
      <c r="A354" s="427"/>
      <c r="B354" s="428" t="s">
        <v>442</v>
      </c>
      <c r="C354" s="431">
        <v>3</v>
      </c>
      <c r="D354" s="321"/>
      <c r="E354" s="321"/>
      <c r="F354" s="429">
        <f t="shared" si="80"/>
        <v>3</v>
      </c>
      <c r="G354" s="203">
        <v>181000</v>
      </c>
      <c r="H354" s="203">
        <v>196000</v>
      </c>
      <c r="I354" s="204"/>
      <c r="J354" s="205">
        <f t="shared" si="81"/>
        <v>0</v>
      </c>
      <c r="K354" s="205">
        <f t="shared" si="82"/>
        <v>0</v>
      </c>
      <c r="L354" s="430">
        <f t="shared" si="83"/>
        <v>543000</v>
      </c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</row>
    <row r="355" spans="1:26" ht="14.4">
      <c r="A355" s="427"/>
      <c r="B355" s="428" t="s">
        <v>443</v>
      </c>
      <c r="C355" s="431">
        <v>5</v>
      </c>
      <c r="D355" s="321"/>
      <c r="E355" s="321"/>
      <c r="F355" s="429">
        <f t="shared" si="80"/>
        <v>5</v>
      </c>
      <c r="G355" s="203">
        <v>141931</v>
      </c>
      <c r="H355" s="203">
        <v>155000</v>
      </c>
      <c r="I355" s="204"/>
      <c r="J355" s="205">
        <f t="shared" si="81"/>
        <v>0</v>
      </c>
      <c r="K355" s="205">
        <f t="shared" si="82"/>
        <v>0</v>
      </c>
      <c r="L355" s="430">
        <f t="shared" si="83"/>
        <v>709655</v>
      </c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</row>
    <row r="356" spans="1:26" ht="14.4">
      <c r="A356" s="427"/>
      <c r="B356" s="428" t="s">
        <v>690</v>
      </c>
      <c r="C356" s="431">
        <v>3</v>
      </c>
      <c r="D356" s="321"/>
      <c r="E356" s="321"/>
      <c r="F356" s="429">
        <f t="shared" si="80"/>
        <v>3</v>
      </c>
      <c r="G356" s="203">
        <v>141931</v>
      </c>
      <c r="H356" s="203">
        <v>155000</v>
      </c>
      <c r="I356" s="204"/>
      <c r="J356" s="205">
        <f t="shared" si="81"/>
        <v>0</v>
      </c>
      <c r="K356" s="205">
        <f t="shared" si="82"/>
        <v>0</v>
      </c>
      <c r="L356" s="430">
        <f t="shared" si="83"/>
        <v>425793</v>
      </c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</row>
    <row r="357" spans="1:26" ht="14.4">
      <c r="A357" s="427"/>
      <c r="B357" s="428" t="s">
        <v>444</v>
      </c>
      <c r="C357" s="321">
        <v>2</v>
      </c>
      <c r="D357" s="321"/>
      <c r="E357" s="321"/>
      <c r="F357" s="429">
        <f t="shared" si="80"/>
        <v>2</v>
      </c>
      <c r="G357" s="203">
        <v>81350</v>
      </c>
      <c r="H357" s="203">
        <v>93000</v>
      </c>
      <c r="I357" s="204"/>
      <c r="J357" s="205">
        <f t="shared" si="81"/>
        <v>0</v>
      </c>
      <c r="K357" s="205">
        <f t="shared" si="82"/>
        <v>0</v>
      </c>
      <c r="L357" s="430">
        <f t="shared" si="83"/>
        <v>162700</v>
      </c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</row>
    <row r="358" spans="1:26" ht="14.4">
      <c r="A358" s="427"/>
      <c r="B358" s="428" t="s">
        <v>445</v>
      </c>
      <c r="C358" s="321">
        <v>4</v>
      </c>
      <c r="D358" s="321"/>
      <c r="E358" s="321"/>
      <c r="F358" s="429">
        <f t="shared" si="80"/>
        <v>4</v>
      </c>
      <c r="G358" s="203">
        <v>41000</v>
      </c>
      <c r="H358" s="203">
        <v>43000</v>
      </c>
      <c r="I358" s="204"/>
      <c r="J358" s="205">
        <f t="shared" si="81"/>
        <v>0</v>
      </c>
      <c r="K358" s="205">
        <f t="shared" si="82"/>
        <v>0</v>
      </c>
      <c r="L358" s="430">
        <f t="shared" si="83"/>
        <v>164000</v>
      </c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</row>
    <row r="359" spans="1:26" ht="14.4">
      <c r="A359" s="427"/>
      <c r="B359" s="428" t="s">
        <v>446</v>
      </c>
      <c r="C359" s="431">
        <v>1</v>
      </c>
      <c r="D359" s="321"/>
      <c r="E359" s="321"/>
      <c r="F359" s="429">
        <f t="shared" si="80"/>
        <v>1</v>
      </c>
      <c r="G359" s="203">
        <v>160857</v>
      </c>
      <c r="H359" s="203">
        <v>170000</v>
      </c>
      <c r="I359" s="204"/>
      <c r="J359" s="205">
        <f t="shared" si="81"/>
        <v>0</v>
      </c>
      <c r="K359" s="205">
        <f t="shared" si="82"/>
        <v>0</v>
      </c>
      <c r="L359" s="430">
        <f t="shared" si="83"/>
        <v>160857</v>
      </c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</row>
    <row r="360" spans="1:26" ht="14.4">
      <c r="A360" s="427"/>
      <c r="B360" s="428" t="s">
        <v>447</v>
      </c>
      <c r="C360" s="431">
        <v>1</v>
      </c>
      <c r="D360" s="321"/>
      <c r="E360" s="321"/>
      <c r="F360" s="429">
        <f t="shared" si="80"/>
        <v>1</v>
      </c>
      <c r="G360" s="203">
        <v>128000</v>
      </c>
      <c r="H360" s="203">
        <v>140000</v>
      </c>
      <c r="I360" s="204"/>
      <c r="J360" s="205">
        <f t="shared" si="81"/>
        <v>0</v>
      </c>
      <c r="K360" s="205">
        <f t="shared" si="82"/>
        <v>0</v>
      </c>
      <c r="L360" s="430">
        <f t="shared" si="83"/>
        <v>128000</v>
      </c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</row>
    <row r="361" spans="1:26" ht="14.4">
      <c r="A361" s="427"/>
      <c r="B361" s="428" t="s">
        <v>448</v>
      </c>
      <c r="C361" s="431"/>
      <c r="D361" s="321"/>
      <c r="E361" s="321"/>
      <c r="F361" s="429">
        <f t="shared" si="80"/>
        <v>0</v>
      </c>
      <c r="G361" s="203">
        <v>90814</v>
      </c>
      <c r="H361" s="203">
        <v>99000</v>
      </c>
      <c r="I361" s="204"/>
      <c r="J361" s="205">
        <f t="shared" si="81"/>
        <v>0</v>
      </c>
      <c r="K361" s="205">
        <f t="shared" si="82"/>
        <v>0</v>
      </c>
      <c r="L361" s="430">
        <f t="shared" si="83"/>
        <v>0</v>
      </c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</row>
    <row r="362" spans="1:26" ht="14.4">
      <c r="A362" s="427"/>
      <c r="B362" s="428" t="s">
        <v>449</v>
      </c>
      <c r="C362" s="431">
        <v>1</v>
      </c>
      <c r="D362" s="321"/>
      <c r="E362" s="321"/>
      <c r="F362" s="429">
        <f t="shared" si="80"/>
        <v>1</v>
      </c>
      <c r="G362" s="203">
        <v>160312</v>
      </c>
      <c r="H362" s="203">
        <v>170000</v>
      </c>
      <c r="I362" s="204"/>
      <c r="J362" s="205">
        <f t="shared" si="81"/>
        <v>0</v>
      </c>
      <c r="K362" s="205">
        <f t="shared" si="82"/>
        <v>0</v>
      </c>
      <c r="L362" s="430">
        <f t="shared" si="83"/>
        <v>160312</v>
      </c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</row>
    <row r="363" spans="1:26" ht="14.4">
      <c r="A363" s="427"/>
      <c r="B363" s="428" t="s">
        <v>450</v>
      </c>
      <c r="C363" s="321">
        <v>1</v>
      </c>
      <c r="D363" s="321"/>
      <c r="E363" s="321"/>
      <c r="F363" s="429">
        <f t="shared" si="80"/>
        <v>1</v>
      </c>
      <c r="G363" s="203">
        <v>166740</v>
      </c>
      <c r="H363" s="203">
        <v>172000</v>
      </c>
      <c r="I363" s="204"/>
      <c r="J363" s="205">
        <f t="shared" si="81"/>
        <v>0</v>
      </c>
      <c r="K363" s="205">
        <f t="shared" si="82"/>
        <v>0</v>
      </c>
      <c r="L363" s="430">
        <f t="shared" si="83"/>
        <v>166740</v>
      </c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</row>
    <row r="364" spans="1:26" ht="14.4">
      <c r="A364" s="427"/>
      <c r="B364" s="428" t="s">
        <v>451</v>
      </c>
      <c r="C364" s="431">
        <v>2</v>
      </c>
      <c r="D364" s="321"/>
      <c r="E364" s="321"/>
      <c r="F364" s="429">
        <f t="shared" si="80"/>
        <v>2</v>
      </c>
      <c r="G364" s="203">
        <v>129841</v>
      </c>
      <c r="H364" s="203">
        <v>142000</v>
      </c>
      <c r="I364" s="204"/>
      <c r="J364" s="205">
        <f t="shared" si="81"/>
        <v>0</v>
      </c>
      <c r="K364" s="205">
        <f t="shared" si="82"/>
        <v>0</v>
      </c>
      <c r="L364" s="430">
        <f t="shared" si="83"/>
        <v>259682</v>
      </c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</row>
    <row r="365" spans="1:26" ht="14.4">
      <c r="A365" s="427"/>
      <c r="B365" s="428" t="s">
        <v>452</v>
      </c>
      <c r="C365" s="321">
        <v>2</v>
      </c>
      <c r="D365" s="321"/>
      <c r="E365" s="321"/>
      <c r="F365" s="429">
        <f t="shared" si="80"/>
        <v>2</v>
      </c>
      <c r="G365" s="203">
        <v>69534</v>
      </c>
      <c r="H365" s="203">
        <v>72000</v>
      </c>
      <c r="I365" s="204"/>
      <c r="J365" s="205">
        <f t="shared" si="81"/>
        <v>0</v>
      </c>
      <c r="K365" s="205">
        <f t="shared" si="82"/>
        <v>0</v>
      </c>
      <c r="L365" s="430">
        <f t="shared" si="83"/>
        <v>139068</v>
      </c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</row>
    <row r="366" spans="1:26" ht="14.4">
      <c r="A366" s="427"/>
      <c r="B366" s="428" t="s">
        <v>453</v>
      </c>
      <c r="C366" s="431">
        <v>3</v>
      </c>
      <c r="D366" s="321"/>
      <c r="E366" s="321"/>
      <c r="F366" s="429">
        <f t="shared" si="80"/>
        <v>3</v>
      </c>
      <c r="G366" s="203">
        <v>82080</v>
      </c>
      <c r="H366" s="203">
        <v>89000</v>
      </c>
      <c r="I366" s="204"/>
      <c r="J366" s="205">
        <f t="shared" si="81"/>
        <v>0</v>
      </c>
      <c r="K366" s="205">
        <f t="shared" si="82"/>
        <v>0</v>
      </c>
      <c r="L366" s="430">
        <f t="shared" si="83"/>
        <v>246240</v>
      </c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</row>
    <row r="367" spans="1:26" ht="14.4">
      <c r="A367" s="427"/>
      <c r="B367" s="428" t="s">
        <v>454</v>
      </c>
      <c r="C367" s="431">
        <v>3</v>
      </c>
      <c r="D367" s="321"/>
      <c r="E367" s="321"/>
      <c r="F367" s="429">
        <f t="shared" si="80"/>
        <v>3</v>
      </c>
      <c r="G367" s="203">
        <v>62646</v>
      </c>
      <c r="H367" s="203">
        <v>69000</v>
      </c>
      <c r="I367" s="204"/>
      <c r="J367" s="205">
        <f t="shared" si="81"/>
        <v>0</v>
      </c>
      <c r="K367" s="205">
        <f t="shared" si="82"/>
        <v>0</v>
      </c>
      <c r="L367" s="430">
        <f t="shared" si="83"/>
        <v>187938</v>
      </c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</row>
    <row r="368" spans="1:26" ht="14.4">
      <c r="A368" s="427"/>
      <c r="B368" s="428" t="s">
        <v>455</v>
      </c>
      <c r="C368" s="321">
        <v>2</v>
      </c>
      <c r="D368" s="321"/>
      <c r="E368" s="321"/>
      <c r="F368" s="429">
        <f t="shared" si="80"/>
        <v>2</v>
      </c>
      <c r="G368" s="203">
        <v>39970</v>
      </c>
      <c r="H368" s="203">
        <v>44000</v>
      </c>
      <c r="I368" s="204"/>
      <c r="J368" s="205">
        <f t="shared" si="81"/>
        <v>0</v>
      </c>
      <c r="K368" s="205">
        <f t="shared" si="82"/>
        <v>0</v>
      </c>
      <c r="L368" s="430">
        <f t="shared" si="83"/>
        <v>79940</v>
      </c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</row>
    <row r="369" spans="1:26" ht="14.4">
      <c r="A369" s="427"/>
      <c r="B369" s="428" t="s">
        <v>456</v>
      </c>
      <c r="C369" s="431">
        <v>0</v>
      </c>
      <c r="D369" s="321"/>
      <c r="E369" s="321"/>
      <c r="F369" s="429">
        <f t="shared" si="80"/>
        <v>0</v>
      </c>
      <c r="G369" s="203">
        <v>18300</v>
      </c>
      <c r="H369" s="203">
        <v>21000</v>
      </c>
      <c r="I369" s="204"/>
      <c r="J369" s="205">
        <f t="shared" si="81"/>
        <v>0</v>
      </c>
      <c r="K369" s="205">
        <f t="shared" si="82"/>
        <v>0</v>
      </c>
      <c r="L369" s="430">
        <f t="shared" si="83"/>
        <v>0</v>
      </c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</row>
    <row r="370" spans="1:26" ht="14.4">
      <c r="A370" s="427"/>
      <c r="B370" s="428" t="s">
        <v>457</v>
      </c>
      <c r="C370" s="431">
        <v>0</v>
      </c>
      <c r="D370" s="321"/>
      <c r="E370" s="321"/>
      <c r="F370" s="429">
        <f t="shared" si="80"/>
        <v>0</v>
      </c>
      <c r="G370" s="203">
        <v>286000</v>
      </c>
      <c r="H370" s="203">
        <v>320000</v>
      </c>
      <c r="I370" s="204"/>
      <c r="J370" s="205">
        <f t="shared" si="81"/>
        <v>0</v>
      </c>
      <c r="K370" s="205">
        <f t="shared" si="82"/>
        <v>0</v>
      </c>
      <c r="L370" s="430">
        <f t="shared" si="83"/>
        <v>0</v>
      </c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</row>
    <row r="371" spans="1:26" ht="14.4">
      <c r="A371" s="427"/>
      <c r="B371" s="428" t="s">
        <v>458</v>
      </c>
      <c r="C371" s="431">
        <v>23</v>
      </c>
      <c r="D371" s="321"/>
      <c r="E371" s="321"/>
      <c r="F371" s="429">
        <f t="shared" si="80"/>
        <v>23</v>
      </c>
      <c r="G371" s="203">
        <v>132000</v>
      </c>
      <c r="H371" s="203">
        <v>145000</v>
      </c>
      <c r="I371" s="204"/>
      <c r="J371" s="205">
        <f t="shared" si="81"/>
        <v>0</v>
      </c>
      <c r="K371" s="205">
        <f t="shared" si="82"/>
        <v>0</v>
      </c>
      <c r="L371" s="430">
        <f t="shared" si="83"/>
        <v>3036000</v>
      </c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</row>
    <row r="372" spans="1:26" ht="14.4">
      <c r="A372" s="427"/>
      <c r="B372" s="428" t="s">
        <v>664</v>
      </c>
      <c r="C372" s="431">
        <v>10</v>
      </c>
      <c r="D372" s="321"/>
      <c r="E372" s="321"/>
      <c r="F372" s="429">
        <f t="shared" si="80"/>
        <v>10</v>
      </c>
      <c r="G372" s="203">
        <v>130000</v>
      </c>
      <c r="H372" s="203">
        <v>39000</v>
      </c>
      <c r="I372" s="204"/>
      <c r="J372" s="205">
        <f t="shared" si="81"/>
        <v>0</v>
      </c>
      <c r="K372" s="205">
        <f t="shared" si="82"/>
        <v>0</v>
      </c>
      <c r="L372" s="430">
        <f t="shared" si="83"/>
        <v>1300000</v>
      </c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</row>
    <row r="373" spans="1:26" ht="14.4">
      <c r="A373" s="427"/>
      <c r="B373" s="428" t="s">
        <v>460</v>
      </c>
      <c r="C373" s="431">
        <v>0</v>
      </c>
      <c r="D373" s="321"/>
      <c r="E373" s="321"/>
      <c r="F373" s="429">
        <f t="shared" si="80"/>
        <v>0</v>
      </c>
      <c r="G373" s="203">
        <v>75300</v>
      </c>
      <c r="H373" s="203">
        <v>78000</v>
      </c>
      <c r="I373" s="204"/>
      <c r="J373" s="205">
        <f t="shared" ref="J373:J429" si="84">+I373*H373</f>
        <v>0</v>
      </c>
      <c r="K373" s="205">
        <f t="shared" si="82"/>
        <v>0</v>
      </c>
      <c r="L373" s="430">
        <f t="shared" si="83"/>
        <v>0</v>
      </c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</row>
    <row r="374" spans="1:26" ht="14.4">
      <c r="A374" s="427"/>
      <c r="B374" s="428" t="s">
        <v>461</v>
      </c>
      <c r="C374" s="431"/>
      <c r="D374" s="321"/>
      <c r="E374" s="321"/>
      <c r="F374" s="429">
        <f t="shared" si="80"/>
        <v>0</v>
      </c>
      <c r="G374" s="203">
        <v>156500</v>
      </c>
      <c r="H374" s="203">
        <v>160000</v>
      </c>
      <c r="I374" s="204"/>
      <c r="J374" s="205">
        <f t="shared" si="84"/>
        <v>0</v>
      </c>
      <c r="K374" s="205">
        <f t="shared" si="82"/>
        <v>0</v>
      </c>
      <c r="L374" s="430">
        <f t="shared" si="83"/>
        <v>0</v>
      </c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</row>
    <row r="375" spans="1:26" ht="14.4">
      <c r="A375" s="427"/>
      <c r="B375" s="428" t="s">
        <v>462</v>
      </c>
      <c r="C375" s="431">
        <v>2</v>
      </c>
      <c r="D375" s="321"/>
      <c r="E375" s="321"/>
      <c r="F375" s="429">
        <f t="shared" si="80"/>
        <v>2</v>
      </c>
      <c r="G375" s="203">
        <v>124500</v>
      </c>
      <c r="H375" s="203">
        <v>127000</v>
      </c>
      <c r="I375" s="204"/>
      <c r="J375" s="205">
        <f t="shared" si="84"/>
        <v>0</v>
      </c>
      <c r="K375" s="205">
        <f t="shared" si="82"/>
        <v>0</v>
      </c>
      <c r="L375" s="430">
        <f t="shared" si="83"/>
        <v>249000</v>
      </c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</row>
    <row r="376" spans="1:26" ht="14.4">
      <c r="A376" s="427"/>
      <c r="B376" s="428" t="s">
        <v>463</v>
      </c>
      <c r="C376" s="431">
        <v>0</v>
      </c>
      <c r="D376" s="321"/>
      <c r="E376" s="321"/>
      <c r="F376" s="429">
        <f t="shared" si="80"/>
        <v>0</v>
      </c>
      <c r="G376" s="203">
        <v>74300</v>
      </c>
      <c r="H376" s="203">
        <v>78000</v>
      </c>
      <c r="I376" s="204"/>
      <c r="J376" s="205">
        <f t="shared" si="84"/>
        <v>0</v>
      </c>
      <c r="K376" s="205">
        <f t="shared" si="82"/>
        <v>0</v>
      </c>
      <c r="L376" s="430">
        <f t="shared" si="83"/>
        <v>0</v>
      </c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</row>
    <row r="377" spans="1:26" ht="14.4">
      <c r="A377" s="427"/>
      <c r="B377" s="428" t="s">
        <v>665</v>
      </c>
      <c r="C377" s="431">
        <v>2</v>
      </c>
      <c r="D377" s="321"/>
      <c r="E377" s="321"/>
      <c r="F377" s="429">
        <f t="shared" si="80"/>
        <v>2</v>
      </c>
      <c r="G377" s="203">
        <v>55000</v>
      </c>
      <c r="H377" s="203">
        <v>60000</v>
      </c>
      <c r="I377" s="204"/>
      <c r="J377" s="205">
        <f t="shared" si="84"/>
        <v>0</v>
      </c>
      <c r="K377" s="205">
        <f t="shared" si="82"/>
        <v>0</v>
      </c>
      <c r="L377" s="430">
        <f t="shared" si="83"/>
        <v>110000</v>
      </c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</row>
    <row r="378" spans="1:26" ht="14.4">
      <c r="A378" s="427"/>
      <c r="B378" s="428" t="s">
        <v>465</v>
      </c>
      <c r="C378" s="431">
        <v>2</v>
      </c>
      <c r="D378" s="321"/>
      <c r="E378" s="321"/>
      <c r="F378" s="429">
        <f t="shared" si="80"/>
        <v>2</v>
      </c>
      <c r="G378" s="203">
        <v>47725</v>
      </c>
      <c r="H378" s="203">
        <v>53000</v>
      </c>
      <c r="I378" s="204"/>
      <c r="J378" s="205">
        <f t="shared" si="84"/>
        <v>0</v>
      </c>
      <c r="K378" s="205">
        <f t="shared" si="82"/>
        <v>0</v>
      </c>
      <c r="L378" s="430">
        <f t="shared" si="83"/>
        <v>95450</v>
      </c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</row>
    <row r="379" spans="1:26" ht="14.4">
      <c r="A379" s="427"/>
      <c r="B379" s="428" t="s">
        <v>466</v>
      </c>
      <c r="C379" s="431">
        <v>2</v>
      </c>
      <c r="D379" s="321"/>
      <c r="E379" s="321"/>
      <c r="F379" s="429">
        <f t="shared" si="80"/>
        <v>2</v>
      </c>
      <c r="G379" s="203">
        <v>25888</v>
      </c>
      <c r="H379" s="203">
        <v>28500</v>
      </c>
      <c r="I379" s="204"/>
      <c r="J379" s="205">
        <f t="shared" si="84"/>
        <v>0</v>
      </c>
      <c r="K379" s="205">
        <f t="shared" si="82"/>
        <v>0</v>
      </c>
      <c r="L379" s="430">
        <f t="shared" si="83"/>
        <v>51776</v>
      </c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</row>
    <row r="380" spans="1:26" ht="14.4">
      <c r="A380" s="427"/>
      <c r="B380" s="428" t="s">
        <v>467</v>
      </c>
      <c r="C380" s="431">
        <v>1</v>
      </c>
      <c r="D380" s="321"/>
      <c r="E380" s="321"/>
      <c r="F380" s="429">
        <f t="shared" si="80"/>
        <v>1</v>
      </c>
      <c r="G380" s="203">
        <v>158300</v>
      </c>
      <c r="H380" s="203">
        <v>167000</v>
      </c>
      <c r="I380" s="204"/>
      <c r="J380" s="205">
        <f t="shared" si="84"/>
        <v>0</v>
      </c>
      <c r="K380" s="205">
        <f t="shared" si="82"/>
        <v>0</v>
      </c>
      <c r="L380" s="430">
        <f t="shared" si="83"/>
        <v>158300</v>
      </c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</row>
    <row r="381" spans="1:26" ht="14.4">
      <c r="A381" s="427"/>
      <c r="B381" s="428" t="s">
        <v>468</v>
      </c>
      <c r="C381" s="431">
        <v>3</v>
      </c>
      <c r="D381" s="321"/>
      <c r="E381" s="321"/>
      <c r="F381" s="429">
        <f t="shared" si="80"/>
        <v>3</v>
      </c>
      <c r="G381" s="203">
        <v>129000</v>
      </c>
      <c r="H381" s="203">
        <v>136000</v>
      </c>
      <c r="I381" s="204"/>
      <c r="J381" s="205">
        <f t="shared" si="84"/>
        <v>0</v>
      </c>
      <c r="K381" s="205">
        <f t="shared" si="82"/>
        <v>0</v>
      </c>
      <c r="L381" s="430">
        <f t="shared" si="83"/>
        <v>387000</v>
      </c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</row>
    <row r="382" spans="1:26" ht="14.4">
      <c r="A382" s="427"/>
      <c r="B382" s="428" t="s">
        <v>469</v>
      </c>
      <c r="C382" s="431">
        <v>3</v>
      </c>
      <c r="D382" s="321"/>
      <c r="E382" s="321"/>
      <c r="F382" s="429">
        <f t="shared" si="80"/>
        <v>3</v>
      </c>
      <c r="G382" s="203">
        <v>129000</v>
      </c>
      <c r="H382" s="203">
        <v>131000</v>
      </c>
      <c r="I382" s="204"/>
      <c r="J382" s="205">
        <f t="shared" si="84"/>
        <v>0</v>
      </c>
      <c r="K382" s="205">
        <f t="shared" si="82"/>
        <v>0</v>
      </c>
      <c r="L382" s="430">
        <f t="shared" si="83"/>
        <v>387000</v>
      </c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</row>
    <row r="383" spans="1:26" ht="14.4">
      <c r="A383" s="427"/>
      <c r="B383" s="428" t="s">
        <v>470</v>
      </c>
      <c r="C383" s="431">
        <v>3</v>
      </c>
      <c r="D383" s="321"/>
      <c r="E383" s="321"/>
      <c r="F383" s="429">
        <f t="shared" si="80"/>
        <v>3</v>
      </c>
      <c r="G383" s="203">
        <v>129068</v>
      </c>
      <c r="H383" s="203">
        <v>131000</v>
      </c>
      <c r="I383" s="204"/>
      <c r="J383" s="205">
        <f t="shared" si="84"/>
        <v>0</v>
      </c>
      <c r="K383" s="205">
        <f t="shared" si="82"/>
        <v>0</v>
      </c>
      <c r="L383" s="430">
        <f t="shared" si="83"/>
        <v>387204</v>
      </c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</row>
    <row r="384" spans="1:26" ht="14.4">
      <c r="A384" s="427"/>
      <c r="B384" s="428" t="s">
        <v>471</v>
      </c>
      <c r="C384" s="431">
        <v>4</v>
      </c>
      <c r="D384" s="321"/>
      <c r="E384" s="321"/>
      <c r="F384" s="429">
        <f t="shared" si="80"/>
        <v>4</v>
      </c>
      <c r="G384" s="203">
        <v>128936</v>
      </c>
      <c r="H384" s="203">
        <v>131000</v>
      </c>
      <c r="I384" s="204"/>
      <c r="J384" s="205">
        <f t="shared" si="84"/>
        <v>0</v>
      </c>
      <c r="K384" s="205">
        <f t="shared" si="82"/>
        <v>0</v>
      </c>
      <c r="L384" s="430">
        <f t="shared" si="83"/>
        <v>515744</v>
      </c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</row>
    <row r="385" spans="1:26" ht="14.4">
      <c r="A385" s="427"/>
      <c r="B385" s="428" t="s">
        <v>472</v>
      </c>
      <c r="C385" s="431">
        <v>4</v>
      </c>
      <c r="D385" s="321"/>
      <c r="E385" s="321"/>
      <c r="F385" s="429">
        <f t="shared" si="80"/>
        <v>4</v>
      </c>
      <c r="G385" s="203">
        <v>69344</v>
      </c>
      <c r="H385" s="203">
        <v>78000</v>
      </c>
      <c r="I385" s="204"/>
      <c r="J385" s="205">
        <f t="shared" si="84"/>
        <v>0</v>
      </c>
      <c r="K385" s="205">
        <f t="shared" si="82"/>
        <v>0</v>
      </c>
      <c r="L385" s="430">
        <f t="shared" si="83"/>
        <v>277376</v>
      </c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</row>
    <row r="386" spans="1:26" ht="14.4">
      <c r="A386" s="427"/>
      <c r="B386" s="428" t="s">
        <v>666</v>
      </c>
      <c r="C386" s="431">
        <v>1</v>
      </c>
      <c r="D386" s="321"/>
      <c r="E386" s="321"/>
      <c r="F386" s="429">
        <f t="shared" si="80"/>
        <v>1</v>
      </c>
      <c r="G386" s="203">
        <v>72000</v>
      </c>
      <c r="H386" s="203">
        <v>78000</v>
      </c>
      <c r="I386" s="204"/>
      <c r="J386" s="205">
        <f t="shared" si="84"/>
        <v>0</v>
      </c>
      <c r="K386" s="205">
        <f t="shared" si="82"/>
        <v>0</v>
      </c>
      <c r="L386" s="430">
        <f t="shared" si="83"/>
        <v>72000</v>
      </c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</row>
    <row r="387" spans="1:26" ht="14.4">
      <c r="A387" s="427"/>
      <c r="B387" s="428" t="s">
        <v>473</v>
      </c>
      <c r="C387" s="431">
        <v>5</v>
      </c>
      <c r="D387" s="321"/>
      <c r="E387" s="321"/>
      <c r="F387" s="429">
        <f t="shared" si="80"/>
        <v>5</v>
      </c>
      <c r="G387" s="203">
        <v>16500</v>
      </c>
      <c r="H387" s="203">
        <v>19000</v>
      </c>
      <c r="I387" s="204"/>
      <c r="J387" s="205">
        <f t="shared" si="84"/>
        <v>0</v>
      </c>
      <c r="K387" s="205">
        <f t="shared" si="82"/>
        <v>0</v>
      </c>
      <c r="L387" s="430">
        <f t="shared" si="83"/>
        <v>82500</v>
      </c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</row>
    <row r="388" spans="1:26" ht="14.4">
      <c r="A388" s="427"/>
      <c r="B388" s="428" t="s">
        <v>474</v>
      </c>
      <c r="C388" s="431">
        <v>2</v>
      </c>
      <c r="D388" s="321"/>
      <c r="E388" s="321"/>
      <c r="F388" s="429">
        <f t="shared" si="80"/>
        <v>2</v>
      </c>
      <c r="G388" s="203">
        <v>71500</v>
      </c>
      <c r="H388" s="203">
        <v>75500</v>
      </c>
      <c r="I388" s="204"/>
      <c r="J388" s="205">
        <f t="shared" si="84"/>
        <v>0</v>
      </c>
      <c r="K388" s="205">
        <f t="shared" si="82"/>
        <v>0</v>
      </c>
      <c r="L388" s="430">
        <f t="shared" si="83"/>
        <v>143000</v>
      </c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</row>
    <row r="389" spans="1:26" ht="14.4">
      <c r="A389" s="427"/>
      <c r="B389" s="428" t="s">
        <v>475</v>
      </c>
      <c r="C389" s="431">
        <v>3</v>
      </c>
      <c r="D389" s="321"/>
      <c r="E389" s="321"/>
      <c r="F389" s="429">
        <f t="shared" si="80"/>
        <v>3</v>
      </c>
      <c r="G389" s="203">
        <v>61227</v>
      </c>
      <c r="H389" s="203">
        <v>65000</v>
      </c>
      <c r="I389" s="204"/>
      <c r="J389" s="205">
        <f t="shared" si="84"/>
        <v>0</v>
      </c>
      <c r="K389" s="205">
        <f t="shared" si="82"/>
        <v>0</v>
      </c>
      <c r="L389" s="430">
        <f t="shared" si="83"/>
        <v>183681</v>
      </c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</row>
    <row r="390" spans="1:26" ht="14.4">
      <c r="A390" s="427"/>
      <c r="B390" s="428" t="s">
        <v>476</v>
      </c>
      <c r="C390" s="321"/>
      <c r="D390" s="321"/>
      <c r="E390" s="321"/>
      <c r="F390" s="429">
        <f t="shared" si="80"/>
        <v>0</v>
      </c>
      <c r="G390" s="203">
        <v>30000</v>
      </c>
      <c r="H390" s="203">
        <v>33000</v>
      </c>
      <c r="I390" s="204"/>
      <c r="J390" s="205">
        <f t="shared" si="84"/>
        <v>0</v>
      </c>
      <c r="K390" s="205">
        <f t="shared" si="82"/>
        <v>0</v>
      </c>
      <c r="L390" s="430">
        <f t="shared" si="83"/>
        <v>0</v>
      </c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</row>
    <row r="391" spans="1:26" ht="14.4">
      <c r="A391" s="427"/>
      <c r="B391" s="428" t="s">
        <v>477</v>
      </c>
      <c r="C391" s="321">
        <v>4</v>
      </c>
      <c r="D391" s="321"/>
      <c r="E391" s="321"/>
      <c r="F391" s="429">
        <f t="shared" si="80"/>
        <v>4</v>
      </c>
      <c r="G391" s="203">
        <v>18100</v>
      </c>
      <c r="H391" s="203">
        <v>20000</v>
      </c>
      <c r="I391" s="204"/>
      <c r="J391" s="205">
        <f t="shared" si="84"/>
        <v>0</v>
      </c>
      <c r="K391" s="205">
        <f t="shared" si="82"/>
        <v>0</v>
      </c>
      <c r="L391" s="430">
        <f t="shared" si="83"/>
        <v>72400</v>
      </c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</row>
    <row r="392" spans="1:26" ht="14.4">
      <c r="A392" s="427"/>
      <c r="B392" s="428" t="s">
        <v>478</v>
      </c>
      <c r="C392" s="431">
        <v>2</v>
      </c>
      <c r="D392" s="321"/>
      <c r="E392" s="321"/>
      <c r="F392" s="429">
        <f t="shared" si="80"/>
        <v>2</v>
      </c>
      <c r="G392" s="203">
        <v>67624</v>
      </c>
      <c r="H392" s="203">
        <v>72000</v>
      </c>
      <c r="I392" s="204"/>
      <c r="J392" s="205">
        <f t="shared" si="84"/>
        <v>0</v>
      </c>
      <c r="K392" s="205">
        <f t="shared" si="82"/>
        <v>0</v>
      </c>
      <c r="L392" s="430">
        <f t="shared" si="83"/>
        <v>135248</v>
      </c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</row>
    <row r="393" spans="1:26" ht="14.4">
      <c r="A393" s="427"/>
      <c r="B393" s="428" t="s">
        <v>479</v>
      </c>
      <c r="C393" s="431"/>
      <c r="D393" s="321"/>
      <c r="E393" s="321"/>
      <c r="F393" s="429">
        <f t="shared" si="80"/>
        <v>0</v>
      </c>
      <c r="G393" s="203">
        <v>90000</v>
      </c>
      <c r="H393" s="203">
        <v>99000</v>
      </c>
      <c r="I393" s="204"/>
      <c r="J393" s="205">
        <f t="shared" si="84"/>
        <v>0</v>
      </c>
      <c r="K393" s="205">
        <f t="shared" si="82"/>
        <v>0</v>
      </c>
      <c r="L393" s="430">
        <f t="shared" si="83"/>
        <v>0</v>
      </c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</row>
    <row r="394" spans="1:26" ht="14.4">
      <c r="A394" s="427"/>
      <c r="B394" s="428" t="s">
        <v>480</v>
      </c>
      <c r="C394" s="321">
        <v>3</v>
      </c>
      <c r="D394" s="321"/>
      <c r="E394" s="321"/>
      <c r="F394" s="429">
        <f t="shared" si="80"/>
        <v>3</v>
      </c>
      <c r="G394" s="203">
        <v>50092</v>
      </c>
      <c r="H394" s="203">
        <v>55000</v>
      </c>
      <c r="I394" s="204"/>
      <c r="J394" s="205">
        <f t="shared" si="84"/>
        <v>0</v>
      </c>
      <c r="K394" s="205">
        <f t="shared" si="82"/>
        <v>0</v>
      </c>
      <c r="L394" s="430">
        <f t="shared" si="83"/>
        <v>150276</v>
      </c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</row>
    <row r="395" spans="1:26" ht="14.4">
      <c r="A395" s="427"/>
      <c r="B395" s="428" t="s">
        <v>481</v>
      </c>
      <c r="C395" s="431">
        <v>3</v>
      </c>
      <c r="D395" s="321"/>
      <c r="E395" s="321"/>
      <c r="F395" s="429">
        <f t="shared" si="80"/>
        <v>3</v>
      </c>
      <c r="G395" s="203">
        <v>27239</v>
      </c>
      <c r="H395" s="203">
        <v>30000</v>
      </c>
      <c r="I395" s="204"/>
      <c r="J395" s="205">
        <f t="shared" si="84"/>
        <v>0</v>
      </c>
      <c r="K395" s="205">
        <f t="shared" si="82"/>
        <v>0</v>
      </c>
      <c r="L395" s="430">
        <f t="shared" si="83"/>
        <v>81717</v>
      </c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</row>
    <row r="396" spans="1:26" ht="14.4">
      <c r="A396" s="427"/>
      <c r="B396" s="428" t="s">
        <v>482</v>
      </c>
      <c r="C396" s="431">
        <v>0</v>
      </c>
      <c r="D396" s="321"/>
      <c r="E396" s="321"/>
      <c r="F396" s="429">
        <f t="shared" si="80"/>
        <v>0</v>
      </c>
      <c r="G396" s="203">
        <v>13838</v>
      </c>
      <c r="H396" s="203">
        <v>16000</v>
      </c>
      <c r="I396" s="204"/>
      <c r="J396" s="205">
        <f t="shared" si="84"/>
        <v>0</v>
      </c>
      <c r="K396" s="205">
        <f t="shared" si="82"/>
        <v>0</v>
      </c>
      <c r="L396" s="430">
        <f t="shared" si="83"/>
        <v>0</v>
      </c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</row>
    <row r="397" spans="1:26" ht="14.4">
      <c r="A397" s="427"/>
      <c r="B397" s="428" t="s">
        <v>483</v>
      </c>
      <c r="C397" s="321">
        <v>2</v>
      </c>
      <c r="D397" s="321"/>
      <c r="E397" s="321"/>
      <c r="F397" s="429">
        <f t="shared" si="80"/>
        <v>2</v>
      </c>
      <c r="G397" s="203">
        <v>79800</v>
      </c>
      <c r="H397" s="203">
        <v>84000</v>
      </c>
      <c r="I397" s="204"/>
      <c r="J397" s="205">
        <f t="shared" si="84"/>
        <v>0</v>
      </c>
      <c r="K397" s="205">
        <f t="shared" si="82"/>
        <v>0</v>
      </c>
      <c r="L397" s="430">
        <f t="shared" si="83"/>
        <v>159600</v>
      </c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</row>
    <row r="398" spans="1:26" ht="14.4">
      <c r="A398" s="427"/>
      <c r="B398" s="428" t="s">
        <v>484</v>
      </c>
      <c r="C398" s="431">
        <v>6</v>
      </c>
      <c r="D398" s="321"/>
      <c r="E398" s="321"/>
      <c r="F398" s="429">
        <f t="shared" si="80"/>
        <v>6</v>
      </c>
      <c r="G398" s="203">
        <v>60000</v>
      </c>
      <c r="H398" s="203">
        <v>65000</v>
      </c>
      <c r="I398" s="204"/>
      <c r="J398" s="205">
        <f t="shared" si="84"/>
        <v>0</v>
      </c>
      <c r="K398" s="205">
        <f t="shared" si="82"/>
        <v>0</v>
      </c>
      <c r="L398" s="430">
        <f t="shared" si="83"/>
        <v>360000</v>
      </c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</row>
    <row r="399" spans="1:26" ht="14.4">
      <c r="A399" s="427"/>
      <c r="B399" s="428" t="s">
        <v>485</v>
      </c>
      <c r="C399" s="431">
        <v>2</v>
      </c>
      <c r="D399" s="321"/>
      <c r="E399" s="321"/>
      <c r="F399" s="429">
        <f t="shared" si="80"/>
        <v>2</v>
      </c>
      <c r="G399" s="203">
        <v>38000</v>
      </c>
      <c r="H399" s="203">
        <v>41000</v>
      </c>
      <c r="I399" s="204"/>
      <c r="J399" s="205">
        <f t="shared" si="84"/>
        <v>0</v>
      </c>
      <c r="K399" s="205">
        <f t="shared" si="82"/>
        <v>0</v>
      </c>
      <c r="L399" s="430">
        <f t="shared" si="83"/>
        <v>76000</v>
      </c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</row>
    <row r="400" spans="1:26" ht="14.4">
      <c r="A400" s="427"/>
      <c r="B400" s="428" t="s">
        <v>486</v>
      </c>
      <c r="C400" s="431">
        <v>2</v>
      </c>
      <c r="D400" s="321"/>
      <c r="E400" s="321"/>
      <c r="F400" s="429">
        <f t="shared" si="80"/>
        <v>2</v>
      </c>
      <c r="G400" s="203">
        <v>19000</v>
      </c>
      <c r="H400" s="203">
        <v>22000</v>
      </c>
      <c r="I400" s="204"/>
      <c r="J400" s="205">
        <f t="shared" si="84"/>
        <v>0</v>
      </c>
      <c r="K400" s="205">
        <f t="shared" si="82"/>
        <v>0</v>
      </c>
      <c r="L400" s="430">
        <f t="shared" si="83"/>
        <v>38000</v>
      </c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</row>
    <row r="401" spans="1:26" ht="14.4">
      <c r="A401" s="427"/>
      <c r="B401" s="428" t="s">
        <v>487</v>
      </c>
      <c r="C401" s="431">
        <v>0</v>
      </c>
      <c r="D401" s="321"/>
      <c r="E401" s="321"/>
      <c r="F401" s="429">
        <f t="shared" si="80"/>
        <v>0</v>
      </c>
      <c r="G401" s="203">
        <v>59500</v>
      </c>
      <c r="H401" s="203">
        <v>63000</v>
      </c>
      <c r="I401" s="204"/>
      <c r="J401" s="205">
        <f t="shared" si="84"/>
        <v>0</v>
      </c>
      <c r="K401" s="205">
        <f t="shared" si="82"/>
        <v>0</v>
      </c>
      <c r="L401" s="430">
        <f t="shared" si="83"/>
        <v>0</v>
      </c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</row>
    <row r="402" spans="1:26" ht="14.4">
      <c r="A402" s="427"/>
      <c r="B402" s="428" t="s">
        <v>488</v>
      </c>
      <c r="C402" s="431">
        <v>5</v>
      </c>
      <c r="D402" s="321"/>
      <c r="E402" s="321"/>
      <c r="F402" s="429">
        <f t="shared" si="80"/>
        <v>5</v>
      </c>
      <c r="G402" s="203">
        <v>44800</v>
      </c>
      <c r="H402" s="203">
        <v>48000</v>
      </c>
      <c r="I402" s="204"/>
      <c r="J402" s="205">
        <f t="shared" si="84"/>
        <v>0</v>
      </c>
      <c r="K402" s="205">
        <f t="shared" si="82"/>
        <v>0</v>
      </c>
      <c r="L402" s="430">
        <f t="shared" si="83"/>
        <v>224000</v>
      </c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</row>
    <row r="403" spans="1:26" ht="14.4">
      <c r="A403" s="427"/>
      <c r="B403" s="428" t="s">
        <v>489</v>
      </c>
      <c r="C403" s="431"/>
      <c r="D403" s="321"/>
      <c r="E403" s="321"/>
      <c r="F403" s="429">
        <f t="shared" si="80"/>
        <v>0</v>
      </c>
      <c r="G403" s="203">
        <v>26800</v>
      </c>
      <c r="H403" s="203">
        <v>30000</v>
      </c>
      <c r="I403" s="204"/>
      <c r="J403" s="205">
        <f t="shared" si="84"/>
        <v>0</v>
      </c>
      <c r="K403" s="205">
        <f t="shared" si="82"/>
        <v>0</v>
      </c>
      <c r="L403" s="430">
        <f t="shared" si="83"/>
        <v>0</v>
      </c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</row>
    <row r="404" spans="1:26" ht="14.4">
      <c r="A404" s="427"/>
      <c r="B404" s="428" t="s">
        <v>490</v>
      </c>
      <c r="C404" s="431">
        <v>4</v>
      </c>
      <c r="D404" s="321"/>
      <c r="E404" s="321"/>
      <c r="F404" s="429">
        <f t="shared" si="80"/>
        <v>4</v>
      </c>
      <c r="G404" s="203">
        <v>13000</v>
      </c>
      <c r="H404" s="203">
        <v>15000</v>
      </c>
      <c r="I404" s="204"/>
      <c r="J404" s="205">
        <f t="shared" si="84"/>
        <v>0</v>
      </c>
      <c r="K404" s="205">
        <f t="shared" si="82"/>
        <v>0</v>
      </c>
      <c r="L404" s="430">
        <f t="shared" si="83"/>
        <v>52000</v>
      </c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</row>
    <row r="405" spans="1:26" ht="14.4">
      <c r="A405" s="427"/>
      <c r="B405" s="428" t="s">
        <v>491</v>
      </c>
      <c r="C405" s="431">
        <v>4</v>
      </c>
      <c r="D405" s="321"/>
      <c r="E405" s="321"/>
      <c r="F405" s="429">
        <f t="shared" si="80"/>
        <v>4</v>
      </c>
      <c r="G405" s="203">
        <v>39200</v>
      </c>
      <c r="H405" s="203">
        <v>45000</v>
      </c>
      <c r="I405" s="204"/>
      <c r="J405" s="205">
        <f t="shared" si="84"/>
        <v>0</v>
      </c>
      <c r="K405" s="205">
        <f t="shared" si="82"/>
        <v>0</v>
      </c>
      <c r="L405" s="430">
        <f t="shared" si="83"/>
        <v>156800</v>
      </c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</row>
    <row r="406" spans="1:26" ht="14.4">
      <c r="A406" s="427"/>
      <c r="B406" s="428" t="s">
        <v>492</v>
      </c>
      <c r="C406" s="431">
        <v>60</v>
      </c>
      <c r="D406" s="321"/>
      <c r="E406" s="321"/>
      <c r="F406" s="429">
        <f t="shared" si="80"/>
        <v>60</v>
      </c>
      <c r="G406" s="203">
        <v>43500</v>
      </c>
      <c r="H406" s="203">
        <v>45000</v>
      </c>
      <c r="I406" s="204"/>
      <c r="J406" s="205">
        <f t="shared" si="84"/>
        <v>0</v>
      </c>
      <c r="K406" s="205">
        <f t="shared" si="82"/>
        <v>0</v>
      </c>
      <c r="L406" s="430">
        <f t="shared" si="83"/>
        <v>2610000</v>
      </c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</row>
    <row r="407" spans="1:26" ht="14.4">
      <c r="A407" s="427"/>
      <c r="B407" s="428" t="s">
        <v>493</v>
      </c>
      <c r="C407" s="431">
        <v>7</v>
      </c>
      <c r="D407" s="321"/>
      <c r="E407" s="321"/>
      <c r="F407" s="429">
        <f t="shared" si="80"/>
        <v>7</v>
      </c>
      <c r="G407" s="203">
        <v>23100</v>
      </c>
      <c r="H407" s="203">
        <v>25000</v>
      </c>
      <c r="I407" s="204"/>
      <c r="J407" s="205">
        <f t="shared" si="84"/>
        <v>0</v>
      </c>
      <c r="K407" s="205">
        <f t="shared" si="82"/>
        <v>0</v>
      </c>
      <c r="L407" s="430">
        <f t="shared" si="83"/>
        <v>161700</v>
      </c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</row>
    <row r="408" spans="1:26" ht="14.4">
      <c r="A408" s="427"/>
      <c r="B408" s="428" t="s">
        <v>494</v>
      </c>
      <c r="C408" s="431"/>
      <c r="D408" s="321"/>
      <c r="E408" s="321"/>
      <c r="F408" s="429">
        <f t="shared" si="80"/>
        <v>0</v>
      </c>
      <c r="G408" s="203">
        <v>25400</v>
      </c>
      <c r="H408" s="203">
        <v>27000</v>
      </c>
      <c r="I408" s="204"/>
      <c r="J408" s="205">
        <f t="shared" si="84"/>
        <v>0</v>
      </c>
      <c r="K408" s="205">
        <f t="shared" si="82"/>
        <v>0</v>
      </c>
      <c r="L408" s="430">
        <f t="shared" si="83"/>
        <v>0</v>
      </c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</row>
    <row r="409" spans="1:26" ht="14.4">
      <c r="A409" s="427"/>
      <c r="B409" s="428" t="s">
        <v>495</v>
      </c>
      <c r="C409" s="431">
        <v>0</v>
      </c>
      <c r="D409" s="321"/>
      <c r="E409" s="321"/>
      <c r="F409" s="429">
        <f t="shared" si="80"/>
        <v>0</v>
      </c>
      <c r="G409" s="203">
        <v>47400</v>
      </c>
      <c r="H409" s="203">
        <v>48000</v>
      </c>
      <c r="I409" s="204"/>
      <c r="J409" s="205">
        <f t="shared" si="84"/>
        <v>0</v>
      </c>
      <c r="K409" s="205">
        <f t="shared" si="82"/>
        <v>0</v>
      </c>
      <c r="L409" s="430">
        <f t="shared" si="83"/>
        <v>0</v>
      </c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</row>
    <row r="410" spans="1:26" ht="14.4">
      <c r="A410" s="427"/>
      <c r="B410" s="428" t="s">
        <v>496</v>
      </c>
      <c r="C410" s="431">
        <v>2</v>
      </c>
      <c r="D410" s="321"/>
      <c r="E410" s="321"/>
      <c r="F410" s="429">
        <f t="shared" si="80"/>
        <v>2</v>
      </c>
      <c r="G410" s="203">
        <v>93900</v>
      </c>
      <c r="H410" s="203">
        <v>98000</v>
      </c>
      <c r="I410" s="204"/>
      <c r="J410" s="205">
        <f t="shared" si="84"/>
        <v>0</v>
      </c>
      <c r="K410" s="205">
        <f t="shared" si="82"/>
        <v>0</v>
      </c>
      <c r="L410" s="430">
        <f t="shared" si="83"/>
        <v>187800</v>
      </c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</row>
    <row r="411" spans="1:26" ht="14.4">
      <c r="A411" s="427"/>
      <c r="B411" s="428" t="s">
        <v>497</v>
      </c>
      <c r="C411" s="431">
        <v>1</v>
      </c>
      <c r="D411" s="321"/>
      <c r="E411" s="321"/>
      <c r="F411" s="429">
        <f t="shared" si="80"/>
        <v>1</v>
      </c>
      <c r="G411" s="203">
        <v>45400</v>
      </c>
      <c r="H411" s="203">
        <v>50000</v>
      </c>
      <c r="I411" s="204"/>
      <c r="J411" s="205">
        <f t="shared" si="84"/>
        <v>0</v>
      </c>
      <c r="K411" s="205">
        <f t="shared" si="82"/>
        <v>0</v>
      </c>
      <c r="L411" s="430">
        <f t="shared" si="83"/>
        <v>45400</v>
      </c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</row>
    <row r="412" spans="1:26" ht="14.4">
      <c r="A412" s="427"/>
      <c r="B412" s="428" t="s">
        <v>498</v>
      </c>
      <c r="C412" s="431"/>
      <c r="D412" s="321"/>
      <c r="E412" s="321"/>
      <c r="F412" s="429">
        <f t="shared" si="80"/>
        <v>0</v>
      </c>
      <c r="G412" s="203">
        <v>42800</v>
      </c>
      <c r="H412" s="203">
        <v>46000</v>
      </c>
      <c r="I412" s="204"/>
      <c r="J412" s="205">
        <f t="shared" si="84"/>
        <v>0</v>
      </c>
      <c r="K412" s="205">
        <f t="shared" si="82"/>
        <v>0</v>
      </c>
      <c r="L412" s="430">
        <f t="shared" si="83"/>
        <v>0</v>
      </c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</row>
    <row r="413" spans="1:26" ht="14.4">
      <c r="A413" s="427"/>
      <c r="B413" s="428" t="s">
        <v>499</v>
      </c>
      <c r="C413" s="431"/>
      <c r="D413" s="321"/>
      <c r="E413" s="321"/>
      <c r="F413" s="429">
        <f t="shared" si="80"/>
        <v>0</v>
      </c>
      <c r="G413" s="203">
        <v>28000</v>
      </c>
      <c r="H413" s="203">
        <v>30000</v>
      </c>
      <c r="I413" s="204"/>
      <c r="J413" s="205">
        <f t="shared" si="84"/>
        <v>0</v>
      </c>
      <c r="K413" s="205">
        <f t="shared" si="82"/>
        <v>0</v>
      </c>
      <c r="L413" s="430">
        <f t="shared" si="83"/>
        <v>0</v>
      </c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</row>
    <row r="414" spans="1:26" ht="14.4">
      <c r="A414" s="427"/>
      <c r="B414" s="428" t="s">
        <v>500</v>
      </c>
      <c r="C414" s="431">
        <v>3</v>
      </c>
      <c r="D414" s="321"/>
      <c r="E414" s="321"/>
      <c r="F414" s="429">
        <f t="shared" si="80"/>
        <v>3</v>
      </c>
      <c r="G414" s="203">
        <v>34400</v>
      </c>
      <c r="H414" s="203">
        <v>37000</v>
      </c>
      <c r="I414" s="204"/>
      <c r="J414" s="205">
        <f t="shared" si="84"/>
        <v>0</v>
      </c>
      <c r="K414" s="205">
        <f t="shared" si="82"/>
        <v>0</v>
      </c>
      <c r="L414" s="430">
        <f t="shared" si="83"/>
        <v>103200</v>
      </c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</row>
    <row r="415" spans="1:26" ht="14.4">
      <c r="A415" s="427"/>
      <c r="B415" s="428" t="s">
        <v>501</v>
      </c>
      <c r="C415" s="431">
        <v>6</v>
      </c>
      <c r="D415" s="321"/>
      <c r="E415" s="321"/>
      <c r="F415" s="429">
        <f t="shared" si="80"/>
        <v>6</v>
      </c>
      <c r="G415" s="203">
        <v>148207</v>
      </c>
      <c r="H415" s="203">
        <v>135000</v>
      </c>
      <c r="I415" s="204"/>
      <c r="J415" s="205">
        <f t="shared" si="84"/>
        <v>0</v>
      </c>
      <c r="K415" s="205">
        <f t="shared" si="82"/>
        <v>0</v>
      </c>
      <c r="L415" s="430">
        <f t="shared" si="83"/>
        <v>889242</v>
      </c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</row>
    <row r="416" spans="1:26" ht="14.4">
      <c r="A416" s="427"/>
      <c r="B416" s="428" t="s">
        <v>502</v>
      </c>
      <c r="C416" s="321">
        <v>4</v>
      </c>
      <c r="D416" s="321"/>
      <c r="E416" s="321"/>
      <c r="F416" s="429">
        <f t="shared" si="80"/>
        <v>4</v>
      </c>
      <c r="G416" s="203">
        <v>87472</v>
      </c>
      <c r="H416" s="203">
        <v>84000</v>
      </c>
      <c r="I416" s="213"/>
      <c r="J416" s="205">
        <f t="shared" si="84"/>
        <v>0</v>
      </c>
      <c r="K416" s="205">
        <f t="shared" si="82"/>
        <v>0</v>
      </c>
      <c r="L416" s="430">
        <f t="shared" si="83"/>
        <v>349888</v>
      </c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</row>
    <row r="417" spans="1:26" ht="14.4">
      <c r="A417" s="427"/>
      <c r="B417" s="428" t="s">
        <v>503</v>
      </c>
      <c r="C417" s="431">
        <v>11</v>
      </c>
      <c r="D417" s="321"/>
      <c r="E417" s="321"/>
      <c r="F417" s="429">
        <f t="shared" si="80"/>
        <v>11</v>
      </c>
      <c r="G417" s="203">
        <v>65456</v>
      </c>
      <c r="H417" s="432">
        <v>63000</v>
      </c>
      <c r="I417" s="433"/>
      <c r="J417" s="205">
        <f t="shared" si="84"/>
        <v>0</v>
      </c>
      <c r="K417" s="205">
        <f t="shared" si="82"/>
        <v>0</v>
      </c>
      <c r="L417" s="430">
        <f t="shared" si="83"/>
        <v>720016</v>
      </c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</row>
    <row r="418" spans="1:26" ht="14.4">
      <c r="A418" s="427"/>
      <c r="B418" s="428" t="s">
        <v>504</v>
      </c>
      <c r="C418" s="431">
        <v>2</v>
      </c>
      <c r="D418" s="321"/>
      <c r="E418" s="321"/>
      <c r="F418" s="429">
        <f t="shared" si="80"/>
        <v>2</v>
      </c>
      <c r="G418" s="203">
        <v>36476</v>
      </c>
      <c r="H418" s="203">
        <v>34000</v>
      </c>
      <c r="I418" s="224"/>
      <c r="J418" s="205">
        <f t="shared" si="84"/>
        <v>0</v>
      </c>
      <c r="K418" s="205">
        <f t="shared" si="82"/>
        <v>0</v>
      </c>
      <c r="L418" s="430">
        <f t="shared" si="83"/>
        <v>72952</v>
      </c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</row>
    <row r="419" spans="1:26" ht="14.4">
      <c r="A419" s="427"/>
      <c r="B419" s="428" t="s">
        <v>505</v>
      </c>
      <c r="C419" s="431">
        <v>5</v>
      </c>
      <c r="D419" s="321"/>
      <c r="E419" s="321"/>
      <c r="F419" s="429">
        <f t="shared" si="80"/>
        <v>5</v>
      </c>
      <c r="G419" s="203">
        <v>23503</v>
      </c>
      <c r="H419" s="203">
        <v>22000</v>
      </c>
      <c r="I419" s="204"/>
      <c r="J419" s="205">
        <f t="shared" si="84"/>
        <v>0</v>
      </c>
      <c r="K419" s="205">
        <f t="shared" si="82"/>
        <v>0</v>
      </c>
      <c r="L419" s="430">
        <f t="shared" si="83"/>
        <v>117515</v>
      </c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</row>
    <row r="420" spans="1:26" ht="14.4">
      <c r="A420" s="427"/>
      <c r="B420" s="428" t="s">
        <v>506</v>
      </c>
      <c r="C420" s="431"/>
      <c r="D420" s="321"/>
      <c r="E420" s="321"/>
      <c r="F420" s="429">
        <f t="shared" si="80"/>
        <v>0</v>
      </c>
      <c r="G420" s="203">
        <v>139000</v>
      </c>
      <c r="H420" s="203">
        <v>145000</v>
      </c>
      <c r="I420" s="204"/>
      <c r="J420" s="205">
        <f t="shared" si="84"/>
        <v>0</v>
      </c>
      <c r="K420" s="205">
        <f t="shared" si="82"/>
        <v>0</v>
      </c>
      <c r="L420" s="430">
        <f t="shared" si="83"/>
        <v>0</v>
      </c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</row>
    <row r="421" spans="1:26" ht="14.4">
      <c r="A421" s="427"/>
      <c r="B421" s="428" t="s">
        <v>507</v>
      </c>
      <c r="C421" s="431"/>
      <c r="D421" s="321"/>
      <c r="E421" s="321"/>
      <c r="F421" s="429">
        <f t="shared" si="80"/>
        <v>0</v>
      </c>
      <c r="G421" s="203">
        <v>60000</v>
      </c>
      <c r="H421" s="203">
        <v>65000</v>
      </c>
      <c r="I421" s="204"/>
      <c r="J421" s="205">
        <f t="shared" si="84"/>
        <v>0</v>
      </c>
      <c r="K421" s="205">
        <f t="shared" si="82"/>
        <v>0</v>
      </c>
      <c r="L421" s="430">
        <f t="shared" si="83"/>
        <v>0</v>
      </c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</row>
    <row r="422" spans="1:26" ht="14.4">
      <c r="A422" s="427"/>
      <c r="B422" s="428" t="s">
        <v>508</v>
      </c>
      <c r="C422" s="431">
        <v>0</v>
      </c>
      <c r="D422" s="321"/>
      <c r="E422" s="321"/>
      <c r="F422" s="429">
        <f t="shared" si="80"/>
        <v>0</v>
      </c>
      <c r="G422" s="203">
        <v>40300</v>
      </c>
      <c r="H422" s="203">
        <v>43000</v>
      </c>
      <c r="I422" s="204"/>
      <c r="J422" s="205">
        <f t="shared" si="84"/>
        <v>0</v>
      </c>
      <c r="K422" s="205">
        <f t="shared" si="82"/>
        <v>0</v>
      </c>
      <c r="L422" s="430">
        <f t="shared" si="83"/>
        <v>0</v>
      </c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</row>
    <row r="423" spans="1:26" ht="14.4">
      <c r="A423" s="427"/>
      <c r="B423" s="428" t="s">
        <v>509</v>
      </c>
      <c r="C423" s="431">
        <v>2</v>
      </c>
      <c r="D423" s="321"/>
      <c r="E423" s="321"/>
      <c r="F423" s="429">
        <f t="shared" si="80"/>
        <v>2</v>
      </c>
      <c r="G423" s="203">
        <v>40300</v>
      </c>
      <c r="H423" s="203">
        <v>43000</v>
      </c>
      <c r="I423" s="204"/>
      <c r="J423" s="205">
        <f t="shared" si="84"/>
        <v>0</v>
      </c>
      <c r="K423" s="205">
        <f t="shared" si="82"/>
        <v>0</v>
      </c>
      <c r="L423" s="430">
        <f t="shared" si="83"/>
        <v>80600</v>
      </c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</row>
    <row r="424" spans="1:26" ht="14.4">
      <c r="A424" s="427"/>
      <c r="B424" s="428" t="s">
        <v>667</v>
      </c>
      <c r="C424" s="431">
        <v>2</v>
      </c>
      <c r="D424" s="321"/>
      <c r="E424" s="321"/>
      <c r="F424" s="429">
        <f t="shared" si="80"/>
        <v>2</v>
      </c>
      <c r="G424" s="203">
        <v>40300</v>
      </c>
      <c r="H424" s="203">
        <v>43000</v>
      </c>
      <c r="I424" s="204"/>
      <c r="J424" s="205">
        <f t="shared" si="84"/>
        <v>0</v>
      </c>
      <c r="K424" s="205">
        <f t="shared" si="82"/>
        <v>0</v>
      </c>
      <c r="L424" s="430">
        <f t="shared" si="83"/>
        <v>80600</v>
      </c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</row>
    <row r="425" spans="1:26" ht="14.4">
      <c r="A425" s="427"/>
      <c r="B425" s="428" t="s">
        <v>668</v>
      </c>
      <c r="C425" s="431">
        <v>2</v>
      </c>
      <c r="D425" s="321"/>
      <c r="E425" s="321"/>
      <c r="F425" s="429">
        <f t="shared" si="80"/>
        <v>2</v>
      </c>
      <c r="G425" s="203">
        <v>35900</v>
      </c>
      <c r="H425" s="203">
        <v>40000</v>
      </c>
      <c r="I425" s="204"/>
      <c r="J425" s="205">
        <f t="shared" si="84"/>
        <v>0</v>
      </c>
      <c r="K425" s="205">
        <f t="shared" si="82"/>
        <v>0</v>
      </c>
      <c r="L425" s="430">
        <f t="shared" si="83"/>
        <v>71800</v>
      </c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</row>
    <row r="426" spans="1:26" ht="14.4">
      <c r="A426" s="427"/>
      <c r="B426" s="428" t="s">
        <v>510</v>
      </c>
      <c r="C426" s="431">
        <v>2</v>
      </c>
      <c r="D426" s="321"/>
      <c r="E426" s="321"/>
      <c r="F426" s="429">
        <f t="shared" si="80"/>
        <v>2</v>
      </c>
      <c r="G426" s="203">
        <v>36431</v>
      </c>
      <c r="H426" s="203">
        <v>37000</v>
      </c>
      <c r="I426" s="204"/>
      <c r="J426" s="205">
        <f t="shared" si="84"/>
        <v>0</v>
      </c>
      <c r="K426" s="205">
        <f t="shared" si="82"/>
        <v>0</v>
      </c>
      <c r="L426" s="430">
        <f t="shared" si="83"/>
        <v>72862</v>
      </c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</row>
    <row r="427" spans="1:26" ht="14.4">
      <c r="A427" s="427"/>
      <c r="B427" s="434" t="s">
        <v>511</v>
      </c>
      <c r="C427" s="431">
        <v>23</v>
      </c>
      <c r="D427" s="321"/>
      <c r="E427" s="321"/>
      <c r="F427" s="429">
        <f t="shared" si="80"/>
        <v>23</v>
      </c>
      <c r="G427" s="203">
        <v>5500</v>
      </c>
      <c r="H427" s="203">
        <v>6000</v>
      </c>
      <c r="I427" s="204"/>
      <c r="J427" s="205">
        <f t="shared" si="84"/>
        <v>0</v>
      </c>
      <c r="K427" s="205">
        <f t="shared" si="82"/>
        <v>0</v>
      </c>
      <c r="L427" s="430">
        <f t="shared" si="83"/>
        <v>126500</v>
      </c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</row>
    <row r="428" spans="1:26" ht="14.4">
      <c r="A428" s="427"/>
      <c r="B428" s="434" t="s">
        <v>512</v>
      </c>
      <c r="C428" s="431">
        <v>3</v>
      </c>
      <c r="D428" s="321"/>
      <c r="E428" s="321"/>
      <c r="F428" s="429">
        <f t="shared" si="80"/>
        <v>3</v>
      </c>
      <c r="G428" s="239">
        <v>65000</v>
      </c>
      <c r="H428" s="239">
        <v>70000</v>
      </c>
      <c r="I428" s="204"/>
      <c r="J428" s="205">
        <f t="shared" si="84"/>
        <v>0</v>
      </c>
      <c r="K428" s="205">
        <f t="shared" si="82"/>
        <v>0</v>
      </c>
      <c r="L428" s="430">
        <f t="shared" si="83"/>
        <v>195000</v>
      </c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</row>
    <row r="429" spans="1:26" ht="14.4">
      <c r="A429" s="427"/>
      <c r="B429" s="434" t="s">
        <v>513</v>
      </c>
      <c r="C429" s="431"/>
      <c r="D429" s="435"/>
      <c r="E429" s="435"/>
      <c r="F429" s="429">
        <f t="shared" si="80"/>
        <v>0</v>
      </c>
      <c r="G429" s="298">
        <v>109000</v>
      </c>
      <c r="H429" s="298">
        <v>118000</v>
      </c>
      <c r="I429" s="299"/>
      <c r="J429" s="300">
        <f t="shared" si="84"/>
        <v>0</v>
      </c>
      <c r="K429" s="300">
        <f t="shared" si="82"/>
        <v>0</v>
      </c>
      <c r="L429" s="436">
        <f t="shared" si="83"/>
        <v>0</v>
      </c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</row>
    <row r="430" spans="1:26" ht="14.4">
      <c r="A430" s="437"/>
      <c r="B430" s="438"/>
      <c r="C430" s="439">
        <f t="shared" ref="C430:F430" si="85">+SUM(C351:C422)</f>
        <v>244</v>
      </c>
      <c r="D430" s="440">
        <f t="shared" si="85"/>
        <v>0</v>
      </c>
      <c r="E430" s="440">
        <f t="shared" si="85"/>
        <v>0</v>
      </c>
      <c r="F430" s="439">
        <f t="shared" si="85"/>
        <v>244</v>
      </c>
      <c r="G430" s="441">
        <f t="shared" ref="G430:L430" si="86">+SUM(G351:G429)</f>
        <v>6318988</v>
      </c>
      <c r="H430" s="441">
        <f t="shared" si="86"/>
        <v>6612000</v>
      </c>
      <c r="I430" s="442">
        <f t="shared" si="86"/>
        <v>0</v>
      </c>
      <c r="J430" s="441">
        <f t="shared" si="86"/>
        <v>0</v>
      </c>
      <c r="K430" s="441">
        <f t="shared" si="86"/>
        <v>0</v>
      </c>
      <c r="L430" s="441">
        <f t="shared" si="86"/>
        <v>18861388</v>
      </c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</row>
    <row r="431" spans="1:26" ht="14.4">
      <c r="A431" s="427"/>
      <c r="B431" s="428" t="s">
        <v>514</v>
      </c>
      <c r="C431" s="431">
        <v>2</v>
      </c>
      <c r="D431" s="321"/>
      <c r="E431" s="321"/>
      <c r="F431" s="429">
        <f t="shared" ref="F431:F442" si="87">+C431+D431-E431</f>
        <v>2</v>
      </c>
      <c r="G431" s="203">
        <v>43421</v>
      </c>
      <c r="H431" s="203">
        <v>50000</v>
      </c>
      <c r="I431" s="204"/>
      <c r="J431" s="205">
        <f t="shared" ref="J431:J442" si="88">+I431*H431</f>
        <v>0</v>
      </c>
      <c r="K431" s="205">
        <f t="shared" ref="K431:K442" si="89">+(H431-G431)*I431</f>
        <v>0</v>
      </c>
      <c r="L431" s="430">
        <f t="shared" ref="L431:L442" si="90">+G431*F431</f>
        <v>86842</v>
      </c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</row>
    <row r="432" spans="1:26" ht="14.4">
      <c r="A432" s="427"/>
      <c r="B432" s="428" t="s">
        <v>515</v>
      </c>
      <c r="C432" s="431"/>
      <c r="D432" s="321"/>
      <c r="E432" s="321"/>
      <c r="F432" s="429">
        <f t="shared" si="87"/>
        <v>0</v>
      </c>
      <c r="G432" s="203">
        <v>44748</v>
      </c>
      <c r="H432" s="203">
        <v>44000</v>
      </c>
      <c r="I432" s="204"/>
      <c r="J432" s="205">
        <f t="shared" si="88"/>
        <v>0</v>
      </c>
      <c r="K432" s="205">
        <f t="shared" si="89"/>
        <v>0</v>
      </c>
      <c r="L432" s="430">
        <f t="shared" si="90"/>
        <v>0</v>
      </c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</row>
    <row r="433" spans="1:26" ht="14.4">
      <c r="A433" s="427"/>
      <c r="B433" s="428" t="s">
        <v>516</v>
      </c>
      <c r="C433" s="431">
        <v>5</v>
      </c>
      <c r="D433" s="321"/>
      <c r="E433" s="321"/>
      <c r="F433" s="429">
        <f t="shared" si="87"/>
        <v>5</v>
      </c>
      <c r="G433" s="203">
        <v>40111</v>
      </c>
      <c r="H433" s="203">
        <v>38000</v>
      </c>
      <c r="I433" s="204"/>
      <c r="J433" s="205">
        <f t="shared" si="88"/>
        <v>0</v>
      </c>
      <c r="K433" s="205">
        <f t="shared" si="89"/>
        <v>0</v>
      </c>
      <c r="L433" s="430">
        <f t="shared" si="90"/>
        <v>200555</v>
      </c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</row>
    <row r="434" spans="1:26" ht="14.4">
      <c r="A434" s="427"/>
      <c r="B434" s="428" t="s">
        <v>517</v>
      </c>
      <c r="C434" s="431">
        <v>4</v>
      </c>
      <c r="D434" s="321"/>
      <c r="E434" s="321"/>
      <c r="F434" s="429">
        <f t="shared" si="87"/>
        <v>4</v>
      </c>
      <c r="G434" s="203">
        <v>19662</v>
      </c>
      <c r="H434" s="203">
        <v>22000</v>
      </c>
      <c r="I434" s="204"/>
      <c r="J434" s="205">
        <f t="shared" si="88"/>
        <v>0</v>
      </c>
      <c r="K434" s="205">
        <f t="shared" si="89"/>
        <v>0</v>
      </c>
      <c r="L434" s="430">
        <f t="shared" si="90"/>
        <v>78648</v>
      </c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</row>
    <row r="435" spans="1:26" ht="14.4">
      <c r="A435" s="427"/>
      <c r="B435" s="428" t="s">
        <v>518</v>
      </c>
      <c r="C435" s="431"/>
      <c r="D435" s="321"/>
      <c r="E435" s="321"/>
      <c r="F435" s="429">
        <f t="shared" si="87"/>
        <v>0</v>
      </c>
      <c r="G435" s="203">
        <v>72900</v>
      </c>
      <c r="H435" s="203">
        <v>76000</v>
      </c>
      <c r="I435" s="204"/>
      <c r="J435" s="205">
        <f t="shared" si="88"/>
        <v>0</v>
      </c>
      <c r="K435" s="205">
        <f t="shared" si="89"/>
        <v>0</v>
      </c>
      <c r="L435" s="430">
        <f t="shared" si="90"/>
        <v>0</v>
      </c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</row>
    <row r="436" spans="1:26" ht="14.4">
      <c r="A436" s="427"/>
      <c r="B436" s="428" t="s">
        <v>519</v>
      </c>
      <c r="C436" s="431"/>
      <c r="D436" s="321"/>
      <c r="E436" s="321"/>
      <c r="F436" s="429">
        <f t="shared" si="87"/>
        <v>0</v>
      </c>
      <c r="G436" s="203">
        <v>45300</v>
      </c>
      <c r="H436" s="203">
        <v>48000</v>
      </c>
      <c r="I436" s="204"/>
      <c r="J436" s="205">
        <f t="shared" si="88"/>
        <v>0</v>
      </c>
      <c r="K436" s="205">
        <f t="shared" si="89"/>
        <v>0</v>
      </c>
      <c r="L436" s="430">
        <f t="shared" si="90"/>
        <v>0</v>
      </c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</row>
    <row r="437" spans="1:26" ht="14.4">
      <c r="A437" s="443"/>
      <c r="B437" s="444" t="s">
        <v>520</v>
      </c>
      <c r="C437" s="431">
        <v>24</v>
      </c>
      <c r="D437" s="321"/>
      <c r="E437" s="321"/>
      <c r="F437" s="429">
        <f t="shared" si="87"/>
        <v>24</v>
      </c>
      <c r="G437" s="239">
        <v>6465</v>
      </c>
      <c r="H437" s="239">
        <v>7000</v>
      </c>
      <c r="I437" s="204"/>
      <c r="J437" s="205">
        <f t="shared" si="88"/>
        <v>0</v>
      </c>
      <c r="K437" s="205">
        <f t="shared" si="89"/>
        <v>0</v>
      </c>
      <c r="L437" s="430">
        <f t="shared" si="90"/>
        <v>155160</v>
      </c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</row>
    <row r="438" spans="1:26" ht="14.4">
      <c r="A438" s="443"/>
      <c r="B438" s="444" t="s">
        <v>521</v>
      </c>
      <c r="C438" s="431">
        <v>30</v>
      </c>
      <c r="D438" s="321"/>
      <c r="E438" s="321"/>
      <c r="F438" s="431">
        <f t="shared" si="87"/>
        <v>30</v>
      </c>
      <c r="G438" s="210">
        <v>7460</v>
      </c>
      <c r="H438" s="210">
        <v>8000</v>
      </c>
      <c r="I438" s="445"/>
      <c r="J438" s="205">
        <f t="shared" si="88"/>
        <v>0</v>
      </c>
      <c r="K438" s="205">
        <f t="shared" si="89"/>
        <v>0</v>
      </c>
      <c r="L438" s="430">
        <f t="shared" si="90"/>
        <v>223800</v>
      </c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</row>
    <row r="439" spans="1:26" ht="14.4">
      <c r="A439" s="443"/>
      <c r="B439" s="446" t="s">
        <v>522</v>
      </c>
      <c r="C439" s="431"/>
      <c r="D439" s="321"/>
      <c r="E439" s="321"/>
      <c r="F439" s="431">
        <f t="shared" si="87"/>
        <v>0</v>
      </c>
      <c r="G439" s="210">
        <v>80000</v>
      </c>
      <c r="H439" s="210">
        <v>84000</v>
      </c>
      <c r="I439" s="445"/>
      <c r="J439" s="205">
        <f t="shared" si="88"/>
        <v>0</v>
      </c>
      <c r="K439" s="205">
        <f t="shared" si="89"/>
        <v>0</v>
      </c>
      <c r="L439" s="430">
        <f t="shared" si="90"/>
        <v>0</v>
      </c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</row>
    <row r="440" spans="1:26" ht="14.4">
      <c r="A440" s="427"/>
      <c r="B440" s="428" t="s">
        <v>523</v>
      </c>
      <c r="C440" s="431"/>
      <c r="D440" s="321"/>
      <c r="E440" s="321"/>
      <c r="F440" s="429">
        <f t="shared" si="87"/>
        <v>0</v>
      </c>
      <c r="G440" s="203">
        <v>80000</v>
      </c>
      <c r="H440" s="203">
        <v>84000</v>
      </c>
      <c r="I440" s="204"/>
      <c r="J440" s="205">
        <f t="shared" si="88"/>
        <v>0</v>
      </c>
      <c r="K440" s="205">
        <f t="shared" si="89"/>
        <v>0</v>
      </c>
      <c r="L440" s="430">
        <f t="shared" si="90"/>
        <v>0</v>
      </c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</row>
    <row r="441" spans="1:26" ht="14.4">
      <c r="A441" s="427"/>
      <c r="B441" s="428" t="s">
        <v>524</v>
      </c>
      <c r="C441" s="431">
        <v>5</v>
      </c>
      <c r="D441" s="321"/>
      <c r="E441" s="321"/>
      <c r="F441" s="429">
        <f t="shared" si="87"/>
        <v>5</v>
      </c>
      <c r="G441" s="210">
        <v>38000</v>
      </c>
      <c r="H441" s="210">
        <v>40000</v>
      </c>
      <c r="I441" s="445"/>
      <c r="J441" s="205">
        <f t="shared" si="88"/>
        <v>0</v>
      </c>
      <c r="K441" s="205">
        <f t="shared" si="89"/>
        <v>0</v>
      </c>
      <c r="L441" s="430">
        <f t="shared" si="90"/>
        <v>190000</v>
      </c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</row>
    <row r="442" spans="1:26" ht="14.4">
      <c r="A442" s="427"/>
      <c r="B442" s="434" t="s">
        <v>525</v>
      </c>
      <c r="C442" s="431"/>
      <c r="D442" s="321"/>
      <c r="E442" s="321"/>
      <c r="F442" s="429">
        <f t="shared" si="87"/>
        <v>0</v>
      </c>
      <c r="G442" s="210">
        <v>29800</v>
      </c>
      <c r="H442" s="210">
        <v>33000</v>
      </c>
      <c r="I442" s="445"/>
      <c r="J442" s="205">
        <f t="shared" si="88"/>
        <v>0</v>
      </c>
      <c r="K442" s="205">
        <f t="shared" si="89"/>
        <v>0</v>
      </c>
      <c r="L442" s="430">
        <f t="shared" si="90"/>
        <v>0</v>
      </c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</row>
    <row r="443" spans="1:26" ht="14.4">
      <c r="A443" s="437"/>
      <c r="B443" s="438"/>
      <c r="C443" s="447">
        <f t="shared" ref="C443:F443" si="91">+SUM(C431:C440)</f>
        <v>65</v>
      </c>
      <c r="D443" s="447">
        <f t="shared" si="91"/>
        <v>0</v>
      </c>
      <c r="E443" s="447">
        <f t="shared" si="91"/>
        <v>0</v>
      </c>
      <c r="F443" s="447">
        <f t="shared" si="91"/>
        <v>65</v>
      </c>
      <c r="G443" s="448">
        <f t="shared" ref="G443:L443" si="92">+SUM(G431:G442)</f>
        <v>507867</v>
      </c>
      <c r="H443" s="448">
        <f t="shared" si="92"/>
        <v>534000</v>
      </c>
      <c r="I443" s="449">
        <f t="shared" si="92"/>
        <v>0</v>
      </c>
      <c r="J443" s="448">
        <f t="shared" si="92"/>
        <v>0</v>
      </c>
      <c r="K443" s="448">
        <f t="shared" si="92"/>
        <v>0</v>
      </c>
      <c r="L443" s="448">
        <f t="shared" si="92"/>
        <v>935005</v>
      </c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</row>
    <row r="444" spans="1:26" ht="14.4">
      <c r="A444" s="427"/>
      <c r="B444" s="428" t="s">
        <v>669</v>
      </c>
      <c r="C444" s="431">
        <v>3</v>
      </c>
      <c r="D444" s="321"/>
      <c r="E444" s="321"/>
      <c r="F444" s="429">
        <f t="shared" ref="F444:F471" si="93">+C444+D444-E444</f>
        <v>3</v>
      </c>
      <c r="G444" s="203">
        <v>110000</v>
      </c>
      <c r="H444" s="203">
        <v>120000</v>
      </c>
      <c r="I444" s="204"/>
      <c r="J444" s="205">
        <f t="shared" ref="J444:J471" si="94">+I444*H444</f>
        <v>0</v>
      </c>
      <c r="K444" s="205">
        <f t="shared" ref="K444:K471" si="95">+(H444-G444)*I444</f>
        <v>0</v>
      </c>
      <c r="L444" s="430">
        <f t="shared" ref="L444:L471" si="96">+G444*F444</f>
        <v>330000</v>
      </c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</row>
    <row r="445" spans="1:26" ht="14.4">
      <c r="A445" s="427"/>
      <c r="B445" s="428" t="s">
        <v>526</v>
      </c>
      <c r="C445" s="431"/>
      <c r="D445" s="321"/>
      <c r="E445" s="321"/>
      <c r="F445" s="429">
        <f t="shared" si="93"/>
        <v>0</v>
      </c>
      <c r="G445" s="203">
        <v>102000</v>
      </c>
      <c r="H445" s="203">
        <v>108000</v>
      </c>
      <c r="I445" s="204"/>
      <c r="J445" s="205">
        <f t="shared" si="94"/>
        <v>0</v>
      </c>
      <c r="K445" s="205">
        <f t="shared" si="95"/>
        <v>0</v>
      </c>
      <c r="L445" s="430">
        <f t="shared" si="96"/>
        <v>0</v>
      </c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</row>
    <row r="446" spans="1:26" ht="14.4">
      <c r="A446" s="427"/>
      <c r="B446" s="387" t="s">
        <v>527</v>
      </c>
      <c r="C446" s="431">
        <v>1</v>
      </c>
      <c r="D446" s="321"/>
      <c r="E446" s="321"/>
      <c r="F446" s="429">
        <f t="shared" si="93"/>
        <v>1</v>
      </c>
      <c r="G446" s="203">
        <v>86250</v>
      </c>
      <c r="H446" s="203">
        <v>93000</v>
      </c>
      <c r="I446" s="204"/>
      <c r="J446" s="205">
        <f t="shared" si="94"/>
        <v>0</v>
      </c>
      <c r="K446" s="205">
        <f t="shared" si="95"/>
        <v>0</v>
      </c>
      <c r="L446" s="430">
        <f t="shared" si="96"/>
        <v>86250</v>
      </c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</row>
    <row r="447" spans="1:26" ht="14.4">
      <c r="A447" s="427"/>
      <c r="B447" s="428" t="s">
        <v>528</v>
      </c>
      <c r="C447" s="431">
        <v>2</v>
      </c>
      <c r="D447" s="321"/>
      <c r="E447" s="321"/>
      <c r="F447" s="429">
        <f t="shared" si="93"/>
        <v>2</v>
      </c>
      <c r="G447" s="203">
        <v>58000</v>
      </c>
      <c r="H447" s="203">
        <v>64000</v>
      </c>
      <c r="I447" s="204"/>
      <c r="J447" s="205">
        <f t="shared" si="94"/>
        <v>0</v>
      </c>
      <c r="K447" s="205">
        <f t="shared" si="95"/>
        <v>0</v>
      </c>
      <c r="L447" s="430">
        <f t="shared" si="96"/>
        <v>116000</v>
      </c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</row>
    <row r="448" spans="1:26" ht="14.4">
      <c r="A448" s="427"/>
      <c r="B448" s="428" t="s">
        <v>529</v>
      </c>
      <c r="C448" s="431"/>
      <c r="D448" s="321"/>
      <c r="E448" s="321"/>
      <c r="F448" s="429">
        <f t="shared" si="93"/>
        <v>0</v>
      </c>
      <c r="G448" s="203">
        <v>85000</v>
      </c>
      <c r="H448" s="203">
        <v>64000</v>
      </c>
      <c r="I448" s="204"/>
      <c r="J448" s="205">
        <f t="shared" si="94"/>
        <v>0</v>
      </c>
      <c r="K448" s="205">
        <f t="shared" si="95"/>
        <v>0</v>
      </c>
      <c r="L448" s="430">
        <f t="shared" si="96"/>
        <v>0</v>
      </c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</row>
    <row r="449" spans="1:26" ht="14.4">
      <c r="A449" s="427"/>
      <c r="B449" s="428" t="s">
        <v>670</v>
      </c>
      <c r="C449" s="431">
        <v>1</v>
      </c>
      <c r="D449" s="321"/>
      <c r="E449" s="321"/>
      <c r="F449" s="429">
        <f t="shared" si="93"/>
        <v>1</v>
      </c>
      <c r="G449" s="203">
        <v>69000</v>
      </c>
      <c r="H449" s="203">
        <v>75000</v>
      </c>
      <c r="I449" s="204"/>
      <c r="J449" s="205">
        <f t="shared" si="94"/>
        <v>0</v>
      </c>
      <c r="K449" s="205">
        <f t="shared" si="95"/>
        <v>0</v>
      </c>
      <c r="L449" s="430">
        <f t="shared" si="96"/>
        <v>69000</v>
      </c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</row>
    <row r="450" spans="1:26" ht="14.4">
      <c r="A450" s="427"/>
      <c r="B450" s="428" t="s">
        <v>671</v>
      </c>
      <c r="C450" s="431">
        <v>2</v>
      </c>
      <c r="D450" s="321"/>
      <c r="E450" s="321"/>
      <c r="F450" s="429">
        <f t="shared" si="93"/>
        <v>2</v>
      </c>
      <c r="G450" s="203">
        <v>69000</v>
      </c>
      <c r="H450" s="203">
        <v>75000</v>
      </c>
      <c r="I450" s="204"/>
      <c r="J450" s="205">
        <f t="shared" si="94"/>
        <v>0</v>
      </c>
      <c r="K450" s="205">
        <f t="shared" si="95"/>
        <v>0</v>
      </c>
      <c r="L450" s="430">
        <f t="shared" si="96"/>
        <v>138000</v>
      </c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</row>
    <row r="451" spans="1:26" ht="14.4">
      <c r="A451" s="427"/>
      <c r="B451" s="428" t="s">
        <v>530</v>
      </c>
      <c r="C451" s="431">
        <v>3</v>
      </c>
      <c r="D451" s="321"/>
      <c r="E451" s="321"/>
      <c r="F451" s="429">
        <f t="shared" si="93"/>
        <v>3</v>
      </c>
      <c r="G451" s="203">
        <v>70000</v>
      </c>
      <c r="H451" s="203">
        <v>75000</v>
      </c>
      <c r="I451" s="204"/>
      <c r="J451" s="205">
        <f t="shared" si="94"/>
        <v>0</v>
      </c>
      <c r="K451" s="205">
        <f t="shared" si="95"/>
        <v>0</v>
      </c>
      <c r="L451" s="430">
        <f t="shared" si="96"/>
        <v>210000</v>
      </c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</row>
    <row r="452" spans="1:26" ht="14.4">
      <c r="A452" s="427"/>
      <c r="B452" s="428" t="s">
        <v>531</v>
      </c>
      <c r="C452" s="431"/>
      <c r="D452" s="321"/>
      <c r="E452" s="321"/>
      <c r="F452" s="429">
        <f t="shared" si="93"/>
        <v>0</v>
      </c>
      <c r="G452" s="203">
        <v>195088</v>
      </c>
      <c r="H452" s="203">
        <v>22000</v>
      </c>
      <c r="I452" s="204"/>
      <c r="J452" s="205">
        <f t="shared" si="94"/>
        <v>0</v>
      </c>
      <c r="K452" s="205">
        <f t="shared" si="95"/>
        <v>0</v>
      </c>
      <c r="L452" s="430">
        <f t="shared" si="96"/>
        <v>0</v>
      </c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</row>
    <row r="453" spans="1:26" ht="14.4">
      <c r="A453" s="427"/>
      <c r="B453" s="428" t="s">
        <v>532</v>
      </c>
      <c r="C453" s="431">
        <v>9</v>
      </c>
      <c r="D453" s="321"/>
      <c r="E453" s="321"/>
      <c r="F453" s="429">
        <f t="shared" si="93"/>
        <v>9</v>
      </c>
      <c r="G453" s="203">
        <v>75000</v>
      </c>
      <c r="H453" s="203">
        <v>80000</v>
      </c>
      <c r="I453" s="204"/>
      <c r="J453" s="205">
        <f t="shared" si="94"/>
        <v>0</v>
      </c>
      <c r="K453" s="205">
        <f t="shared" si="95"/>
        <v>0</v>
      </c>
      <c r="L453" s="430">
        <f t="shared" si="96"/>
        <v>675000</v>
      </c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</row>
    <row r="454" spans="1:26" ht="14.4">
      <c r="A454" s="427"/>
      <c r="B454" s="428" t="s">
        <v>533</v>
      </c>
      <c r="C454" s="431">
        <v>1</v>
      </c>
      <c r="D454" s="321"/>
      <c r="E454" s="321"/>
      <c r="F454" s="429">
        <f t="shared" si="93"/>
        <v>1</v>
      </c>
      <c r="G454" s="203">
        <v>38000</v>
      </c>
      <c r="H454" s="203">
        <v>42000</v>
      </c>
      <c r="I454" s="204"/>
      <c r="J454" s="205">
        <f t="shared" si="94"/>
        <v>0</v>
      </c>
      <c r="K454" s="205">
        <f t="shared" si="95"/>
        <v>0</v>
      </c>
      <c r="L454" s="430">
        <f t="shared" si="96"/>
        <v>38000</v>
      </c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</row>
    <row r="455" spans="1:26" ht="14.4">
      <c r="A455" s="427"/>
      <c r="B455" s="428" t="s">
        <v>534</v>
      </c>
      <c r="C455" s="431">
        <v>2</v>
      </c>
      <c r="D455" s="321"/>
      <c r="E455" s="321"/>
      <c r="F455" s="429">
        <f t="shared" si="93"/>
        <v>2</v>
      </c>
      <c r="G455" s="203">
        <v>105000</v>
      </c>
      <c r="H455" s="203">
        <v>80000</v>
      </c>
      <c r="I455" s="204"/>
      <c r="J455" s="205">
        <f t="shared" si="94"/>
        <v>0</v>
      </c>
      <c r="K455" s="205">
        <f t="shared" si="95"/>
        <v>0</v>
      </c>
      <c r="L455" s="430">
        <f t="shared" si="96"/>
        <v>210000</v>
      </c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</row>
    <row r="456" spans="1:26" ht="14.4">
      <c r="A456" s="427"/>
      <c r="B456" s="428" t="s">
        <v>535</v>
      </c>
      <c r="C456" s="431">
        <v>1</v>
      </c>
      <c r="D456" s="321"/>
      <c r="E456" s="321"/>
      <c r="F456" s="429">
        <f t="shared" si="93"/>
        <v>1</v>
      </c>
      <c r="G456" s="203">
        <v>94000</v>
      </c>
      <c r="H456" s="203">
        <v>100000</v>
      </c>
      <c r="I456" s="204"/>
      <c r="J456" s="205">
        <f t="shared" si="94"/>
        <v>0</v>
      </c>
      <c r="K456" s="205">
        <f t="shared" si="95"/>
        <v>0</v>
      </c>
      <c r="L456" s="430">
        <f t="shared" si="96"/>
        <v>94000</v>
      </c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</row>
    <row r="457" spans="1:26" ht="14.4">
      <c r="A457" s="427"/>
      <c r="B457" s="428" t="s">
        <v>536</v>
      </c>
      <c r="C457" s="431"/>
      <c r="D457" s="321"/>
      <c r="E457" s="321"/>
      <c r="F457" s="429">
        <f t="shared" si="93"/>
        <v>0</v>
      </c>
      <c r="G457" s="203">
        <v>78500</v>
      </c>
      <c r="H457" s="203">
        <v>88000</v>
      </c>
      <c r="I457" s="204"/>
      <c r="J457" s="205">
        <f t="shared" si="94"/>
        <v>0</v>
      </c>
      <c r="K457" s="205">
        <f t="shared" si="95"/>
        <v>0</v>
      </c>
      <c r="L457" s="430">
        <f t="shared" si="96"/>
        <v>0</v>
      </c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</row>
    <row r="458" spans="1:26" ht="14.4">
      <c r="A458" s="427"/>
      <c r="B458" s="428" t="s">
        <v>537</v>
      </c>
      <c r="C458" s="431"/>
      <c r="D458" s="321"/>
      <c r="E458" s="321"/>
      <c r="F458" s="429">
        <f t="shared" si="93"/>
        <v>0</v>
      </c>
      <c r="G458" s="203">
        <v>43000</v>
      </c>
      <c r="H458" s="203">
        <v>47000</v>
      </c>
      <c r="I458" s="204"/>
      <c r="J458" s="205">
        <f t="shared" si="94"/>
        <v>0</v>
      </c>
      <c r="K458" s="205">
        <f t="shared" si="95"/>
        <v>0</v>
      </c>
      <c r="L458" s="430">
        <f t="shared" si="96"/>
        <v>0</v>
      </c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</row>
    <row r="459" spans="1:26" ht="14.4">
      <c r="A459" s="427"/>
      <c r="B459" s="428" t="s">
        <v>538</v>
      </c>
      <c r="C459" s="431"/>
      <c r="D459" s="321"/>
      <c r="E459" s="321"/>
      <c r="F459" s="429">
        <f t="shared" si="93"/>
        <v>0</v>
      </c>
      <c r="G459" s="203">
        <v>93420</v>
      </c>
      <c r="H459" s="203">
        <v>105000</v>
      </c>
      <c r="I459" s="204"/>
      <c r="J459" s="205">
        <f t="shared" si="94"/>
        <v>0</v>
      </c>
      <c r="K459" s="205">
        <f t="shared" si="95"/>
        <v>0</v>
      </c>
      <c r="L459" s="430">
        <f t="shared" si="96"/>
        <v>0</v>
      </c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</row>
    <row r="460" spans="1:26" ht="14.4">
      <c r="A460" s="427"/>
      <c r="B460" s="428" t="s">
        <v>539</v>
      </c>
      <c r="C460" s="321"/>
      <c r="D460" s="321"/>
      <c r="E460" s="321"/>
      <c r="F460" s="429">
        <f t="shared" si="93"/>
        <v>0</v>
      </c>
      <c r="G460" s="203">
        <v>91300</v>
      </c>
      <c r="H460" s="203">
        <v>97000</v>
      </c>
      <c r="I460" s="204"/>
      <c r="J460" s="205">
        <f t="shared" si="94"/>
        <v>0</v>
      </c>
      <c r="K460" s="205">
        <f t="shared" si="95"/>
        <v>0</v>
      </c>
      <c r="L460" s="430">
        <f t="shared" si="96"/>
        <v>0</v>
      </c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</row>
    <row r="461" spans="1:26" ht="14.4">
      <c r="A461" s="427"/>
      <c r="B461" s="428" t="s">
        <v>540</v>
      </c>
      <c r="C461" s="431"/>
      <c r="D461" s="321"/>
      <c r="E461" s="321"/>
      <c r="F461" s="429">
        <f t="shared" si="93"/>
        <v>0</v>
      </c>
      <c r="G461" s="203">
        <v>70000</v>
      </c>
      <c r="H461" s="203">
        <v>75000</v>
      </c>
      <c r="I461" s="204"/>
      <c r="J461" s="205">
        <f t="shared" si="94"/>
        <v>0</v>
      </c>
      <c r="K461" s="205">
        <f t="shared" si="95"/>
        <v>0</v>
      </c>
      <c r="L461" s="430">
        <f t="shared" si="96"/>
        <v>0</v>
      </c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</row>
    <row r="462" spans="1:26" ht="14.4">
      <c r="A462" s="427"/>
      <c r="B462" s="428" t="s">
        <v>541</v>
      </c>
      <c r="C462" s="431">
        <v>1</v>
      </c>
      <c r="D462" s="321"/>
      <c r="E462" s="321"/>
      <c r="F462" s="429">
        <f t="shared" si="93"/>
        <v>1</v>
      </c>
      <c r="G462" s="203">
        <v>37300</v>
      </c>
      <c r="H462" s="203">
        <v>40000</v>
      </c>
      <c r="I462" s="204"/>
      <c r="J462" s="205">
        <f t="shared" si="94"/>
        <v>0</v>
      </c>
      <c r="K462" s="205">
        <f t="shared" si="95"/>
        <v>0</v>
      </c>
      <c r="L462" s="430">
        <f t="shared" si="96"/>
        <v>37300</v>
      </c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</row>
    <row r="463" spans="1:26" ht="14.4">
      <c r="A463" s="427"/>
      <c r="B463" s="428" t="s">
        <v>542</v>
      </c>
      <c r="C463" s="321">
        <v>2</v>
      </c>
      <c r="D463" s="321"/>
      <c r="E463" s="321"/>
      <c r="F463" s="429">
        <f t="shared" si="93"/>
        <v>2</v>
      </c>
      <c r="G463" s="203">
        <v>70000</v>
      </c>
      <c r="H463" s="203">
        <v>75000</v>
      </c>
      <c r="I463" s="204"/>
      <c r="J463" s="205">
        <f t="shared" si="94"/>
        <v>0</v>
      </c>
      <c r="K463" s="205">
        <f t="shared" si="95"/>
        <v>0</v>
      </c>
      <c r="L463" s="430">
        <f t="shared" si="96"/>
        <v>140000</v>
      </c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</row>
    <row r="464" spans="1:26" ht="14.4">
      <c r="A464" s="427"/>
      <c r="B464" s="428" t="s">
        <v>543</v>
      </c>
      <c r="C464" s="431"/>
      <c r="D464" s="321"/>
      <c r="E464" s="321"/>
      <c r="F464" s="429">
        <f t="shared" si="93"/>
        <v>0</v>
      </c>
      <c r="G464" s="203">
        <v>37300</v>
      </c>
      <c r="H464" s="203">
        <v>40000</v>
      </c>
      <c r="I464" s="204"/>
      <c r="J464" s="205">
        <f t="shared" si="94"/>
        <v>0</v>
      </c>
      <c r="K464" s="205">
        <f t="shared" si="95"/>
        <v>0</v>
      </c>
      <c r="L464" s="430">
        <f t="shared" si="96"/>
        <v>0</v>
      </c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</row>
    <row r="465" spans="1:26" ht="14.4">
      <c r="A465" s="427"/>
      <c r="B465" s="428" t="s">
        <v>544</v>
      </c>
      <c r="C465" s="431"/>
      <c r="D465" s="321"/>
      <c r="E465" s="321"/>
      <c r="F465" s="429">
        <f t="shared" si="93"/>
        <v>0</v>
      </c>
      <c r="G465" s="203">
        <v>77500</v>
      </c>
      <c r="H465" s="203">
        <v>84000</v>
      </c>
      <c r="I465" s="204"/>
      <c r="J465" s="205">
        <f t="shared" si="94"/>
        <v>0</v>
      </c>
      <c r="K465" s="205">
        <f t="shared" si="95"/>
        <v>0</v>
      </c>
      <c r="L465" s="430">
        <f t="shared" si="96"/>
        <v>0</v>
      </c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</row>
    <row r="466" spans="1:26" ht="14.4">
      <c r="A466" s="427"/>
      <c r="B466" s="428" t="s">
        <v>545</v>
      </c>
      <c r="C466" s="431"/>
      <c r="D466" s="321"/>
      <c r="E466" s="321"/>
      <c r="F466" s="429">
        <f t="shared" si="93"/>
        <v>0</v>
      </c>
      <c r="G466" s="203">
        <v>194000</v>
      </c>
      <c r="H466" s="203">
        <v>205000</v>
      </c>
      <c r="I466" s="204"/>
      <c r="J466" s="205">
        <f t="shared" si="94"/>
        <v>0</v>
      </c>
      <c r="K466" s="205">
        <f t="shared" si="95"/>
        <v>0</v>
      </c>
      <c r="L466" s="430">
        <f t="shared" si="96"/>
        <v>0</v>
      </c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</row>
    <row r="467" spans="1:26" ht="14.4">
      <c r="A467" s="427"/>
      <c r="B467" s="428" t="s">
        <v>546</v>
      </c>
      <c r="C467" s="321"/>
      <c r="D467" s="321"/>
      <c r="E467" s="321"/>
      <c r="F467" s="429">
        <f t="shared" si="93"/>
        <v>0</v>
      </c>
      <c r="G467" s="203">
        <v>5000</v>
      </c>
      <c r="H467" s="203">
        <v>5500</v>
      </c>
      <c r="I467" s="204"/>
      <c r="J467" s="205">
        <f t="shared" si="94"/>
        <v>0</v>
      </c>
      <c r="K467" s="205">
        <f t="shared" si="95"/>
        <v>0</v>
      </c>
      <c r="L467" s="430">
        <f t="shared" si="96"/>
        <v>0</v>
      </c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</row>
    <row r="468" spans="1:26" ht="14.4">
      <c r="A468" s="427"/>
      <c r="B468" s="428" t="s">
        <v>547</v>
      </c>
      <c r="C468" s="431"/>
      <c r="D468" s="321"/>
      <c r="E468" s="321"/>
      <c r="F468" s="429">
        <f t="shared" si="93"/>
        <v>0</v>
      </c>
      <c r="G468" s="203">
        <v>3200</v>
      </c>
      <c r="H468" s="203">
        <v>3600</v>
      </c>
      <c r="I468" s="204"/>
      <c r="J468" s="205">
        <f t="shared" si="94"/>
        <v>0</v>
      </c>
      <c r="K468" s="205">
        <f t="shared" si="95"/>
        <v>0</v>
      </c>
      <c r="L468" s="430">
        <f t="shared" si="96"/>
        <v>0</v>
      </c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</row>
    <row r="469" spans="1:26" ht="14.4">
      <c r="A469" s="427"/>
      <c r="B469" s="428" t="s">
        <v>548</v>
      </c>
      <c r="C469" s="431"/>
      <c r="D469" s="321"/>
      <c r="E469" s="321"/>
      <c r="F469" s="429">
        <f t="shared" si="93"/>
        <v>0</v>
      </c>
      <c r="G469" s="203">
        <v>270000</v>
      </c>
      <c r="H469" s="203">
        <v>300000</v>
      </c>
      <c r="I469" s="204"/>
      <c r="J469" s="205">
        <f t="shared" si="94"/>
        <v>0</v>
      </c>
      <c r="K469" s="205">
        <f t="shared" si="95"/>
        <v>0</v>
      </c>
      <c r="L469" s="430">
        <f t="shared" si="96"/>
        <v>0</v>
      </c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</row>
    <row r="470" spans="1:26" ht="14.4">
      <c r="A470" s="427"/>
      <c r="B470" s="428" t="s">
        <v>549</v>
      </c>
      <c r="C470" s="431">
        <v>1</v>
      </c>
      <c r="D470" s="321"/>
      <c r="E470" s="321"/>
      <c r="F470" s="429">
        <f t="shared" si="93"/>
        <v>1</v>
      </c>
      <c r="G470" s="210">
        <v>260000</v>
      </c>
      <c r="H470" s="210">
        <v>290000</v>
      </c>
      <c r="I470" s="445"/>
      <c r="J470" s="205">
        <f t="shared" si="94"/>
        <v>0</v>
      </c>
      <c r="K470" s="205">
        <f t="shared" si="95"/>
        <v>0</v>
      </c>
      <c r="L470" s="430">
        <f t="shared" si="96"/>
        <v>260000</v>
      </c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</row>
    <row r="471" spans="1:26" ht="14.4">
      <c r="A471" s="427"/>
      <c r="B471" s="434" t="s">
        <v>550</v>
      </c>
      <c r="C471" s="431"/>
      <c r="D471" s="321"/>
      <c r="E471" s="321"/>
      <c r="F471" s="429">
        <f t="shared" si="93"/>
        <v>0</v>
      </c>
      <c r="G471" s="210">
        <v>160000</v>
      </c>
      <c r="H471" s="210">
        <v>170000</v>
      </c>
      <c r="I471" s="445"/>
      <c r="J471" s="205">
        <f t="shared" si="94"/>
        <v>0</v>
      </c>
      <c r="K471" s="205">
        <f t="shared" si="95"/>
        <v>0</v>
      </c>
      <c r="L471" s="430">
        <f t="shared" si="96"/>
        <v>0</v>
      </c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</row>
    <row r="472" spans="1:26" ht="14.4">
      <c r="A472" s="437"/>
      <c r="B472" s="438"/>
      <c r="C472" s="447">
        <f t="shared" ref="C472:L472" si="97">+SUM(C444:C471)</f>
        <v>29</v>
      </c>
      <c r="D472" s="447">
        <f t="shared" si="97"/>
        <v>0</v>
      </c>
      <c r="E472" s="447">
        <f t="shared" si="97"/>
        <v>0</v>
      </c>
      <c r="F472" s="447">
        <f t="shared" si="97"/>
        <v>29</v>
      </c>
      <c r="G472" s="448">
        <f t="shared" si="97"/>
        <v>2646858</v>
      </c>
      <c r="H472" s="448">
        <f t="shared" si="97"/>
        <v>2623100</v>
      </c>
      <c r="I472" s="449">
        <f t="shared" si="97"/>
        <v>0</v>
      </c>
      <c r="J472" s="448">
        <f t="shared" si="97"/>
        <v>0</v>
      </c>
      <c r="K472" s="448">
        <f t="shared" si="97"/>
        <v>0</v>
      </c>
      <c r="L472" s="448">
        <f t="shared" si="97"/>
        <v>2403550</v>
      </c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</row>
    <row r="473" spans="1:26" ht="14.4">
      <c r="A473" s="450"/>
      <c r="B473" s="428" t="s">
        <v>551</v>
      </c>
      <c r="C473" s="431">
        <v>5</v>
      </c>
      <c r="D473" s="321"/>
      <c r="E473" s="321"/>
      <c r="F473" s="429">
        <f t="shared" ref="F473:F581" si="98">+C473+D473-E473</f>
        <v>5</v>
      </c>
      <c r="G473" s="203">
        <v>49000</v>
      </c>
      <c r="H473" s="203">
        <v>58000</v>
      </c>
      <c r="I473" s="204"/>
      <c r="J473" s="205">
        <f t="shared" ref="J473:J579" si="99">+I473*H473</f>
        <v>0</v>
      </c>
      <c r="K473" s="205">
        <f t="shared" ref="K473:K579" si="100">+(H473-G473)*I473</f>
        <v>0</v>
      </c>
      <c r="L473" s="430">
        <f t="shared" ref="L473:L579" si="101">+G473*F473</f>
        <v>245000</v>
      </c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</row>
    <row r="474" spans="1:26" ht="14.4">
      <c r="A474" s="450"/>
      <c r="B474" s="428" t="s">
        <v>552</v>
      </c>
      <c r="C474" s="431">
        <v>2</v>
      </c>
      <c r="D474" s="321"/>
      <c r="E474" s="321"/>
      <c r="F474" s="429">
        <f t="shared" si="98"/>
        <v>2</v>
      </c>
      <c r="G474" s="203">
        <v>28000</v>
      </c>
      <c r="H474" s="203">
        <v>32000</v>
      </c>
      <c r="I474" s="204"/>
      <c r="J474" s="205">
        <f t="shared" si="99"/>
        <v>0</v>
      </c>
      <c r="K474" s="205">
        <f t="shared" si="100"/>
        <v>0</v>
      </c>
      <c r="L474" s="430">
        <f t="shared" si="101"/>
        <v>56000</v>
      </c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</row>
    <row r="475" spans="1:26" ht="14.4">
      <c r="A475" s="450"/>
      <c r="B475" s="428" t="s">
        <v>553</v>
      </c>
      <c r="C475" s="431">
        <v>0</v>
      </c>
      <c r="D475" s="321"/>
      <c r="E475" s="321"/>
      <c r="F475" s="429">
        <f t="shared" si="98"/>
        <v>0</v>
      </c>
      <c r="G475" s="203">
        <v>71800</v>
      </c>
      <c r="H475" s="203">
        <v>73000</v>
      </c>
      <c r="I475" s="204"/>
      <c r="J475" s="205">
        <f t="shared" si="99"/>
        <v>0</v>
      </c>
      <c r="K475" s="205">
        <f t="shared" si="100"/>
        <v>0</v>
      </c>
      <c r="L475" s="430">
        <f t="shared" si="101"/>
        <v>0</v>
      </c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</row>
    <row r="476" spans="1:26" ht="14.4">
      <c r="A476" s="450"/>
      <c r="B476" s="428" t="s">
        <v>554</v>
      </c>
      <c r="C476" s="321">
        <v>3</v>
      </c>
      <c r="D476" s="321"/>
      <c r="E476" s="321"/>
      <c r="F476" s="429">
        <f t="shared" si="98"/>
        <v>3</v>
      </c>
      <c r="G476" s="203">
        <v>57600</v>
      </c>
      <c r="H476" s="203">
        <v>62000</v>
      </c>
      <c r="I476" s="204"/>
      <c r="J476" s="205">
        <f t="shared" si="99"/>
        <v>0</v>
      </c>
      <c r="K476" s="205">
        <f t="shared" si="100"/>
        <v>0</v>
      </c>
      <c r="L476" s="430">
        <f t="shared" si="101"/>
        <v>172800</v>
      </c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</row>
    <row r="477" spans="1:26" ht="14.4">
      <c r="A477" s="450"/>
      <c r="B477" s="428" t="s">
        <v>555</v>
      </c>
      <c r="C477" s="321">
        <v>2</v>
      </c>
      <c r="D477" s="321"/>
      <c r="E477" s="321"/>
      <c r="F477" s="429">
        <f t="shared" si="98"/>
        <v>2</v>
      </c>
      <c r="G477" s="203">
        <v>116260</v>
      </c>
      <c r="H477" s="203">
        <v>123000</v>
      </c>
      <c r="I477" s="204"/>
      <c r="J477" s="205">
        <f t="shared" si="99"/>
        <v>0</v>
      </c>
      <c r="K477" s="205">
        <f t="shared" si="100"/>
        <v>0</v>
      </c>
      <c r="L477" s="430">
        <f t="shared" si="101"/>
        <v>232520</v>
      </c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</row>
    <row r="478" spans="1:26" ht="14.4">
      <c r="A478" s="450"/>
      <c r="B478" s="428" t="s">
        <v>556</v>
      </c>
      <c r="C478" s="431">
        <v>3</v>
      </c>
      <c r="D478" s="321"/>
      <c r="E478" s="321"/>
      <c r="F478" s="429">
        <f t="shared" si="98"/>
        <v>3</v>
      </c>
      <c r="G478" s="203">
        <v>51000</v>
      </c>
      <c r="H478" s="203">
        <v>58000</v>
      </c>
      <c r="I478" s="204"/>
      <c r="J478" s="205">
        <f t="shared" si="99"/>
        <v>0</v>
      </c>
      <c r="K478" s="205">
        <f t="shared" si="100"/>
        <v>0</v>
      </c>
      <c r="L478" s="430">
        <f t="shared" si="101"/>
        <v>153000</v>
      </c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</row>
    <row r="479" spans="1:26" ht="14.4">
      <c r="A479" s="450"/>
      <c r="B479" s="428" t="s">
        <v>557</v>
      </c>
      <c r="C479" s="431">
        <v>2</v>
      </c>
      <c r="D479" s="321"/>
      <c r="E479" s="321"/>
      <c r="F479" s="429">
        <f t="shared" si="98"/>
        <v>2</v>
      </c>
      <c r="G479" s="203">
        <v>51000</v>
      </c>
      <c r="H479" s="203">
        <v>58000</v>
      </c>
      <c r="I479" s="204"/>
      <c r="J479" s="205">
        <f t="shared" si="99"/>
        <v>0</v>
      </c>
      <c r="K479" s="205">
        <f t="shared" si="100"/>
        <v>0</v>
      </c>
      <c r="L479" s="430">
        <f t="shared" si="101"/>
        <v>102000</v>
      </c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</row>
    <row r="480" spans="1:26" ht="14.4">
      <c r="A480" s="450"/>
      <c r="B480" s="428" t="s">
        <v>558</v>
      </c>
      <c r="C480" s="431">
        <v>3</v>
      </c>
      <c r="D480" s="321"/>
      <c r="E480" s="321"/>
      <c r="F480" s="429">
        <f t="shared" si="98"/>
        <v>3</v>
      </c>
      <c r="G480" s="203">
        <v>51000</v>
      </c>
      <c r="H480" s="203">
        <v>58000</v>
      </c>
      <c r="I480" s="204"/>
      <c r="J480" s="205">
        <f t="shared" si="99"/>
        <v>0</v>
      </c>
      <c r="K480" s="205">
        <f t="shared" si="100"/>
        <v>0</v>
      </c>
      <c r="L480" s="430">
        <f t="shared" si="101"/>
        <v>153000</v>
      </c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</row>
    <row r="481" spans="1:26" ht="14.4">
      <c r="A481" s="450"/>
      <c r="B481" s="428" t="s">
        <v>559</v>
      </c>
      <c r="C481" s="431">
        <v>1</v>
      </c>
      <c r="D481" s="321"/>
      <c r="E481" s="321"/>
      <c r="F481" s="429">
        <f t="shared" si="98"/>
        <v>1</v>
      </c>
      <c r="G481" s="203">
        <v>51000</v>
      </c>
      <c r="H481" s="203">
        <v>58000</v>
      </c>
      <c r="I481" s="204"/>
      <c r="J481" s="205">
        <f t="shared" si="99"/>
        <v>0</v>
      </c>
      <c r="K481" s="205">
        <f t="shared" si="100"/>
        <v>0</v>
      </c>
      <c r="L481" s="430">
        <f t="shared" si="101"/>
        <v>51000</v>
      </c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</row>
    <row r="482" spans="1:26" ht="14.4">
      <c r="A482" s="450"/>
      <c r="B482" s="428" t="s">
        <v>560</v>
      </c>
      <c r="C482" s="431">
        <v>4</v>
      </c>
      <c r="D482" s="321"/>
      <c r="E482" s="321"/>
      <c r="F482" s="429">
        <f t="shared" si="98"/>
        <v>4</v>
      </c>
      <c r="G482" s="203">
        <v>51000</v>
      </c>
      <c r="H482" s="203">
        <v>58000</v>
      </c>
      <c r="I482" s="204"/>
      <c r="J482" s="205">
        <f t="shared" si="99"/>
        <v>0</v>
      </c>
      <c r="K482" s="205">
        <f t="shared" si="100"/>
        <v>0</v>
      </c>
      <c r="L482" s="430">
        <f t="shared" si="101"/>
        <v>204000</v>
      </c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</row>
    <row r="483" spans="1:26" ht="14.4">
      <c r="A483" s="450"/>
      <c r="B483" s="428" t="s">
        <v>561</v>
      </c>
      <c r="C483" s="431"/>
      <c r="D483" s="321"/>
      <c r="E483" s="321"/>
      <c r="F483" s="429">
        <f t="shared" si="98"/>
        <v>0</v>
      </c>
      <c r="G483" s="203">
        <v>17286</v>
      </c>
      <c r="H483" s="203">
        <v>20000</v>
      </c>
      <c r="I483" s="204"/>
      <c r="J483" s="205">
        <f t="shared" si="99"/>
        <v>0</v>
      </c>
      <c r="K483" s="205">
        <f t="shared" si="100"/>
        <v>0</v>
      </c>
      <c r="L483" s="430">
        <f t="shared" si="101"/>
        <v>0</v>
      </c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</row>
    <row r="484" spans="1:26" ht="14.4">
      <c r="A484" s="450"/>
      <c r="B484" s="428" t="s">
        <v>562</v>
      </c>
      <c r="C484" s="431">
        <v>2</v>
      </c>
      <c r="D484" s="321"/>
      <c r="E484" s="321"/>
      <c r="F484" s="429">
        <f t="shared" si="98"/>
        <v>2</v>
      </c>
      <c r="G484" s="203">
        <v>90324</v>
      </c>
      <c r="H484" s="203">
        <v>92000</v>
      </c>
      <c r="I484" s="204"/>
      <c r="J484" s="205">
        <f t="shared" si="99"/>
        <v>0</v>
      </c>
      <c r="K484" s="205">
        <f t="shared" si="100"/>
        <v>0</v>
      </c>
      <c r="L484" s="430">
        <f t="shared" si="101"/>
        <v>180648</v>
      </c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</row>
    <row r="485" spans="1:26" ht="14.4">
      <c r="A485" s="450"/>
      <c r="B485" s="428" t="s">
        <v>563</v>
      </c>
      <c r="C485" s="431">
        <v>2</v>
      </c>
      <c r="D485" s="321"/>
      <c r="E485" s="321"/>
      <c r="F485" s="429">
        <f t="shared" si="98"/>
        <v>2</v>
      </c>
      <c r="G485" s="203">
        <v>65477</v>
      </c>
      <c r="H485" s="203">
        <v>67000</v>
      </c>
      <c r="I485" s="204"/>
      <c r="J485" s="205">
        <f t="shared" si="99"/>
        <v>0</v>
      </c>
      <c r="K485" s="205">
        <f t="shared" si="100"/>
        <v>0</v>
      </c>
      <c r="L485" s="430">
        <f t="shared" si="101"/>
        <v>130954</v>
      </c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</row>
    <row r="486" spans="1:26" ht="14.4">
      <c r="A486" s="450"/>
      <c r="B486" s="428" t="s">
        <v>564</v>
      </c>
      <c r="C486" s="431">
        <v>2</v>
      </c>
      <c r="D486" s="321"/>
      <c r="E486" s="321"/>
      <c r="F486" s="429">
        <f t="shared" si="98"/>
        <v>2</v>
      </c>
      <c r="G486" s="203">
        <v>40825</v>
      </c>
      <c r="H486" s="203">
        <v>41000</v>
      </c>
      <c r="I486" s="204"/>
      <c r="J486" s="205">
        <f t="shared" si="99"/>
        <v>0</v>
      </c>
      <c r="K486" s="205">
        <f t="shared" si="100"/>
        <v>0</v>
      </c>
      <c r="L486" s="430">
        <f t="shared" si="101"/>
        <v>81650</v>
      </c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</row>
    <row r="487" spans="1:26" ht="14.4">
      <c r="A487" s="450"/>
      <c r="B487" s="428" t="s">
        <v>565</v>
      </c>
      <c r="C487" s="431"/>
      <c r="D487" s="321"/>
      <c r="E487" s="321"/>
      <c r="F487" s="429">
        <f t="shared" si="98"/>
        <v>0</v>
      </c>
      <c r="G487" s="203">
        <v>81000</v>
      </c>
      <c r="H487" s="203">
        <v>84000</v>
      </c>
      <c r="I487" s="204"/>
      <c r="J487" s="205">
        <f t="shared" si="99"/>
        <v>0</v>
      </c>
      <c r="K487" s="205">
        <f t="shared" si="100"/>
        <v>0</v>
      </c>
      <c r="L487" s="430">
        <f t="shared" si="101"/>
        <v>0</v>
      </c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</row>
    <row r="488" spans="1:26" ht="14.4">
      <c r="A488" s="450"/>
      <c r="B488" s="428" t="s">
        <v>566</v>
      </c>
      <c r="C488" s="431"/>
      <c r="D488" s="321"/>
      <c r="E488" s="321"/>
      <c r="F488" s="429">
        <f t="shared" si="98"/>
        <v>0</v>
      </c>
      <c r="G488" s="203">
        <v>27900</v>
      </c>
      <c r="H488" s="203">
        <v>29500</v>
      </c>
      <c r="I488" s="204"/>
      <c r="J488" s="205">
        <f t="shared" si="99"/>
        <v>0</v>
      </c>
      <c r="K488" s="205">
        <f t="shared" si="100"/>
        <v>0</v>
      </c>
      <c r="L488" s="430">
        <f t="shared" si="101"/>
        <v>0</v>
      </c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</row>
    <row r="489" spans="1:26" ht="14.4">
      <c r="A489" s="450"/>
      <c r="B489" s="428" t="s">
        <v>567</v>
      </c>
      <c r="C489" s="431"/>
      <c r="D489" s="321"/>
      <c r="E489" s="321"/>
      <c r="F489" s="429">
        <f t="shared" si="98"/>
        <v>0</v>
      </c>
      <c r="G489" s="203">
        <v>25700</v>
      </c>
      <c r="H489" s="203">
        <v>28000</v>
      </c>
      <c r="I489" s="204"/>
      <c r="J489" s="205">
        <f t="shared" si="99"/>
        <v>0</v>
      </c>
      <c r="K489" s="205">
        <f t="shared" si="100"/>
        <v>0</v>
      </c>
      <c r="L489" s="430">
        <f t="shared" si="101"/>
        <v>0</v>
      </c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</row>
    <row r="490" spans="1:26" ht="14.4">
      <c r="A490" s="450"/>
      <c r="B490" s="428" t="s">
        <v>568</v>
      </c>
      <c r="C490" s="431"/>
      <c r="D490" s="321"/>
      <c r="E490" s="321"/>
      <c r="F490" s="429">
        <f t="shared" si="98"/>
        <v>0</v>
      </c>
      <c r="G490" s="203">
        <v>36000</v>
      </c>
      <c r="H490" s="203">
        <v>40000</v>
      </c>
      <c r="I490" s="204"/>
      <c r="J490" s="205">
        <f t="shared" si="99"/>
        <v>0</v>
      </c>
      <c r="K490" s="205">
        <f t="shared" si="100"/>
        <v>0</v>
      </c>
      <c r="L490" s="430">
        <f t="shared" si="101"/>
        <v>0</v>
      </c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</row>
    <row r="491" spans="1:26" ht="14.4">
      <c r="A491" s="450"/>
      <c r="B491" s="428" t="s">
        <v>569</v>
      </c>
      <c r="C491" s="431"/>
      <c r="D491" s="321"/>
      <c r="E491" s="321"/>
      <c r="F491" s="429">
        <f t="shared" si="98"/>
        <v>0</v>
      </c>
      <c r="G491" s="203">
        <v>19800</v>
      </c>
      <c r="H491" s="203">
        <v>24000</v>
      </c>
      <c r="I491" s="204"/>
      <c r="J491" s="205">
        <f t="shared" si="99"/>
        <v>0</v>
      </c>
      <c r="K491" s="205">
        <f t="shared" si="100"/>
        <v>0</v>
      </c>
      <c r="L491" s="430">
        <f t="shared" si="101"/>
        <v>0</v>
      </c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</row>
    <row r="492" spans="1:26" ht="14.4">
      <c r="A492" s="450"/>
      <c r="B492" s="428" t="s">
        <v>570</v>
      </c>
      <c r="C492" s="431">
        <v>1</v>
      </c>
      <c r="D492" s="321"/>
      <c r="E492" s="321"/>
      <c r="F492" s="429">
        <f t="shared" si="98"/>
        <v>1</v>
      </c>
      <c r="G492" s="203">
        <v>24000</v>
      </c>
      <c r="H492" s="203">
        <v>26000</v>
      </c>
      <c r="I492" s="204"/>
      <c r="J492" s="205">
        <f t="shared" si="99"/>
        <v>0</v>
      </c>
      <c r="K492" s="205">
        <f t="shared" si="100"/>
        <v>0</v>
      </c>
      <c r="L492" s="430">
        <f t="shared" si="101"/>
        <v>24000</v>
      </c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</row>
    <row r="493" spans="1:26" ht="14.4">
      <c r="A493" s="450"/>
      <c r="B493" s="428" t="s">
        <v>571</v>
      </c>
      <c r="C493" s="431"/>
      <c r="D493" s="321"/>
      <c r="E493" s="321"/>
      <c r="F493" s="429">
        <f t="shared" si="98"/>
        <v>0</v>
      </c>
      <c r="G493" s="203">
        <v>45000</v>
      </c>
      <c r="H493" s="203">
        <v>44000</v>
      </c>
      <c r="I493" s="204"/>
      <c r="J493" s="205">
        <f t="shared" si="99"/>
        <v>0</v>
      </c>
      <c r="K493" s="205">
        <f t="shared" si="100"/>
        <v>0</v>
      </c>
      <c r="L493" s="430">
        <f t="shared" si="101"/>
        <v>0</v>
      </c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</row>
    <row r="494" spans="1:26" ht="14.4">
      <c r="A494" s="450"/>
      <c r="B494" s="428" t="s">
        <v>572</v>
      </c>
      <c r="C494" s="431"/>
      <c r="D494" s="321"/>
      <c r="E494" s="321"/>
      <c r="F494" s="429">
        <f t="shared" si="98"/>
        <v>0</v>
      </c>
      <c r="G494" s="203">
        <v>23000</v>
      </c>
      <c r="H494" s="203">
        <v>28000</v>
      </c>
      <c r="I494" s="204"/>
      <c r="J494" s="205">
        <f t="shared" si="99"/>
        <v>0</v>
      </c>
      <c r="K494" s="205">
        <f t="shared" si="100"/>
        <v>0</v>
      </c>
      <c r="L494" s="430">
        <f t="shared" si="101"/>
        <v>0</v>
      </c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</row>
    <row r="495" spans="1:26" ht="14.4">
      <c r="A495" s="450"/>
      <c r="B495" s="428" t="s">
        <v>573</v>
      </c>
      <c r="C495" s="431"/>
      <c r="D495" s="321"/>
      <c r="E495" s="321"/>
      <c r="F495" s="429">
        <f t="shared" si="98"/>
        <v>0</v>
      </c>
      <c r="G495" s="203">
        <v>38000</v>
      </c>
      <c r="H495" s="203">
        <v>41000</v>
      </c>
      <c r="I495" s="204"/>
      <c r="J495" s="205">
        <f t="shared" si="99"/>
        <v>0</v>
      </c>
      <c r="K495" s="205">
        <f t="shared" si="100"/>
        <v>0</v>
      </c>
      <c r="L495" s="430">
        <f t="shared" si="101"/>
        <v>0</v>
      </c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</row>
    <row r="496" spans="1:26" ht="14.4">
      <c r="A496" s="450"/>
      <c r="B496" s="428" t="s">
        <v>672</v>
      </c>
      <c r="C496" s="431">
        <v>1</v>
      </c>
      <c r="D496" s="321"/>
      <c r="E496" s="321"/>
      <c r="F496" s="429">
        <f t="shared" si="98"/>
        <v>1</v>
      </c>
      <c r="G496" s="203">
        <v>50000</v>
      </c>
      <c r="H496" s="203">
        <v>55000</v>
      </c>
      <c r="I496" s="204"/>
      <c r="J496" s="205">
        <f t="shared" si="99"/>
        <v>0</v>
      </c>
      <c r="K496" s="205">
        <f t="shared" si="100"/>
        <v>0</v>
      </c>
      <c r="L496" s="430">
        <f t="shared" si="101"/>
        <v>50000</v>
      </c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</row>
    <row r="497" spans="1:26" ht="14.4">
      <c r="A497" s="450"/>
      <c r="B497" s="428" t="s">
        <v>575</v>
      </c>
      <c r="C497" s="431"/>
      <c r="D497" s="321"/>
      <c r="E497" s="321"/>
      <c r="F497" s="429">
        <f t="shared" si="98"/>
        <v>0</v>
      </c>
      <c r="G497" s="203">
        <v>31500</v>
      </c>
      <c r="H497" s="203">
        <v>35000</v>
      </c>
      <c r="I497" s="204"/>
      <c r="J497" s="205">
        <f t="shared" si="99"/>
        <v>0</v>
      </c>
      <c r="K497" s="205">
        <f t="shared" si="100"/>
        <v>0</v>
      </c>
      <c r="L497" s="430">
        <f t="shared" si="101"/>
        <v>0</v>
      </c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</row>
    <row r="498" spans="1:26" ht="14.4">
      <c r="A498" s="450"/>
      <c r="B498" s="428" t="s">
        <v>576</v>
      </c>
      <c r="C498" s="431"/>
      <c r="D498" s="321"/>
      <c r="E498" s="321"/>
      <c r="F498" s="429">
        <f t="shared" si="98"/>
        <v>0</v>
      </c>
      <c r="G498" s="203">
        <v>36000</v>
      </c>
      <c r="H498" s="203">
        <v>48000</v>
      </c>
      <c r="I498" s="204"/>
      <c r="J498" s="205">
        <f t="shared" si="99"/>
        <v>0</v>
      </c>
      <c r="K498" s="205">
        <f t="shared" si="100"/>
        <v>0</v>
      </c>
      <c r="L498" s="430">
        <f t="shared" si="101"/>
        <v>0</v>
      </c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</row>
    <row r="499" spans="1:26" ht="14.4">
      <c r="A499" s="450"/>
      <c r="B499" s="428" t="s">
        <v>577</v>
      </c>
      <c r="C499" s="431"/>
      <c r="D499" s="321"/>
      <c r="E499" s="321"/>
      <c r="F499" s="429">
        <f t="shared" si="98"/>
        <v>0</v>
      </c>
      <c r="G499" s="203">
        <v>34908</v>
      </c>
      <c r="H499" s="203">
        <v>37000</v>
      </c>
      <c r="I499" s="204"/>
      <c r="J499" s="205">
        <f t="shared" si="99"/>
        <v>0</v>
      </c>
      <c r="K499" s="205">
        <f t="shared" si="100"/>
        <v>0</v>
      </c>
      <c r="L499" s="430">
        <f t="shared" si="101"/>
        <v>0</v>
      </c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</row>
    <row r="500" spans="1:26" ht="14.4">
      <c r="A500" s="450"/>
      <c r="B500" s="428" t="s">
        <v>578</v>
      </c>
      <c r="C500" s="321"/>
      <c r="D500" s="321"/>
      <c r="E500" s="321"/>
      <c r="F500" s="429">
        <f t="shared" si="98"/>
        <v>0</v>
      </c>
      <c r="G500" s="203">
        <v>9266</v>
      </c>
      <c r="H500" s="203">
        <v>12500</v>
      </c>
      <c r="I500" s="204"/>
      <c r="J500" s="205">
        <f t="shared" si="99"/>
        <v>0</v>
      </c>
      <c r="K500" s="205">
        <f t="shared" si="100"/>
        <v>0</v>
      </c>
      <c r="L500" s="430">
        <f t="shared" si="101"/>
        <v>0</v>
      </c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</row>
    <row r="501" spans="1:26" ht="14.4">
      <c r="A501" s="450"/>
      <c r="B501" s="428" t="s">
        <v>579</v>
      </c>
      <c r="C501" s="431">
        <v>22</v>
      </c>
      <c r="D501" s="321"/>
      <c r="E501" s="321"/>
      <c r="F501" s="429">
        <f t="shared" si="98"/>
        <v>22</v>
      </c>
      <c r="G501" s="203">
        <v>10400</v>
      </c>
      <c r="H501" s="203">
        <v>13000</v>
      </c>
      <c r="I501" s="204"/>
      <c r="J501" s="205">
        <f t="shared" si="99"/>
        <v>0</v>
      </c>
      <c r="K501" s="205">
        <f t="shared" si="100"/>
        <v>0</v>
      </c>
      <c r="L501" s="430">
        <f t="shared" si="101"/>
        <v>228800</v>
      </c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</row>
    <row r="502" spans="1:26" ht="14.4">
      <c r="A502" s="450"/>
      <c r="B502" s="428" t="s">
        <v>580</v>
      </c>
      <c r="C502" s="431">
        <v>4</v>
      </c>
      <c r="D502" s="321"/>
      <c r="E502" s="321"/>
      <c r="F502" s="429">
        <f t="shared" si="98"/>
        <v>4</v>
      </c>
      <c r="G502" s="203">
        <v>18000</v>
      </c>
      <c r="H502" s="203">
        <v>20000</v>
      </c>
      <c r="I502" s="204"/>
      <c r="J502" s="205">
        <f t="shared" si="99"/>
        <v>0</v>
      </c>
      <c r="K502" s="205">
        <f t="shared" si="100"/>
        <v>0</v>
      </c>
      <c r="L502" s="430">
        <f t="shared" si="101"/>
        <v>72000</v>
      </c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</row>
    <row r="503" spans="1:26" ht="14.4">
      <c r="A503" s="450"/>
      <c r="B503" s="428" t="s">
        <v>581</v>
      </c>
      <c r="C503" s="431">
        <v>4</v>
      </c>
      <c r="D503" s="321"/>
      <c r="E503" s="321"/>
      <c r="F503" s="429">
        <f t="shared" si="98"/>
        <v>4</v>
      </c>
      <c r="G503" s="203">
        <v>85000</v>
      </c>
      <c r="H503" s="203">
        <v>89000</v>
      </c>
      <c r="I503" s="204"/>
      <c r="J503" s="205">
        <f t="shared" si="99"/>
        <v>0</v>
      </c>
      <c r="K503" s="205">
        <f t="shared" si="100"/>
        <v>0</v>
      </c>
      <c r="L503" s="430">
        <f t="shared" si="101"/>
        <v>340000</v>
      </c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</row>
    <row r="504" spans="1:26" ht="14.4">
      <c r="A504" s="450"/>
      <c r="B504" s="428" t="s">
        <v>582</v>
      </c>
      <c r="C504" s="431">
        <v>3</v>
      </c>
      <c r="D504" s="321"/>
      <c r="E504" s="321"/>
      <c r="F504" s="429">
        <f t="shared" si="98"/>
        <v>3</v>
      </c>
      <c r="G504" s="203">
        <v>41000</v>
      </c>
      <c r="H504" s="203">
        <v>46000</v>
      </c>
      <c r="I504" s="204"/>
      <c r="J504" s="205">
        <f t="shared" si="99"/>
        <v>0</v>
      </c>
      <c r="K504" s="205">
        <f t="shared" si="100"/>
        <v>0</v>
      </c>
      <c r="L504" s="430">
        <f t="shared" si="101"/>
        <v>123000</v>
      </c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</row>
    <row r="505" spans="1:26" ht="14.4">
      <c r="A505" s="450"/>
      <c r="B505" s="428" t="s">
        <v>583</v>
      </c>
      <c r="C505" s="431">
        <v>3</v>
      </c>
      <c r="D505" s="321"/>
      <c r="E505" s="321"/>
      <c r="F505" s="429">
        <f t="shared" si="98"/>
        <v>3</v>
      </c>
      <c r="G505" s="203">
        <v>138000</v>
      </c>
      <c r="H505" s="203">
        <v>141000</v>
      </c>
      <c r="I505" s="204"/>
      <c r="J505" s="205">
        <f t="shared" si="99"/>
        <v>0</v>
      </c>
      <c r="K505" s="205">
        <f t="shared" si="100"/>
        <v>0</v>
      </c>
      <c r="L505" s="430">
        <f t="shared" si="101"/>
        <v>414000</v>
      </c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</row>
    <row r="506" spans="1:26" ht="14.4">
      <c r="A506" s="450"/>
      <c r="B506" s="428" t="s">
        <v>584</v>
      </c>
      <c r="C506" s="431">
        <v>3</v>
      </c>
      <c r="D506" s="321"/>
      <c r="E506" s="321"/>
      <c r="F506" s="429">
        <f t="shared" si="98"/>
        <v>3</v>
      </c>
      <c r="G506" s="203">
        <f>23600</f>
        <v>23600</v>
      </c>
      <c r="H506" s="203">
        <v>26000</v>
      </c>
      <c r="I506" s="204"/>
      <c r="J506" s="205">
        <f t="shared" si="99"/>
        <v>0</v>
      </c>
      <c r="K506" s="205">
        <f t="shared" si="100"/>
        <v>0</v>
      </c>
      <c r="L506" s="430">
        <f t="shared" si="101"/>
        <v>70800</v>
      </c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</row>
    <row r="507" spans="1:26" ht="14.4">
      <c r="A507" s="450"/>
      <c r="B507" s="428" t="s">
        <v>585</v>
      </c>
      <c r="C507" s="431"/>
      <c r="D507" s="321"/>
      <c r="E507" s="321"/>
      <c r="F507" s="429">
        <f t="shared" si="98"/>
        <v>0</v>
      </c>
      <c r="G507" s="203">
        <v>13513</v>
      </c>
      <c r="H507" s="203">
        <v>16000</v>
      </c>
      <c r="I507" s="204"/>
      <c r="J507" s="205">
        <f t="shared" si="99"/>
        <v>0</v>
      </c>
      <c r="K507" s="205">
        <f t="shared" si="100"/>
        <v>0</v>
      </c>
      <c r="L507" s="430">
        <f t="shared" si="101"/>
        <v>0</v>
      </c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</row>
    <row r="508" spans="1:26" ht="14.4">
      <c r="A508" s="450"/>
      <c r="B508" s="428" t="s">
        <v>586</v>
      </c>
      <c r="C508" s="321">
        <v>2</v>
      </c>
      <c r="D508" s="321"/>
      <c r="E508" s="321"/>
      <c r="F508" s="429">
        <f t="shared" si="98"/>
        <v>2</v>
      </c>
      <c r="G508" s="203">
        <v>9450</v>
      </c>
      <c r="H508" s="203">
        <v>13000</v>
      </c>
      <c r="I508" s="204"/>
      <c r="J508" s="205">
        <f t="shared" si="99"/>
        <v>0</v>
      </c>
      <c r="K508" s="205">
        <f t="shared" si="100"/>
        <v>0</v>
      </c>
      <c r="L508" s="430">
        <f t="shared" si="101"/>
        <v>18900</v>
      </c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</row>
    <row r="509" spans="1:26" ht="14.4">
      <c r="A509" s="450"/>
      <c r="B509" s="428" t="s">
        <v>587</v>
      </c>
      <c r="C509" s="431">
        <v>1</v>
      </c>
      <c r="D509" s="321"/>
      <c r="E509" s="321"/>
      <c r="F509" s="429">
        <f t="shared" si="98"/>
        <v>1</v>
      </c>
      <c r="G509" s="203">
        <v>21000</v>
      </c>
      <c r="H509" s="203">
        <v>13000</v>
      </c>
      <c r="I509" s="204"/>
      <c r="J509" s="205">
        <f t="shared" si="99"/>
        <v>0</v>
      </c>
      <c r="K509" s="205">
        <f t="shared" si="100"/>
        <v>0</v>
      </c>
      <c r="L509" s="430">
        <f t="shared" si="101"/>
        <v>21000</v>
      </c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</row>
    <row r="510" spans="1:26" ht="14.4">
      <c r="A510" s="450"/>
      <c r="B510" s="428" t="s">
        <v>588</v>
      </c>
      <c r="C510" s="321">
        <v>3</v>
      </c>
      <c r="D510" s="321"/>
      <c r="E510" s="321"/>
      <c r="F510" s="429">
        <f t="shared" si="98"/>
        <v>3</v>
      </c>
      <c r="G510" s="203">
        <v>54310</v>
      </c>
      <c r="H510" s="203">
        <v>58000</v>
      </c>
      <c r="I510" s="204"/>
      <c r="J510" s="205">
        <f t="shared" si="99"/>
        <v>0</v>
      </c>
      <c r="K510" s="205">
        <f t="shared" si="100"/>
        <v>0</v>
      </c>
      <c r="L510" s="430">
        <f t="shared" si="101"/>
        <v>162930</v>
      </c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</row>
    <row r="511" spans="1:26" ht="14.4">
      <c r="A511" s="450"/>
      <c r="B511" s="428" t="s">
        <v>589</v>
      </c>
      <c r="C511" s="431">
        <v>7</v>
      </c>
      <c r="D511" s="321"/>
      <c r="E511" s="321"/>
      <c r="F511" s="429">
        <f t="shared" si="98"/>
        <v>7</v>
      </c>
      <c r="G511" s="203">
        <v>14640</v>
      </c>
      <c r="H511" s="203">
        <v>16000</v>
      </c>
      <c r="I511" s="204"/>
      <c r="J511" s="205">
        <f t="shared" si="99"/>
        <v>0</v>
      </c>
      <c r="K511" s="205">
        <f t="shared" si="100"/>
        <v>0</v>
      </c>
      <c r="L511" s="430">
        <f t="shared" si="101"/>
        <v>102480</v>
      </c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</row>
    <row r="512" spans="1:26" ht="14.4">
      <c r="A512" s="450"/>
      <c r="B512" s="428" t="s">
        <v>590</v>
      </c>
      <c r="C512" s="431">
        <v>0</v>
      </c>
      <c r="D512" s="321"/>
      <c r="E512" s="321"/>
      <c r="F512" s="429">
        <f t="shared" si="98"/>
        <v>0</v>
      </c>
      <c r="G512" s="203">
        <v>6300</v>
      </c>
      <c r="H512" s="203">
        <v>9000</v>
      </c>
      <c r="I512" s="204"/>
      <c r="J512" s="205">
        <f t="shared" si="99"/>
        <v>0</v>
      </c>
      <c r="K512" s="205">
        <f t="shared" si="100"/>
        <v>0</v>
      </c>
      <c r="L512" s="430">
        <f t="shared" si="101"/>
        <v>0</v>
      </c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</row>
    <row r="513" spans="1:26" ht="14.4">
      <c r="A513" s="450"/>
      <c r="B513" s="428" t="s">
        <v>591</v>
      </c>
      <c r="C513" s="431">
        <v>0</v>
      </c>
      <c r="D513" s="321"/>
      <c r="E513" s="321"/>
      <c r="F513" s="429">
        <f t="shared" si="98"/>
        <v>0</v>
      </c>
      <c r="G513" s="203">
        <v>16800</v>
      </c>
      <c r="H513" s="203">
        <v>19000</v>
      </c>
      <c r="I513" s="204"/>
      <c r="J513" s="205">
        <f t="shared" si="99"/>
        <v>0</v>
      </c>
      <c r="K513" s="205">
        <f t="shared" si="100"/>
        <v>0</v>
      </c>
      <c r="L513" s="430">
        <f t="shared" si="101"/>
        <v>0</v>
      </c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</row>
    <row r="514" spans="1:26" ht="14.4">
      <c r="A514" s="450"/>
      <c r="B514" s="428" t="s">
        <v>592</v>
      </c>
      <c r="C514" s="431">
        <v>6</v>
      </c>
      <c r="D514" s="321"/>
      <c r="E514" s="321"/>
      <c r="F514" s="429">
        <f t="shared" si="98"/>
        <v>6</v>
      </c>
      <c r="G514" s="203">
        <v>27000</v>
      </c>
      <c r="H514" s="203">
        <v>30000</v>
      </c>
      <c r="I514" s="204"/>
      <c r="J514" s="205">
        <f t="shared" si="99"/>
        <v>0</v>
      </c>
      <c r="K514" s="205">
        <f t="shared" si="100"/>
        <v>0</v>
      </c>
      <c r="L514" s="430">
        <f t="shared" si="101"/>
        <v>162000</v>
      </c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</row>
    <row r="515" spans="1:26" ht="14.4">
      <c r="A515" s="450"/>
      <c r="B515" s="428" t="s">
        <v>593</v>
      </c>
      <c r="C515" s="431">
        <v>2</v>
      </c>
      <c r="D515" s="321"/>
      <c r="E515" s="321"/>
      <c r="F515" s="429">
        <f t="shared" si="98"/>
        <v>2</v>
      </c>
      <c r="G515" s="203">
        <v>20000</v>
      </c>
      <c r="H515" s="203">
        <v>22000</v>
      </c>
      <c r="I515" s="204"/>
      <c r="J515" s="205">
        <f t="shared" si="99"/>
        <v>0</v>
      </c>
      <c r="K515" s="205">
        <f t="shared" si="100"/>
        <v>0</v>
      </c>
      <c r="L515" s="430">
        <f t="shared" si="101"/>
        <v>40000</v>
      </c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</row>
    <row r="516" spans="1:26" ht="14.4">
      <c r="A516" s="450"/>
      <c r="B516" s="428" t="s">
        <v>594</v>
      </c>
      <c r="C516" s="431">
        <v>4</v>
      </c>
      <c r="D516" s="321"/>
      <c r="E516" s="321"/>
      <c r="F516" s="429">
        <f t="shared" si="98"/>
        <v>4</v>
      </c>
      <c r="G516" s="203">
        <v>40000</v>
      </c>
      <c r="H516" s="203">
        <v>55000</v>
      </c>
      <c r="I516" s="204"/>
      <c r="J516" s="205">
        <f t="shared" si="99"/>
        <v>0</v>
      </c>
      <c r="K516" s="205">
        <f t="shared" si="100"/>
        <v>0</v>
      </c>
      <c r="L516" s="430">
        <f t="shared" si="101"/>
        <v>160000</v>
      </c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</row>
    <row r="517" spans="1:26" ht="14.4">
      <c r="A517" s="450"/>
      <c r="B517" s="428" t="s">
        <v>595</v>
      </c>
      <c r="C517" s="431">
        <v>0</v>
      </c>
      <c r="D517" s="321"/>
      <c r="E517" s="321"/>
      <c r="F517" s="429">
        <f t="shared" si="98"/>
        <v>0</v>
      </c>
      <c r="G517" s="203">
        <v>7900</v>
      </c>
      <c r="H517" s="203">
        <v>11000</v>
      </c>
      <c r="I517" s="204"/>
      <c r="J517" s="205">
        <f t="shared" si="99"/>
        <v>0</v>
      </c>
      <c r="K517" s="205">
        <f t="shared" si="100"/>
        <v>0</v>
      </c>
      <c r="L517" s="430">
        <f t="shared" si="101"/>
        <v>0</v>
      </c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</row>
    <row r="518" spans="1:26" ht="14.4">
      <c r="A518" s="450"/>
      <c r="B518" s="428" t="s">
        <v>596</v>
      </c>
      <c r="C518" s="431">
        <v>12</v>
      </c>
      <c r="D518" s="321"/>
      <c r="E518" s="321"/>
      <c r="F518" s="429">
        <f t="shared" si="98"/>
        <v>12</v>
      </c>
      <c r="G518" s="203">
        <v>18327</v>
      </c>
      <c r="H518" s="203">
        <v>21000</v>
      </c>
      <c r="I518" s="204"/>
      <c r="J518" s="205">
        <f t="shared" si="99"/>
        <v>0</v>
      </c>
      <c r="K518" s="205">
        <f t="shared" si="100"/>
        <v>0</v>
      </c>
      <c r="L518" s="430">
        <f t="shared" si="101"/>
        <v>219924</v>
      </c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</row>
    <row r="519" spans="1:26" ht="14.4">
      <c r="A519" s="450"/>
      <c r="B519" s="428" t="s">
        <v>597</v>
      </c>
      <c r="C519" s="431">
        <v>5</v>
      </c>
      <c r="D519" s="321"/>
      <c r="E519" s="321"/>
      <c r="F519" s="429">
        <f t="shared" si="98"/>
        <v>5</v>
      </c>
      <c r="G519" s="203">
        <v>19800</v>
      </c>
      <c r="H519" s="203">
        <v>23000</v>
      </c>
      <c r="I519" s="204"/>
      <c r="J519" s="205">
        <f t="shared" si="99"/>
        <v>0</v>
      </c>
      <c r="K519" s="205">
        <f t="shared" si="100"/>
        <v>0</v>
      </c>
      <c r="L519" s="430">
        <f t="shared" si="101"/>
        <v>99000</v>
      </c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</row>
    <row r="520" spans="1:26" ht="14.4">
      <c r="A520" s="450"/>
      <c r="B520" s="428" t="s">
        <v>598</v>
      </c>
      <c r="C520" s="431">
        <v>2</v>
      </c>
      <c r="D520" s="321"/>
      <c r="E520" s="321"/>
      <c r="F520" s="429">
        <f t="shared" si="98"/>
        <v>2</v>
      </c>
      <c r="G520" s="203">
        <v>18650</v>
      </c>
      <c r="H520" s="203">
        <v>21000</v>
      </c>
      <c r="I520" s="204"/>
      <c r="J520" s="205">
        <f t="shared" si="99"/>
        <v>0</v>
      </c>
      <c r="K520" s="205">
        <f t="shared" si="100"/>
        <v>0</v>
      </c>
      <c r="L520" s="430">
        <f t="shared" si="101"/>
        <v>37300</v>
      </c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</row>
    <row r="521" spans="1:26" ht="14.4">
      <c r="A521" s="450"/>
      <c r="B521" s="451" t="s">
        <v>599</v>
      </c>
      <c r="C521" s="431">
        <v>7</v>
      </c>
      <c r="D521" s="321"/>
      <c r="E521" s="321"/>
      <c r="F521" s="429">
        <f t="shared" si="98"/>
        <v>7</v>
      </c>
      <c r="G521" s="203">
        <v>17000</v>
      </c>
      <c r="H521" s="203">
        <v>20000</v>
      </c>
      <c r="I521" s="204"/>
      <c r="J521" s="205">
        <f t="shared" si="99"/>
        <v>0</v>
      </c>
      <c r="K521" s="205">
        <f t="shared" si="100"/>
        <v>0</v>
      </c>
      <c r="L521" s="430">
        <f t="shared" si="101"/>
        <v>119000</v>
      </c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</row>
    <row r="522" spans="1:26" ht="14.4">
      <c r="A522" s="450"/>
      <c r="B522" s="451" t="s">
        <v>600</v>
      </c>
      <c r="C522" s="321">
        <v>4</v>
      </c>
      <c r="D522" s="321"/>
      <c r="E522" s="321"/>
      <c r="F522" s="429">
        <f t="shared" si="98"/>
        <v>4</v>
      </c>
      <c r="G522" s="203">
        <v>67400</v>
      </c>
      <c r="H522" s="203">
        <v>59000</v>
      </c>
      <c r="I522" s="204"/>
      <c r="J522" s="205">
        <f t="shared" si="99"/>
        <v>0</v>
      </c>
      <c r="K522" s="205">
        <f t="shared" si="100"/>
        <v>0</v>
      </c>
      <c r="L522" s="430">
        <f t="shared" si="101"/>
        <v>269600</v>
      </c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</row>
    <row r="523" spans="1:26" ht="14.4">
      <c r="A523" s="450"/>
      <c r="B523" s="451" t="s">
        <v>601</v>
      </c>
      <c r="C523" s="431">
        <v>0</v>
      </c>
      <c r="D523" s="321"/>
      <c r="E523" s="321"/>
      <c r="F523" s="429">
        <f t="shared" si="98"/>
        <v>0</v>
      </c>
      <c r="G523" s="203">
        <v>29000</v>
      </c>
      <c r="H523" s="203">
        <v>31800</v>
      </c>
      <c r="I523" s="204"/>
      <c r="J523" s="205">
        <f t="shared" si="99"/>
        <v>0</v>
      </c>
      <c r="K523" s="205">
        <f t="shared" si="100"/>
        <v>0</v>
      </c>
      <c r="L523" s="430">
        <f t="shared" si="101"/>
        <v>0</v>
      </c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</row>
    <row r="524" spans="1:26" ht="14.4">
      <c r="A524" s="450"/>
      <c r="B524" s="451" t="s">
        <v>602</v>
      </c>
      <c r="C524" s="431"/>
      <c r="D524" s="321"/>
      <c r="E524" s="321"/>
      <c r="F524" s="429">
        <f t="shared" si="98"/>
        <v>0</v>
      </c>
      <c r="G524" s="203">
        <v>29500</v>
      </c>
      <c r="H524" s="203">
        <v>32000</v>
      </c>
      <c r="I524" s="204"/>
      <c r="J524" s="205">
        <f t="shared" si="99"/>
        <v>0</v>
      </c>
      <c r="K524" s="205">
        <f t="shared" si="100"/>
        <v>0</v>
      </c>
      <c r="L524" s="430">
        <f t="shared" si="101"/>
        <v>0</v>
      </c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</row>
    <row r="525" spans="1:26" ht="14.4">
      <c r="A525" s="450"/>
      <c r="B525" s="451" t="s">
        <v>603</v>
      </c>
      <c r="C525" s="431">
        <v>1</v>
      </c>
      <c r="D525" s="321"/>
      <c r="E525" s="321"/>
      <c r="F525" s="429">
        <f t="shared" si="98"/>
        <v>1</v>
      </c>
      <c r="G525" s="203">
        <v>48000</v>
      </c>
      <c r="H525" s="203">
        <v>52000</v>
      </c>
      <c r="I525" s="204"/>
      <c r="J525" s="205">
        <f t="shared" si="99"/>
        <v>0</v>
      </c>
      <c r="K525" s="205">
        <f t="shared" si="100"/>
        <v>0</v>
      </c>
      <c r="L525" s="430">
        <f t="shared" si="101"/>
        <v>48000</v>
      </c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</row>
    <row r="526" spans="1:26" ht="14.4">
      <c r="A526" s="450"/>
      <c r="B526" s="451" t="s">
        <v>604</v>
      </c>
      <c r="C526" s="431"/>
      <c r="D526" s="321"/>
      <c r="E526" s="321"/>
      <c r="F526" s="429">
        <f t="shared" si="98"/>
        <v>0</v>
      </c>
      <c r="G526" s="203">
        <v>50000</v>
      </c>
      <c r="H526" s="203">
        <v>54000</v>
      </c>
      <c r="I526" s="204"/>
      <c r="J526" s="205">
        <f t="shared" si="99"/>
        <v>0</v>
      </c>
      <c r="K526" s="205">
        <f t="shared" si="100"/>
        <v>0</v>
      </c>
      <c r="L526" s="430">
        <f t="shared" si="101"/>
        <v>0</v>
      </c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</row>
    <row r="527" spans="1:26" ht="14.4">
      <c r="A527" s="450"/>
      <c r="B527" s="451" t="s">
        <v>605</v>
      </c>
      <c r="C527" s="431">
        <v>1</v>
      </c>
      <c r="D527" s="321"/>
      <c r="E527" s="321"/>
      <c r="F527" s="429">
        <f t="shared" si="98"/>
        <v>1</v>
      </c>
      <c r="G527" s="203">
        <v>42000</v>
      </c>
      <c r="H527" s="203">
        <v>46000</v>
      </c>
      <c r="I527" s="204"/>
      <c r="J527" s="205">
        <f t="shared" si="99"/>
        <v>0</v>
      </c>
      <c r="K527" s="205">
        <f t="shared" si="100"/>
        <v>0</v>
      </c>
      <c r="L527" s="430">
        <f t="shared" si="101"/>
        <v>42000</v>
      </c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</row>
    <row r="528" spans="1:26" ht="14.4">
      <c r="A528" s="450"/>
      <c r="B528" s="451" t="s">
        <v>606</v>
      </c>
      <c r="C528" s="431">
        <v>4</v>
      </c>
      <c r="D528" s="321"/>
      <c r="E528" s="321"/>
      <c r="F528" s="429">
        <f t="shared" si="98"/>
        <v>4</v>
      </c>
      <c r="G528" s="203">
        <v>34000</v>
      </c>
      <c r="H528" s="203">
        <v>38000</v>
      </c>
      <c r="I528" s="204"/>
      <c r="J528" s="205">
        <f t="shared" si="99"/>
        <v>0</v>
      </c>
      <c r="K528" s="205">
        <f t="shared" si="100"/>
        <v>0</v>
      </c>
      <c r="L528" s="430">
        <f t="shared" si="101"/>
        <v>136000</v>
      </c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</row>
    <row r="529" spans="1:26" ht="14.4">
      <c r="A529" s="450"/>
      <c r="B529" s="451" t="s">
        <v>607</v>
      </c>
      <c r="C529" s="431">
        <v>21</v>
      </c>
      <c r="D529" s="321"/>
      <c r="E529" s="321"/>
      <c r="F529" s="429">
        <f t="shared" si="98"/>
        <v>21</v>
      </c>
      <c r="G529" s="203">
        <v>18000</v>
      </c>
      <c r="H529" s="203">
        <v>21000</v>
      </c>
      <c r="I529" s="204"/>
      <c r="J529" s="205">
        <f t="shared" si="99"/>
        <v>0</v>
      </c>
      <c r="K529" s="205">
        <f t="shared" si="100"/>
        <v>0</v>
      </c>
      <c r="L529" s="430">
        <f t="shared" si="101"/>
        <v>378000</v>
      </c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</row>
    <row r="530" spans="1:26" ht="14.4">
      <c r="A530" s="450"/>
      <c r="B530" s="451" t="s">
        <v>673</v>
      </c>
      <c r="C530" s="431">
        <v>1</v>
      </c>
      <c r="D530" s="321"/>
      <c r="E530" s="321"/>
      <c r="F530" s="429">
        <f t="shared" si="98"/>
        <v>1</v>
      </c>
      <c r="G530" s="203">
        <v>34000</v>
      </c>
      <c r="H530" s="203">
        <v>36000</v>
      </c>
      <c r="I530" s="204"/>
      <c r="J530" s="205">
        <f t="shared" si="99"/>
        <v>0</v>
      </c>
      <c r="K530" s="205">
        <f t="shared" si="100"/>
        <v>0</v>
      </c>
      <c r="L530" s="430">
        <f t="shared" si="101"/>
        <v>34000</v>
      </c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</row>
    <row r="531" spans="1:26" ht="14.4">
      <c r="A531" s="450"/>
      <c r="B531" s="451" t="s">
        <v>674</v>
      </c>
      <c r="C531" s="431">
        <v>3</v>
      </c>
      <c r="D531" s="321"/>
      <c r="E531" s="321"/>
      <c r="F531" s="429">
        <f t="shared" si="98"/>
        <v>3</v>
      </c>
      <c r="G531" s="203">
        <v>38000</v>
      </c>
      <c r="H531" s="203">
        <v>42000</v>
      </c>
      <c r="I531" s="204"/>
      <c r="J531" s="205">
        <f t="shared" si="99"/>
        <v>0</v>
      </c>
      <c r="K531" s="205">
        <f t="shared" si="100"/>
        <v>0</v>
      </c>
      <c r="L531" s="430">
        <f t="shared" si="101"/>
        <v>114000</v>
      </c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</row>
    <row r="532" spans="1:26" ht="14.4">
      <c r="A532" s="450"/>
      <c r="B532" s="451" t="s">
        <v>610</v>
      </c>
      <c r="C532" s="431">
        <v>3</v>
      </c>
      <c r="D532" s="321"/>
      <c r="E532" s="321"/>
      <c r="F532" s="429">
        <f t="shared" si="98"/>
        <v>3</v>
      </c>
      <c r="G532" s="203">
        <f>136685/4</f>
        <v>34171.25</v>
      </c>
      <c r="H532" s="203">
        <v>38000</v>
      </c>
      <c r="I532" s="204"/>
      <c r="J532" s="205">
        <f t="shared" si="99"/>
        <v>0</v>
      </c>
      <c r="K532" s="205">
        <f t="shared" si="100"/>
        <v>0</v>
      </c>
      <c r="L532" s="430">
        <f t="shared" si="101"/>
        <v>102513.75</v>
      </c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</row>
    <row r="533" spans="1:26" ht="14.4">
      <c r="A533" s="450"/>
      <c r="B533" s="451" t="s">
        <v>611</v>
      </c>
      <c r="C533" s="431"/>
      <c r="D533" s="321"/>
      <c r="E533" s="321"/>
      <c r="F533" s="429">
        <f t="shared" si="98"/>
        <v>0</v>
      </c>
      <c r="G533" s="203">
        <v>24000</v>
      </c>
      <c r="H533" s="203">
        <v>26000</v>
      </c>
      <c r="I533" s="204"/>
      <c r="J533" s="205">
        <f t="shared" si="99"/>
        <v>0</v>
      </c>
      <c r="K533" s="205">
        <f t="shared" si="100"/>
        <v>0</v>
      </c>
      <c r="L533" s="430">
        <f t="shared" si="101"/>
        <v>0</v>
      </c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</row>
    <row r="534" spans="1:26" ht="14.4">
      <c r="A534" s="450"/>
      <c r="B534" s="451" t="s">
        <v>612</v>
      </c>
      <c r="C534" s="431">
        <v>38</v>
      </c>
      <c r="D534" s="321"/>
      <c r="E534" s="321"/>
      <c r="F534" s="429">
        <f t="shared" si="98"/>
        <v>38</v>
      </c>
      <c r="G534" s="203">
        <v>16000</v>
      </c>
      <c r="H534" s="203">
        <v>18000</v>
      </c>
      <c r="I534" s="204"/>
      <c r="J534" s="205">
        <f t="shared" si="99"/>
        <v>0</v>
      </c>
      <c r="K534" s="205">
        <f t="shared" si="100"/>
        <v>0</v>
      </c>
      <c r="L534" s="430">
        <f t="shared" si="101"/>
        <v>608000</v>
      </c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</row>
    <row r="535" spans="1:26" ht="14.4">
      <c r="A535" s="450"/>
      <c r="B535" s="451" t="s">
        <v>675</v>
      </c>
      <c r="C535" s="431">
        <v>5</v>
      </c>
      <c r="D535" s="321"/>
      <c r="E535" s="321"/>
      <c r="F535" s="429">
        <f t="shared" si="98"/>
        <v>5</v>
      </c>
      <c r="G535" s="203">
        <v>16000</v>
      </c>
      <c r="H535" s="203">
        <v>20000</v>
      </c>
      <c r="I535" s="204"/>
      <c r="J535" s="205">
        <f t="shared" si="99"/>
        <v>0</v>
      </c>
      <c r="K535" s="205">
        <f t="shared" si="100"/>
        <v>0</v>
      </c>
      <c r="L535" s="430">
        <f t="shared" si="101"/>
        <v>80000</v>
      </c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</row>
    <row r="536" spans="1:26" ht="14.4">
      <c r="A536" s="450"/>
      <c r="B536" s="451" t="s">
        <v>614</v>
      </c>
      <c r="C536" s="431"/>
      <c r="D536" s="321"/>
      <c r="E536" s="321"/>
      <c r="F536" s="429">
        <f t="shared" si="98"/>
        <v>0</v>
      </c>
      <c r="G536" s="203">
        <v>75000</v>
      </c>
      <c r="H536" s="203">
        <v>80000</v>
      </c>
      <c r="I536" s="204"/>
      <c r="J536" s="205">
        <f t="shared" si="99"/>
        <v>0</v>
      </c>
      <c r="K536" s="205">
        <f t="shared" si="100"/>
        <v>0</v>
      </c>
      <c r="L536" s="430">
        <f t="shared" si="101"/>
        <v>0</v>
      </c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</row>
    <row r="537" spans="1:26" ht="14.4">
      <c r="A537" s="450"/>
      <c r="B537" s="451" t="s">
        <v>615</v>
      </c>
      <c r="C537" s="321">
        <v>3</v>
      </c>
      <c r="D537" s="321"/>
      <c r="E537" s="321"/>
      <c r="F537" s="429">
        <f t="shared" si="98"/>
        <v>3</v>
      </c>
      <c r="G537" s="203">
        <v>129187</v>
      </c>
      <c r="H537" s="203">
        <v>131000</v>
      </c>
      <c r="I537" s="204"/>
      <c r="J537" s="205">
        <f t="shared" si="99"/>
        <v>0</v>
      </c>
      <c r="K537" s="205">
        <f t="shared" si="100"/>
        <v>0</v>
      </c>
      <c r="L537" s="430">
        <f t="shared" si="101"/>
        <v>387561</v>
      </c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</row>
    <row r="538" spans="1:26" ht="14.4">
      <c r="A538" s="450"/>
      <c r="B538" s="451" t="s">
        <v>616</v>
      </c>
      <c r="C538" s="431"/>
      <c r="D538" s="321"/>
      <c r="E538" s="321"/>
      <c r="F538" s="429">
        <f t="shared" si="98"/>
        <v>0</v>
      </c>
      <c r="G538" s="203">
        <v>11000</v>
      </c>
      <c r="H538" s="203">
        <v>13000</v>
      </c>
      <c r="I538" s="204"/>
      <c r="J538" s="205">
        <f t="shared" si="99"/>
        <v>0</v>
      </c>
      <c r="K538" s="205">
        <f t="shared" si="100"/>
        <v>0</v>
      </c>
      <c r="L538" s="430">
        <f t="shared" si="101"/>
        <v>0</v>
      </c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</row>
    <row r="539" spans="1:26" ht="14.4">
      <c r="A539" s="450"/>
      <c r="B539" s="451" t="s">
        <v>617</v>
      </c>
      <c r="C539" s="431"/>
      <c r="D539" s="321"/>
      <c r="E539" s="321"/>
      <c r="F539" s="429">
        <f t="shared" si="98"/>
        <v>0</v>
      </c>
      <c r="G539" s="203">
        <v>61000</v>
      </c>
      <c r="H539" s="203">
        <v>66000</v>
      </c>
      <c r="I539" s="204"/>
      <c r="J539" s="205">
        <f t="shared" si="99"/>
        <v>0</v>
      </c>
      <c r="K539" s="205">
        <f t="shared" si="100"/>
        <v>0</v>
      </c>
      <c r="L539" s="430">
        <f t="shared" si="101"/>
        <v>0</v>
      </c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</row>
    <row r="540" spans="1:26" ht="14.4">
      <c r="A540" s="450"/>
      <c r="B540" s="451" t="s">
        <v>618</v>
      </c>
      <c r="C540" s="431">
        <v>3</v>
      </c>
      <c r="D540" s="321"/>
      <c r="E540" s="321"/>
      <c r="F540" s="429">
        <f t="shared" si="98"/>
        <v>3</v>
      </c>
      <c r="G540" s="203">
        <v>19000</v>
      </c>
      <c r="H540" s="203">
        <v>22000</v>
      </c>
      <c r="I540" s="204"/>
      <c r="J540" s="205">
        <f t="shared" si="99"/>
        <v>0</v>
      </c>
      <c r="K540" s="205">
        <f t="shared" si="100"/>
        <v>0</v>
      </c>
      <c r="L540" s="430">
        <f t="shared" si="101"/>
        <v>57000</v>
      </c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</row>
    <row r="541" spans="1:26" ht="14.4">
      <c r="A541" s="450"/>
      <c r="B541" s="451" t="s">
        <v>619</v>
      </c>
      <c r="C541" s="431"/>
      <c r="D541" s="321"/>
      <c r="E541" s="321"/>
      <c r="F541" s="429">
        <f t="shared" si="98"/>
        <v>0</v>
      </c>
      <c r="G541" s="203">
        <v>10000</v>
      </c>
      <c r="H541" s="203">
        <v>12000</v>
      </c>
      <c r="I541" s="204"/>
      <c r="J541" s="205">
        <f t="shared" si="99"/>
        <v>0</v>
      </c>
      <c r="K541" s="205">
        <f t="shared" si="100"/>
        <v>0</v>
      </c>
      <c r="L541" s="430">
        <f t="shared" si="101"/>
        <v>0</v>
      </c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</row>
    <row r="542" spans="1:26" ht="14.4">
      <c r="A542" s="450"/>
      <c r="B542" s="451" t="s">
        <v>676</v>
      </c>
      <c r="C542" s="431">
        <v>4</v>
      </c>
      <c r="D542" s="321"/>
      <c r="E542" s="321"/>
      <c r="F542" s="429">
        <f t="shared" si="98"/>
        <v>4</v>
      </c>
      <c r="G542" s="203">
        <v>21000</v>
      </c>
      <c r="H542" s="203">
        <v>24000</v>
      </c>
      <c r="I542" s="204"/>
      <c r="J542" s="205">
        <f t="shared" si="99"/>
        <v>0</v>
      </c>
      <c r="K542" s="205">
        <f t="shared" si="100"/>
        <v>0</v>
      </c>
      <c r="L542" s="430">
        <f t="shared" si="101"/>
        <v>84000</v>
      </c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</row>
    <row r="543" spans="1:26" ht="14.4">
      <c r="A543" s="450"/>
      <c r="B543" s="451" t="s">
        <v>621</v>
      </c>
      <c r="C543" s="431"/>
      <c r="D543" s="321"/>
      <c r="E543" s="321"/>
      <c r="F543" s="429">
        <f t="shared" si="98"/>
        <v>0</v>
      </c>
      <c r="G543" s="203">
        <v>11000</v>
      </c>
      <c r="H543" s="203">
        <v>13000</v>
      </c>
      <c r="I543" s="204"/>
      <c r="J543" s="205">
        <f t="shared" si="99"/>
        <v>0</v>
      </c>
      <c r="K543" s="205">
        <f t="shared" si="100"/>
        <v>0</v>
      </c>
      <c r="L543" s="430">
        <f t="shared" si="101"/>
        <v>0</v>
      </c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</row>
    <row r="544" spans="1:26" ht="14.4">
      <c r="A544" s="450"/>
      <c r="B544" s="451" t="s">
        <v>622</v>
      </c>
      <c r="C544" s="431">
        <v>1</v>
      </c>
      <c r="D544" s="321"/>
      <c r="E544" s="321"/>
      <c r="F544" s="429">
        <f t="shared" si="98"/>
        <v>1</v>
      </c>
      <c r="G544" s="203">
        <v>28000</v>
      </c>
      <c r="H544" s="203">
        <v>31000</v>
      </c>
      <c r="I544" s="204"/>
      <c r="J544" s="205">
        <f t="shared" si="99"/>
        <v>0</v>
      </c>
      <c r="K544" s="205">
        <f t="shared" si="100"/>
        <v>0</v>
      </c>
      <c r="L544" s="430">
        <f t="shared" si="101"/>
        <v>28000</v>
      </c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</row>
    <row r="545" spans="1:26" ht="14.4">
      <c r="A545" s="450"/>
      <c r="B545" s="451" t="s">
        <v>623</v>
      </c>
      <c r="C545" s="431">
        <v>2</v>
      </c>
      <c r="D545" s="321"/>
      <c r="E545" s="321"/>
      <c r="F545" s="429">
        <f t="shared" si="98"/>
        <v>2</v>
      </c>
      <c r="G545" s="203">
        <v>11000</v>
      </c>
      <c r="H545" s="203">
        <v>13000</v>
      </c>
      <c r="I545" s="204"/>
      <c r="J545" s="205">
        <f t="shared" si="99"/>
        <v>0</v>
      </c>
      <c r="K545" s="205">
        <f t="shared" si="100"/>
        <v>0</v>
      </c>
      <c r="L545" s="430">
        <f t="shared" si="101"/>
        <v>22000</v>
      </c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</row>
    <row r="546" spans="1:26" ht="14.4">
      <c r="A546" s="450"/>
      <c r="B546" s="451" t="s">
        <v>624</v>
      </c>
      <c r="C546" s="431">
        <v>17</v>
      </c>
      <c r="D546" s="321"/>
      <c r="E546" s="321"/>
      <c r="F546" s="429">
        <f t="shared" si="98"/>
        <v>17</v>
      </c>
      <c r="G546" s="203">
        <v>23000</v>
      </c>
      <c r="H546" s="203">
        <v>26000</v>
      </c>
      <c r="I546" s="204"/>
      <c r="J546" s="205">
        <f t="shared" si="99"/>
        <v>0</v>
      </c>
      <c r="K546" s="205">
        <f t="shared" si="100"/>
        <v>0</v>
      </c>
      <c r="L546" s="430">
        <f t="shared" si="101"/>
        <v>391000</v>
      </c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</row>
    <row r="547" spans="1:26" ht="14.4">
      <c r="A547" s="450"/>
      <c r="B547" s="451" t="s">
        <v>625</v>
      </c>
      <c r="C547" s="431">
        <v>2</v>
      </c>
      <c r="D547" s="321"/>
      <c r="E547" s="321"/>
      <c r="F547" s="429">
        <f t="shared" si="98"/>
        <v>2</v>
      </c>
      <c r="G547" s="203">
        <v>37000</v>
      </c>
      <c r="H547" s="203">
        <v>40000</v>
      </c>
      <c r="I547" s="204"/>
      <c r="J547" s="205">
        <f t="shared" si="99"/>
        <v>0</v>
      </c>
      <c r="K547" s="205">
        <f t="shared" si="100"/>
        <v>0</v>
      </c>
      <c r="L547" s="430">
        <f t="shared" si="101"/>
        <v>74000</v>
      </c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</row>
    <row r="548" spans="1:26" ht="14.4">
      <c r="A548" s="450"/>
      <c r="B548" s="451" t="s">
        <v>626</v>
      </c>
      <c r="C548" s="431">
        <v>1</v>
      </c>
      <c r="D548" s="321"/>
      <c r="E548" s="321"/>
      <c r="F548" s="429">
        <f t="shared" si="98"/>
        <v>1</v>
      </c>
      <c r="G548" s="203">
        <v>18800</v>
      </c>
      <c r="H548" s="203">
        <v>21000</v>
      </c>
      <c r="I548" s="204"/>
      <c r="J548" s="205">
        <f t="shared" si="99"/>
        <v>0</v>
      </c>
      <c r="K548" s="205">
        <f t="shared" si="100"/>
        <v>0</v>
      </c>
      <c r="L548" s="430">
        <f t="shared" si="101"/>
        <v>18800</v>
      </c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</row>
    <row r="549" spans="1:26" ht="14.4">
      <c r="A549" s="450"/>
      <c r="B549" s="451" t="s">
        <v>627</v>
      </c>
      <c r="C549" s="431">
        <v>0</v>
      </c>
      <c r="D549" s="321"/>
      <c r="E549" s="321"/>
      <c r="F549" s="429">
        <f t="shared" si="98"/>
        <v>0</v>
      </c>
      <c r="G549" s="203">
        <v>11500</v>
      </c>
      <c r="H549" s="203">
        <v>13000</v>
      </c>
      <c r="I549" s="204"/>
      <c r="J549" s="205">
        <f t="shared" si="99"/>
        <v>0</v>
      </c>
      <c r="K549" s="205">
        <f t="shared" si="100"/>
        <v>0</v>
      </c>
      <c r="L549" s="430">
        <f t="shared" si="101"/>
        <v>0</v>
      </c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</row>
    <row r="550" spans="1:26" ht="14.4">
      <c r="A550" s="450"/>
      <c r="B550" s="451" t="s">
        <v>628</v>
      </c>
      <c r="C550" s="431"/>
      <c r="D550" s="321"/>
      <c r="E550" s="321"/>
      <c r="F550" s="429">
        <f t="shared" si="98"/>
        <v>0</v>
      </c>
      <c r="G550" s="203">
        <v>22000</v>
      </c>
      <c r="H550" s="203">
        <v>24500</v>
      </c>
      <c r="I550" s="204"/>
      <c r="J550" s="205">
        <f t="shared" si="99"/>
        <v>0</v>
      </c>
      <c r="K550" s="205">
        <f t="shared" si="100"/>
        <v>0</v>
      </c>
      <c r="L550" s="430">
        <f t="shared" si="101"/>
        <v>0</v>
      </c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</row>
    <row r="551" spans="1:26" ht="14.4">
      <c r="A551" s="450"/>
      <c r="B551" s="451" t="s">
        <v>629</v>
      </c>
      <c r="C551" s="431">
        <v>3</v>
      </c>
      <c r="D551" s="321"/>
      <c r="E551" s="321"/>
      <c r="F551" s="429">
        <f t="shared" si="98"/>
        <v>3</v>
      </c>
      <c r="G551" s="203">
        <v>40000</v>
      </c>
      <c r="H551" s="203">
        <v>44000</v>
      </c>
      <c r="I551" s="204"/>
      <c r="J551" s="205">
        <f t="shared" si="99"/>
        <v>0</v>
      </c>
      <c r="K551" s="205">
        <f t="shared" si="100"/>
        <v>0</v>
      </c>
      <c r="L551" s="430">
        <f t="shared" si="101"/>
        <v>120000</v>
      </c>
      <c r="M551" s="452">
        <f>8*64</f>
        <v>512</v>
      </c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</row>
    <row r="552" spans="1:26" ht="14.4">
      <c r="A552" s="450"/>
      <c r="B552" s="451" t="s">
        <v>677</v>
      </c>
      <c r="C552" s="431">
        <v>3</v>
      </c>
      <c r="D552" s="321"/>
      <c r="E552" s="321"/>
      <c r="F552" s="429">
        <f t="shared" si="98"/>
        <v>3</v>
      </c>
      <c r="G552" s="203">
        <v>57000</v>
      </c>
      <c r="H552" s="203">
        <v>71000</v>
      </c>
      <c r="I552" s="204"/>
      <c r="J552" s="205">
        <f t="shared" si="99"/>
        <v>0</v>
      </c>
      <c r="K552" s="205">
        <f t="shared" si="100"/>
        <v>0</v>
      </c>
      <c r="L552" s="430">
        <f t="shared" si="101"/>
        <v>171000</v>
      </c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</row>
    <row r="553" spans="1:26" ht="14.4">
      <c r="A553" s="450"/>
      <c r="B553" s="451" t="s">
        <v>631</v>
      </c>
      <c r="C553" s="431">
        <v>1</v>
      </c>
      <c r="D553" s="321"/>
      <c r="E553" s="321"/>
      <c r="F553" s="429">
        <f t="shared" si="98"/>
        <v>1</v>
      </c>
      <c r="G553" s="203">
        <v>51000</v>
      </c>
      <c r="H553" s="203">
        <v>58000</v>
      </c>
      <c r="I553" s="204"/>
      <c r="J553" s="205">
        <f t="shared" si="99"/>
        <v>0</v>
      </c>
      <c r="K553" s="205">
        <f t="shared" si="100"/>
        <v>0</v>
      </c>
      <c r="L553" s="430">
        <f t="shared" si="101"/>
        <v>51000</v>
      </c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</row>
    <row r="554" spans="1:26" ht="14.4">
      <c r="A554" s="450"/>
      <c r="B554" s="451" t="s">
        <v>632</v>
      </c>
      <c r="C554" s="431">
        <v>2</v>
      </c>
      <c r="D554" s="321"/>
      <c r="E554" s="321"/>
      <c r="F554" s="429">
        <f t="shared" si="98"/>
        <v>2</v>
      </c>
      <c r="G554" s="203">
        <v>6500</v>
      </c>
      <c r="H554" s="203">
        <v>7500</v>
      </c>
      <c r="I554" s="204"/>
      <c r="J554" s="205">
        <f t="shared" si="99"/>
        <v>0</v>
      </c>
      <c r="K554" s="205">
        <f t="shared" si="100"/>
        <v>0</v>
      </c>
      <c r="L554" s="430">
        <f t="shared" si="101"/>
        <v>13000</v>
      </c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</row>
    <row r="555" spans="1:26" ht="14.4">
      <c r="A555" s="450"/>
      <c r="B555" s="451" t="s">
        <v>633</v>
      </c>
      <c r="C555" s="431">
        <v>2</v>
      </c>
      <c r="D555" s="321"/>
      <c r="E555" s="321"/>
      <c r="F555" s="429">
        <f t="shared" si="98"/>
        <v>2</v>
      </c>
      <c r="G555" s="203">
        <v>75000</v>
      </c>
      <c r="H555" s="203">
        <v>80000</v>
      </c>
      <c r="I555" s="204"/>
      <c r="J555" s="205">
        <f t="shared" si="99"/>
        <v>0</v>
      </c>
      <c r="K555" s="205">
        <f t="shared" si="100"/>
        <v>0</v>
      </c>
      <c r="L555" s="430">
        <f t="shared" si="101"/>
        <v>150000</v>
      </c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</row>
    <row r="556" spans="1:26" ht="14.4">
      <c r="A556" s="450"/>
      <c r="B556" s="451" t="s">
        <v>634</v>
      </c>
      <c r="C556" s="431">
        <v>1</v>
      </c>
      <c r="D556" s="321"/>
      <c r="E556" s="321"/>
      <c r="F556" s="429">
        <f t="shared" si="98"/>
        <v>1</v>
      </c>
      <c r="G556" s="203">
        <v>31000</v>
      </c>
      <c r="H556" s="203">
        <v>35000</v>
      </c>
      <c r="I556" s="204"/>
      <c r="J556" s="205">
        <f t="shared" si="99"/>
        <v>0</v>
      </c>
      <c r="K556" s="205">
        <f t="shared" si="100"/>
        <v>0</v>
      </c>
      <c r="L556" s="430">
        <f t="shared" si="101"/>
        <v>31000</v>
      </c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</row>
    <row r="557" spans="1:26" ht="14.4">
      <c r="A557" s="450"/>
      <c r="B557" s="451" t="s">
        <v>635</v>
      </c>
      <c r="C557" s="431">
        <v>2</v>
      </c>
      <c r="D557" s="321"/>
      <c r="E557" s="321"/>
      <c r="F557" s="429">
        <f t="shared" si="98"/>
        <v>2</v>
      </c>
      <c r="G557" s="203">
        <v>55000</v>
      </c>
      <c r="H557" s="203">
        <v>59000</v>
      </c>
      <c r="I557" s="204"/>
      <c r="J557" s="205">
        <f t="shared" si="99"/>
        <v>0</v>
      </c>
      <c r="K557" s="205">
        <f t="shared" si="100"/>
        <v>0</v>
      </c>
      <c r="L557" s="430">
        <f t="shared" si="101"/>
        <v>110000</v>
      </c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</row>
    <row r="558" spans="1:26" ht="14.4">
      <c r="A558" s="450"/>
      <c r="B558" s="451" t="s">
        <v>636</v>
      </c>
      <c r="C558" s="431">
        <v>0</v>
      </c>
      <c r="D558" s="321"/>
      <c r="E558" s="321"/>
      <c r="F558" s="429">
        <f t="shared" si="98"/>
        <v>0</v>
      </c>
      <c r="G558" s="203">
        <v>22700</v>
      </c>
      <c r="H558" s="203">
        <v>26000</v>
      </c>
      <c r="I558" s="204"/>
      <c r="J558" s="205">
        <f t="shared" si="99"/>
        <v>0</v>
      </c>
      <c r="K558" s="205">
        <f t="shared" si="100"/>
        <v>0</v>
      </c>
      <c r="L558" s="430">
        <f t="shared" si="101"/>
        <v>0</v>
      </c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</row>
    <row r="559" spans="1:26" ht="14.4">
      <c r="A559" s="450"/>
      <c r="B559" s="451" t="s">
        <v>637</v>
      </c>
      <c r="C559" s="431">
        <v>1</v>
      </c>
      <c r="D559" s="321"/>
      <c r="E559" s="321"/>
      <c r="F559" s="429">
        <f t="shared" si="98"/>
        <v>1</v>
      </c>
      <c r="G559" s="203">
        <v>27000</v>
      </c>
      <c r="H559" s="203">
        <v>30000</v>
      </c>
      <c r="I559" s="204"/>
      <c r="J559" s="205">
        <f t="shared" si="99"/>
        <v>0</v>
      </c>
      <c r="K559" s="205">
        <f t="shared" si="100"/>
        <v>0</v>
      </c>
      <c r="L559" s="430">
        <f t="shared" si="101"/>
        <v>27000</v>
      </c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</row>
    <row r="560" spans="1:26" ht="14.4">
      <c r="A560" s="450"/>
      <c r="B560" s="451" t="s">
        <v>638</v>
      </c>
      <c r="C560" s="431">
        <v>0</v>
      </c>
      <c r="D560" s="321"/>
      <c r="E560" s="321"/>
      <c r="F560" s="429">
        <f t="shared" si="98"/>
        <v>0</v>
      </c>
      <c r="G560" s="203">
        <v>11000</v>
      </c>
      <c r="H560" s="203">
        <v>13000</v>
      </c>
      <c r="I560" s="204"/>
      <c r="J560" s="205">
        <f t="shared" si="99"/>
        <v>0</v>
      </c>
      <c r="K560" s="205">
        <f t="shared" si="100"/>
        <v>0</v>
      </c>
      <c r="L560" s="430">
        <f t="shared" si="101"/>
        <v>0</v>
      </c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</row>
    <row r="561" spans="1:26" ht="14.4">
      <c r="A561" s="450"/>
      <c r="B561" s="451" t="s">
        <v>678</v>
      </c>
      <c r="C561" s="431">
        <v>2</v>
      </c>
      <c r="D561" s="321"/>
      <c r="E561" s="321"/>
      <c r="F561" s="429">
        <f t="shared" si="98"/>
        <v>2</v>
      </c>
      <c r="G561" s="203">
        <v>37000</v>
      </c>
      <c r="H561" s="203">
        <v>40000</v>
      </c>
      <c r="I561" s="204"/>
      <c r="J561" s="205">
        <f t="shared" si="99"/>
        <v>0</v>
      </c>
      <c r="K561" s="205">
        <f t="shared" si="100"/>
        <v>0</v>
      </c>
      <c r="L561" s="430">
        <f t="shared" si="101"/>
        <v>74000</v>
      </c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</row>
    <row r="562" spans="1:26" ht="14.4">
      <c r="A562" s="450"/>
      <c r="B562" s="451" t="s">
        <v>640</v>
      </c>
      <c r="C562" s="431">
        <v>2</v>
      </c>
      <c r="D562" s="321"/>
      <c r="E562" s="321"/>
      <c r="F562" s="429">
        <f t="shared" si="98"/>
        <v>2</v>
      </c>
      <c r="G562" s="203">
        <v>49000</v>
      </c>
      <c r="H562" s="203">
        <v>52000</v>
      </c>
      <c r="I562" s="204"/>
      <c r="J562" s="205">
        <f t="shared" si="99"/>
        <v>0</v>
      </c>
      <c r="K562" s="205">
        <f t="shared" si="100"/>
        <v>0</v>
      </c>
      <c r="L562" s="430">
        <f t="shared" si="101"/>
        <v>98000</v>
      </c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</row>
    <row r="563" spans="1:26" ht="14.4">
      <c r="A563" s="450"/>
      <c r="B563" s="451" t="s">
        <v>641</v>
      </c>
      <c r="C563" s="431">
        <v>3</v>
      </c>
      <c r="D563" s="321"/>
      <c r="E563" s="321"/>
      <c r="F563" s="429">
        <f t="shared" si="98"/>
        <v>3</v>
      </c>
      <c r="G563" s="203">
        <v>49000</v>
      </c>
      <c r="H563" s="203">
        <v>52000</v>
      </c>
      <c r="I563" s="204"/>
      <c r="J563" s="205">
        <f t="shared" si="99"/>
        <v>0</v>
      </c>
      <c r="K563" s="205">
        <f t="shared" si="100"/>
        <v>0</v>
      </c>
      <c r="L563" s="430">
        <f t="shared" si="101"/>
        <v>147000</v>
      </c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</row>
    <row r="564" spans="1:26" ht="14.4">
      <c r="A564" s="450"/>
      <c r="B564" s="451" t="s">
        <v>679</v>
      </c>
      <c r="C564" s="431">
        <v>0</v>
      </c>
      <c r="D564" s="321"/>
      <c r="E564" s="321"/>
      <c r="F564" s="429">
        <f t="shared" si="98"/>
        <v>0</v>
      </c>
      <c r="G564" s="203">
        <v>27000</v>
      </c>
      <c r="H564" s="203">
        <v>30000</v>
      </c>
      <c r="I564" s="204"/>
      <c r="J564" s="205">
        <f t="shared" si="99"/>
        <v>0</v>
      </c>
      <c r="K564" s="205">
        <f t="shared" si="100"/>
        <v>0</v>
      </c>
      <c r="L564" s="430">
        <f t="shared" si="101"/>
        <v>0</v>
      </c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</row>
    <row r="565" spans="1:26" ht="14.4">
      <c r="A565" s="450"/>
      <c r="B565" s="451" t="s">
        <v>643</v>
      </c>
      <c r="C565" s="431">
        <v>4</v>
      </c>
      <c r="D565" s="321"/>
      <c r="E565" s="321"/>
      <c r="F565" s="429">
        <f t="shared" si="98"/>
        <v>4</v>
      </c>
      <c r="G565" s="203">
        <v>27000</v>
      </c>
      <c r="H565" s="203">
        <v>30000</v>
      </c>
      <c r="I565" s="204"/>
      <c r="J565" s="205">
        <f t="shared" si="99"/>
        <v>0</v>
      </c>
      <c r="K565" s="205">
        <f t="shared" si="100"/>
        <v>0</v>
      </c>
      <c r="L565" s="430">
        <f t="shared" si="101"/>
        <v>108000</v>
      </c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</row>
    <row r="566" spans="1:26" ht="14.4">
      <c r="A566" s="450"/>
      <c r="B566" s="451" t="s">
        <v>644</v>
      </c>
      <c r="C566" s="431"/>
      <c r="D566" s="321"/>
      <c r="E566" s="321"/>
      <c r="F566" s="429">
        <f t="shared" si="98"/>
        <v>0</v>
      </c>
      <c r="G566" s="203">
        <v>28800</v>
      </c>
      <c r="H566" s="203">
        <v>31000</v>
      </c>
      <c r="I566" s="204"/>
      <c r="J566" s="205">
        <f t="shared" si="99"/>
        <v>0</v>
      </c>
      <c r="K566" s="205">
        <f t="shared" si="100"/>
        <v>0</v>
      </c>
      <c r="L566" s="430">
        <f t="shared" si="101"/>
        <v>0</v>
      </c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</row>
    <row r="567" spans="1:26" ht="14.4">
      <c r="A567" s="450"/>
      <c r="B567" s="451" t="s">
        <v>645</v>
      </c>
      <c r="C567" s="431">
        <v>1</v>
      </c>
      <c r="D567" s="321"/>
      <c r="E567" s="321"/>
      <c r="F567" s="429">
        <f t="shared" si="98"/>
        <v>1</v>
      </c>
      <c r="G567" s="203">
        <v>13000</v>
      </c>
      <c r="H567" s="203">
        <v>15000</v>
      </c>
      <c r="I567" s="204"/>
      <c r="J567" s="205">
        <f t="shared" si="99"/>
        <v>0</v>
      </c>
      <c r="K567" s="205">
        <f t="shared" si="100"/>
        <v>0</v>
      </c>
      <c r="L567" s="430">
        <f t="shared" si="101"/>
        <v>13000</v>
      </c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</row>
    <row r="568" spans="1:26" ht="14.4">
      <c r="A568" s="450"/>
      <c r="B568" s="451" t="s">
        <v>646</v>
      </c>
      <c r="C568" s="431"/>
      <c r="D568" s="321"/>
      <c r="E568" s="321"/>
      <c r="F568" s="429">
        <f t="shared" si="98"/>
        <v>0</v>
      </c>
      <c r="G568" s="203">
        <v>16000</v>
      </c>
      <c r="H568" s="203">
        <v>19000</v>
      </c>
      <c r="I568" s="204"/>
      <c r="J568" s="205">
        <f t="shared" si="99"/>
        <v>0</v>
      </c>
      <c r="K568" s="205">
        <f t="shared" si="100"/>
        <v>0</v>
      </c>
      <c r="L568" s="430">
        <f t="shared" si="101"/>
        <v>0</v>
      </c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</row>
    <row r="569" spans="1:26" ht="14.4">
      <c r="A569" s="450"/>
      <c r="B569" s="451" t="s">
        <v>647</v>
      </c>
      <c r="C569" s="431">
        <v>2</v>
      </c>
      <c r="D569" s="321"/>
      <c r="E569" s="321"/>
      <c r="F569" s="429">
        <f t="shared" si="98"/>
        <v>2</v>
      </c>
      <c r="G569" s="203">
        <v>56000</v>
      </c>
      <c r="H569" s="203">
        <v>60000</v>
      </c>
      <c r="I569" s="204"/>
      <c r="J569" s="205">
        <f t="shared" si="99"/>
        <v>0</v>
      </c>
      <c r="K569" s="205">
        <f t="shared" si="100"/>
        <v>0</v>
      </c>
      <c r="L569" s="430">
        <f t="shared" si="101"/>
        <v>112000</v>
      </c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</row>
    <row r="570" spans="1:26" ht="14.4">
      <c r="A570" s="450"/>
      <c r="B570" s="451" t="s">
        <v>648</v>
      </c>
      <c r="C570" s="431">
        <v>2</v>
      </c>
      <c r="D570" s="321"/>
      <c r="E570" s="321"/>
      <c r="F570" s="429">
        <f t="shared" si="98"/>
        <v>2</v>
      </c>
      <c r="G570" s="203">
        <v>25400</v>
      </c>
      <c r="H570" s="203">
        <v>28000</v>
      </c>
      <c r="I570" s="204"/>
      <c r="J570" s="205">
        <f t="shared" si="99"/>
        <v>0</v>
      </c>
      <c r="K570" s="205">
        <f t="shared" si="100"/>
        <v>0</v>
      </c>
      <c r="L570" s="430">
        <f t="shared" si="101"/>
        <v>50800</v>
      </c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</row>
    <row r="571" spans="1:26" ht="14.4">
      <c r="A571" s="450"/>
      <c r="B571" s="451" t="s">
        <v>680</v>
      </c>
      <c r="C571" s="431">
        <v>2</v>
      </c>
      <c r="D571" s="321"/>
      <c r="E571" s="321"/>
      <c r="F571" s="429">
        <f t="shared" si="98"/>
        <v>2</v>
      </c>
      <c r="G571" s="203">
        <v>24000</v>
      </c>
      <c r="H571" s="203">
        <v>26000</v>
      </c>
      <c r="I571" s="204"/>
      <c r="J571" s="205">
        <f t="shared" si="99"/>
        <v>0</v>
      </c>
      <c r="K571" s="205">
        <f t="shared" si="100"/>
        <v>0</v>
      </c>
      <c r="L571" s="430">
        <f t="shared" si="101"/>
        <v>48000</v>
      </c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</row>
    <row r="572" spans="1:26" ht="14.4">
      <c r="A572" s="450"/>
      <c r="B572" s="451" t="s">
        <v>650</v>
      </c>
      <c r="C572" s="431">
        <v>0</v>
      </c>
      <c r="D572" s="321"/>
      <c r="E572" s="321"/>
      <c r="F572" s="429">
        <f t="shared" si="98"/>
        <v>0</v>
      </c>
      <c r="G572" s="203">
        <v>25470</v>
      </c>
      <c r="H572" s="203">
        <v>27000</v>
      </c>
      <c r="I572" s="204"/>
      <c r="J572" s="205">
        <f t="shared" si="99"/>
        <v>0</v>
      </c>
      <c r="K572" s="205">
        <f t="shared" si="100"/>
        <v>0</v>
      </c>
      <c r="L572" s="430">
        <f t="shared" si="101"/>
        <v>0</v>
      </c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</row>
    <row r="573" spans="1:26" ht="14.4">
      <c r="A573" s="450"/>
      <c r="B573" s="451" t="s">
        <v>651</v>
      </c>
      <c r="C573" s="431">
        <v>3</v>
      </c>
      <c r="D573" s="321"/>
      <c r="E573" s="321"/>
      <c r="F573" s="429">
        <f t="shared" si="98"/>
        <v>3</v>
      </c>
      <c r="G573" s="203">
        <v>45400</v>
      </c>
      <c r="H573" s="203">
        <v>48000</v>
      </c>
      <c r="I573" s="204"/>
      <c r="J573" s="205">
        <f t="shared" si="99"/>
        <v>0</v>
      </c>
      <c r="K573" s="205">
        <f t="shared" si="100"/>
        <v>0</v>
      </c>
      <c r="L573" s="430">
        <f t="shared" si="101"/>
        <v>136200</v>
      </c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</row>
    <row r="574" spans="1:26" ht="14.4">
      <c r="A574" s="450"/>
      <c r="B574" s="451" t="s">
        <v>652</v>
      </c>
      <c r="C574" s="431">
        <v>3</v>
      </c>
      <c r="D574" s="321"/>
      <c r="E574" s="321"/>
      <c r="F574" s="429">
        <f t="shared" si="98"/>
        <v>3</v>
      </c>
      <c r="G574" s="203">
        <v>21000</v>
      </c>
      <c r="H574" s="203">
        <v>24500</v>
      </c>
      <c r="I574" s="204"/>
      <c r="J574" s="205">
        <f t="shared" si="99"/>
        <v>0</v>
      </c>
      <c r="K574" s="205">
        <f t="shared" si="100"/>
        <v>0</v>
      </c>
      <c r="L574" s="430">
        <f t="shared" si="101"/>
        <v>63000</v>
      </c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</row>
    <row r="575" spans="1:26" ht="14.4">
      <c r="A575" s="450"/>
      <c r="B575" s="451" t="s">
        <v>653</v>
      </c>
      <c r="C575" s="431">
        <v>3</v>
      </c>
      <c r="D575" s="321"/>
      <c r="E575" s="321"/>
      <c r="F575" s="429">
        <f t="shared" si="98"/>
        <v>3</v>
      </c>
      <c r="G575" s="203">
        <v>48000</v>
      </c>
      <c r="H575" s="203">
        <v>55000</v>
      </c>
      <c r="I575" s="204"/>
      <c r="J575" s="205">
        <f t="shared" si="99"/>
        <v>0</v>
      </c>
      <c r="K575" s="205">
        <f t="shared" si="100"/>
        <v>0</v>
      </c>
      <c r="L575" s="430">
        <f t="shared" si="101"/>
        <v>144000</v>
      </c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</row>
    <row r="576" spans="1:26" ht="14.4">
      <c r="A576" s="450"/>
      <c r="B576" s="451" t="s">
        <v>654</v>
      </c>
      <c r="C576" s="431">
        <v>3</v>
      </c>
      <c r="D576" s="321"/>
      <c r="E576" s="321"/>
      <c r="F576" s="429">
        <f t="shared" si="98"/>
        <v>3</v>
      </c>
      <c r="G576" s="203">
        <v>46750</v>
      </c>
      <c r="H576" s="203">
        <v>50000</v>
      </c>
      <c r="I576" s="204"/>
      <c r="J576" s="205">
        <f t="shared" si="99"/>
        <v>0</v>
      </c>
      <c r="K576" s="205">
        <f t="shared" si="100"/>
        <v>0</v>
      </c>
      <c r="L576" s="430">
        <f t="shared" si="101"/>
        <v>140250</v>
      </c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</row>
    <row r="577" spans="1:26" ht="14.4">
      <c r="A577" s="450"/>
      <c r="B577" s="451" t="s">
        <v>655</v>
      </c>
      <c r="C577" s="431"/>
      <c r="D577" s="321"/>
      <c r="E577" s="321"/>
      <c r="F577" s="429">
        <f t="shared" si="98"/>
        <v>0</v>
      </c>
      <c r="G577" s="203">
        <v>25250</v>
      </c>
      <c r="H577" s="203">
        <v>27000</v>
      </c>
      <c r="I577" s="204"/>
      <c r="J577" s="205">
        <f t="shared" si="99"/>
        <v>0</v>
      </c>
      <c r="K577" s="205">
        <f t="shared" si="100"/>
        <v>0</v>
      </c>
      <c r="L577" s="430">
        <f t="shared" si="101"/>
        <v>0</v>
      </c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</row>
    <row r="578" spans="1:26" ht="14.4">
      <c r="A578" s="450"/>
      <c r="B578" s="451" t="s">
        <v>656</v>
      </c>
      <c r="C578" s="431">
        <v>6</v>
      </c>
      <c r="D578" s="321"/>
      <c r="E578" s="321"/>
      <c r="F578" s="429">
        <f t="shared" si="98"/>
        <v>6</v>
      </c>
      <c r="G578" s="210">
        <v>38000</v>
      </c>
      <c r="H578" s="210">
        <v>40000</v>
      </c>
      <c r="I578" s="445"/>
      <c r="J578" s="205">
        <f t="shared" si="99"/>
        <v>0</v>
      </c>
      <c r="K578" s="205">
        <f t="shared" si="100"/>
        <v>0</v>
      </c>
      <c r="L578" s="430">
        <f t="shared" si="101"/>
        <v>228000</v>
      </c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</row>
    <row r="579" spans="1:26" ht="14.4">
      <c r="A579" s="450"/>
      <c r="B579" s="453" t="s">
        <v>681</v>
      </c>
      <c r="C579" s="431">
        <v>9</v>
      </c>
      <c r="D579" s="321"/>
      <c r="E579" s="321"/>
      <c r="F579" s="429">
        <f t="shared" si="98"/>
        <v>9</v>
      </c>
      <c r="G579" s="210">
        <v>13500</v>
      </c>
      <c r="H579" s="210">
        <v>15000</v>
      </c>
      <c r="I579" s="445"/>
      <c r="J579" s="205">
        <f t="shared" si="99"/>
        <v>0</v>
      </c>
      <c r="K579" s="205">
        <f t="shared" si="100"/>
        <v>0</v>
      </c>
      <c r="L579" s="430">
        <f t="shared" si="101"/>
        <v>121500</v>
      </c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</row>
    <row r="580" spans="1:26" ht="14.4">
      <c r="A580" s="450"/>
      <c r="B580" s="453" t="s">
        <v>682</v>
      </c>
      <c r="C580" s="431">
        <v>1</v>
      </c>
      <c r="D580" s="321"/>
      <c r="E580" s="321"/>
      <c r="F580" s="429">
        <f t="shared" si="98"/>
        <v>1</v>
      </c>
      <c r="G580" s="239">
        <v>14500</v>
      </c>
      <c r="H580" s="239">
        <v>17000</v>
      </c>
      <c r="I580" s="468"/>
      <c r="J580" s="205"/>
      <c r="K580" s="205"/>
      <c r="L580" s="430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</row>
    <row r="581" spans="1:26" ht="14.4">
      <c r="A581" s="450"/>
      <c r="B581" s="454" t="s">
        <v>658</v>
      </c>
      <c r="C581" s="431">
        <v>2</v>
      </c>
      <c r="D581" s="321"/>
      <c r="E581" s="321"/>
      <c r="F581" s="429">
        <f t="shared" si="98"/>
        <v>2</v>
      </c>
      <c r="G581" s="298">
        <v>38000</v>
      </c>
      <c r="H581" s="298">
        <v>40000</v>
      </c>
      <c r="I581" s="213"/>
      <c r="J581" s="205">
        <f>+I581*H581</f>
        <v>0</v>
      </c>
      <c r="K581" s="205">
        <f>+(H581-G581)*I581</f>
        <v>0</v>
      </c>
      <c r="L581" s="430">
        <f>+G581*F581</f>
        <v>76000</v>
      </c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</row>
    <row r="582" spans="1:26" ht="14.4">
      <c r="A582" s="455"/>
      <c r="B582" s="456"/>
      <c r="C582" s="457">
        <f t="shared" ref="C582:F582" si="102">+SUM(C473:C581)</f>
        <v>300</v>
      </c>
      <c r="D582" s="458">
        <f t="shared" si="102"/>
        <v>0</v>
      </c>
      <c r="E582" s="458">
        <f t="shared" si="102"/>
        <v>0</v>
      </c>
      <c r="F582" s="458">
        <f t="shared" si="102"/>
        <v>300</v>
      </c>
      <c r="G582" s="459">
        <f t="shared" ref="G582:L582" si="103">SUM(G473:G581)</f>
        <v>3907164.25</v>
      </c>
      <c r="H582" s="459">
        <f t="shared" si="103"/>
        <v>4265300</v>
      </c>
      <c r="I582" s="460">
        <f t="shared" si="103"/>
        <v>0</v>
      </c>
      <c r="J582" s="459">
        <f t="shared" si="103"/>
        <v>0</v>
      </c>
      <c r="K582" s="459">
        <f t="shared" si="103"/>
        <v>0</v>
      </c>
      <c r="L582" s="459">
        <f t="shared" si="103"/>
        <v>9334930.75</v>
      </c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</row>
    <row r="583" spans="1:26" ht="14.4">
      <c r="A583" s="191"/>
      <c r="B583" s="191"/>
      <c r="C583" s="439">
        <v>515</v>
      </c>
      <c r="D583" s="439">
        <f t="shared" ref="D583:L583" si="104">D582+D472+D443+D430</f>
        <v>0</v>
      </c>
      <c r="E583" s="439">
        <f t="shared" si="104"/>
        <v>0</v>
      </c>
      <c r="F583" s="439">
        <f t="shared" si="104"/>
        <v>638</v>
      </c>
      <c r="G583" s="461">
        <f t="shared" si="104"/>
        <v>13380877.25</v>
      </c>
      <c r="H583" s="461">
        <f t="shared" si="104"/>
        <v>14034400</v>
      </c>
      <c r="I583" s="462">
        <f t="shared" si="104"/>
        <v>0</v>
      </c>
      <c r="J583" s="439">
        <f t="shared" si="104"/>
        <v>0</v>
      </c>
      <c r="K583" s="439">
        <f t="shared" si="104"/>
        <v>0</v>
      </c>
      <c r="L583" s="439">
        <f t="shared" si="104"/>
        <v>31534873.75</v>
      </c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</row>
    <row r="584" spans="1:26" ht="14.4">
      <c r="A584" s="191"/>
      <c r="B584" s="191"/>
      <c r="C584" s="191"/>
      <c r="D584" s="191"/>
      <c r="E584" s="191"/>
      <c r="F584" s="191"/>
      <c r="G584" s="386"/>
      <c r="H584" s="386"/>
      <c r="I584" s="463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</row>
    <row r="585" spans="1:26" ht="14.4">
      <c r="A585" s="191"/>
      <c r="B585" s="191"/>
      <c r="C585" s="191"/>
      <c r="D585" s="191"/>
      <c r="E585" s="191"/>
      <c r="F585" s="191"/>
      <c r="G585" s="386"/>
      <c r="H585" s="386"/>
      <c r="I585" s="463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</row>
    <row r="586" spans="1:26" ht="14.4">
      <c r="A586" s="191"/>
      <c r="B586" s="191"/>
      <c r="C586" s="191"/>
      <c r="D586" s="191"/>
      <c r="E586" s="191"/>
      <c r="F586" s="191"/>
      <c r="G586" s="386"/>
      <c r="H586" s="386"/>
      <c r="I586" s="463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</row>
    <row r="587" spans="1:26" ht="14.4">
      <c r="A587" s="191"/>
      <c r="B587" s="191"/>
      <c r="C587" s="191"/>
      <c r="D587" s="191"/>
      <c r="E587" s="191"/>
      <c r="F587" s="191"/>
      <c r="G587" s="386"/>
      <c r="H587" s="386"/>
      <c r="I587" s="463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</row>
    <row r="588" spans="1:26" ht="14.4">
      <c r="A588" s="191"/>
      <c r="B588" s="191"/>
      <c r="C588" s="191"/>
      <c r="D588" s="191"/>
      <c r="E588" s="191"/>
      <c r="F588" s="191"/>
      <c r="G588" s="386"/>
      <c r="H588" s="386"/>
      <c r="I588" s="463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</row>
    <row r="589" spans="1:26" ht="14.4">
      <c r="A589" s="191"/>
      <c r="B589" s="191"/>
      <c r="C589" s="191"/>
      <c r="D589" s="191"/>
      <c r="E589" s="191"/>
      <c r="F589" s="191"/>
      <c r="G589" s="386"/>
      <c r="H589" s="386"/>
      <c r="I589" s="463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</row>
    <row r="590" spans="1:26" ht="14.4">
      <c r="A590" s="191"/>
      <c r="B590" s="191"/>
      <c r="C590" s="191"/>
      <c r="D590" s="191"/>
      <c r="E590" s="191"/>
      <c r="F590" s="191"/>
      <c r="G590" s="386"/>
      <c r="H590" s="386"/>
      <c r="I590" s="463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</row>
    <row r="591" spans="1:26" ht="14.4">
      <c r="A591" s="191"/>
      <c r="B591" s="191"/>
      <c r="C591" s="191"/>
      <c r="D591" s="191"/>
      <c r="E591" s="191"/>
      <c r="F591" s="191"/>
      <c r="G591" s="386"/>
      <c r="H591" s="386"/>
      <c r="I591" s="463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</row>
    <row r="592" spans="1:26" ht="14.4">
      <c r="A592" s="191"/>
      <c r="B592" s="191"/>
      <c r="C592" s="191"/>
      <c r="D592" s="191"/>
      <c r="E592" s="191"/>
      <c r="F592" s="191"/>
      <c r="G592" s="386"/>
      <c r="H592" s="386"/>
      <c r="I592" s="463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</row>
    <row r="593" spans="1:26" ht="14.4">
      <c r="A593" s="191"/>
      <c r="B593" s="191"/>
      <c r="C593" s="191"/>
      <c r="D593" s="191"/>
      <c r="E593" s="191"/>
      <c r="F593" s="191"/>
      <c r="G593" s="386"/>
      <c r="H593" s="386"/>
      <c r="I593" s="463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</row>
    <row r="594" spans="1:26" ht="14.4">
      <c r="A594" s="191"/>
      <c r="B594" s="191"/>
      <c r="C594" s="191"/>
      <c r="D594" s="191"/>
      <c r="E594" s="191"/>
      <c r="F594" s="191"/>
      <c r="G594" s="386"/>
      <c r="H594" s="386"/>
      <c r="I594" s="463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</row>
    <row r="595" spans="1:26" ht="14.4">
      <c r="A595" s="191"/>
      <c r="B595" s="191"/>
      <c r="C595" s="191"/>
      <c r="D595" s="191"/>
      <c r="E595" s="191"/>
      <c r="F595" s="191"/>
      <c r="G595" s="386"/>
      <c r="H595" s="386"/>
      <c r="I595" s="463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</row>
    <row r="596" spans="1:26" ht="14.4">
      <c r="A596" s="191"/>
      <c r="B596" s="191"/>
      <c r="C596" s="191"/>
      <c r="D596" s="191"/>
      <c r="E596" s="191"/>
      <c r="F596" s="191"/>
      <c r="G596" s="386"/>
      <c r="H596" s="386"/>
      <c r="I596" s="463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</row>
    <row r="597" spans="1:26" ht="14.4">
      <c r="A597" s="191"/>
      <c r="B597" s="191"/>
      <c r="C597" s="191"/>
      <c r="D597" s="191"/>
      <c r="E597" s="191"/>
      <c r="F597" s="191"/>
      <c r="G597" s="386"/>
      <c r="H597" s="386"/>
      <c r="I597" s="463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</row>
    <row r="598" spans="1:26" ht="14.4">
      <c r="A598" s="191"/>
      <c r="B598" s="191"/>
      <c r="C598" s="191"/>
      <c r="D598" s="191"/>
      <c r="E598" s="191"/>
      <c r="F598" s="191"/>
      <c r="G598" s="386"/>
      <c r="H598" s="386"/>
      <c r="I598" s="463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</row>
    <row r="599" spans="1:26" ht="14.4">
      <c r="A599" s="191"/>
      <c r="B599" s="191"/>
      <c r="C599" s="191"/>
      <c r="D599" s="191"/>
      <c r="E599" s="191"/>
      <c r="F599" s="191"/>
      <c r="G599" s="386"/>
      <c r="H599" s="386"/>
      <c r="I599" s="463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</row>
    <row r="600" spans="1:26" ht="14.4">
      <c r="A600" s="191"/>
      <c r="B600" s="191"/>
      <c r="C600" s="191"/>
      <c r="D600" s="191"/>
      <c r="E600" s="191"/>
      <c r="F600" s="191"/>
      <c r="G600" s="386"/>
      <c r="H600" s="386"/>
      <c r="I600" s="463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</row>
    <row r="601" spans="1:26" ht="14.4">
      <c r="A601" s="191"/>
      <c r="B601" s="191"/>
      <c r="C601" s="191"/>
      <c r="D601" s="191"/>
      <c r="E601" s="191"/>
      <c r="F601" s="191"/>
      <c r="G601" s="386"/>
      <c r="H601" s="386"/>
      <c r="I601" s="463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</row>
    <row r="602" spans="1:26" ht="14.4">
      <c r="A602" s="191"/>
      <c r="B602" s="191"/>
      <c r="C602" s="191"/>
      <c r="D602" s="191"/>
      <c r="E602" s="191"/>
      <c r="F602" s="191"/>
      <c r="G602" s="386"/>
      <c r="H602" s="386"/>
      <c r="I602" s="463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</row>
    <row r="603" spans="1:26" ht="14.4">
      <c r="A603" s="191"/>
      <c r="B603" s="191"/>
      <c r="C603" s="191"/>
      <c r="D603" s="191"/>
      <c r="E603" s="191"/>
      <c r="F603" s="191"/>
      <c r="G603" s="386"/>
      <c r="H603" s="386"/>
      <c r="I603" s="463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</row>
    <row r="604" spans="1:26" ht="14.4">
      <c r="A604" s="191"/>
      <c r="B604" s="191"/>
      <c r="C604" s="191"/>
      <c r="D604" s="191"/>
      <c r="E604" s="191"/>
      <c r="F604" s="191"/>
      <c r="G604" s="386"/>
      <c r="H604" s="386"/>
      <c r="I604" s="463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</row>
    <row r="605" spans="1:26" ht="14.4">
      <c r="A605" s="191"/>
      <c r="B605" s="191"/>
      <c r="C605" s="191"/>
      <c r="D605" s="191"/>
      <c r="E605" s="191"/>
      <c r="F605" s="191"/>
      <c r="G605" s="386"/>
      <c r="H605" s="386"/>
      <c r="I605" s="463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</row>
    <row r="606" spans="1:26" ht="14.4">
      <c r="A606" s="191"/>
      <c r="B606" s="191"/>
      <c r="C606" s="191"/>
      <c r="D606" s="191"/>
      <c r="E606" s="191"/>
      <c r="F606" s="191"/>
      <c r="G606" s="386"/>
      <c r="H606" s="386"/>
      <c r="I606" s="463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</row>
    <row r="607" spans="1:26" ht="14.4">
      <c r="A607" s="191"/>
      <c r="B607" s="191"/>
      <c r="C607" s="191"/>
      <c r="D607" s="191"/>
      <c r="E607" s="191"/>
      <c r="F607" s="191"/>
      <c r="G607" s="386"/>
      <c r="H607" s="386"/>
      <c r="I607" s="463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</row>
    <row r="608" spans="1:26" ht="14.4">
      <c r="A608" s="191"/>
      <c r="B608" s="191"/>
      <c r="C608" s="191"/>
      <c r="D608" s="191"/>
      <c r="E608" s="191"/>
      <c r="F608" s="191"/>
      <c r="G608" s="386"/>
      <c r="H608" s="386"/>
      <c r="I608" s="463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</row>
    <row r="609" spans="1:26" ht="14.4">
      <c r="A609" s="191"/>
      <c r="B609" s="191"/>
      <c r="C609" s="191"/>
      <c r="D609" s="191"/>
      <c r="E609" s="191"/>
      <c r="F609" s="191"/>
      <c r="G609" s="386"/>
      <c r="H609" s="386"/>
      <c r="I609" s="463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</row>
    <row r="610" spans="1:26" ht="14.4">
      <c r="A610" s="191"/>
      <c r="B610" s="191"/>
      <c r="C610" s="191"/>
      <c r="D610" s="191"/>
      <c r="E610" s="191"/>
      <c r="F610" s="191"/>
      <c r="G610" s="386"/>
      <c r="H610" s="386"/>
      <c r="I610" s="463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</row>
    <row r="611" spans="1:26" ht="14.4">
      <c r="A611" s="191"/>
      <c r="B611" s="191"/>
      <c r="C611" s="191"/>
      <c r="D611" s="191"/>
      <c r="E611" s="191"/>
      <c r="F611" s="191"/>
      <c r="G611" s="386"/>
      <c r="H611" s="386"/>
      <c r="I611" s="463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</row>
    <row r="612" spans="1:26" ht="14.4">
      <c r="A612" s="191"/>
      <c r="B612" s="191"/>
      <c r="C612" s="191"/>
      <c r="D612" s="191"/>
      <c r="E612" s="191"/>
      <c r="F612" s="191"/>
      <c r="G612" s="386"/>
      <c r="H612" s="386"/>
      <c r="I612" s="463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</row>
    <row r="613" spans="1:26" ht="14.4">
      <c r="A613" s="191"/>
      <c r="B613" s="191"/>
      <c r="C613" s="191"/>
      <c r="D613" s="191"/>
      <c r="E613" s="191"/>
      <c r="F613" s="191"/>
      <c r="G613" s="386"/>
      <c r="H613" s="386"/>
      <c r="I613" s="463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</row>
    <row r="614" spans="1:26" ht="14.4">
      <c r="A614" s="191"/>
      <c r="B614" s="191"/>
      <c r="C614" s="191"/>
      <c r="D614" s="191"/>
      <c r="E614" s="191"/>
      <c r="F614" s="191"/>
      <c r="G614" s="386"/>
      <c r="H614" s="386"/>
      <c r="I614" s="463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</row>
    <row r="615" spans="1:26" ht="14.4">
      <c r="A615" s="191"/>
      <c r="B615" s="191"/>
      <c r="C615" s="191"/>
      <c r="D615" s="191"/>
      <c r="E615" s="191"/>
      <c r="F615" s="191"/>
      <c r="G615" s="386"/>
      <c r="H615" s="386"/>
      <c r="I615" s="463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</row>
    <row r="616" spans="1:26" ht="14.4">
      <c r="A616" s="191"/>
      <c r="B616" s="191"/>
      <c r="C616" s="191"/>
      <c r="D616" s="191"/>
      <c r="E616" s="191"/>
      <c r="F616" s="191"/>
      <c r="G616" s="386"/>
      <c r="H616" s="386"/>
      <c r="I616" s="463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</row>
    <row r="617" spans="1:26" ht="14.4">
      <c r="A617" s="191"/>
      <c r="B617" s="191"/>
      <c r="C617" s="191"/>
      <c r="D617" s="191"/>
      <c r="E617" s="191"/>
      <c r="F617" s="191"/>
      <c r="G617" s="386"/>
      <c r="H617" s="386"/>
      <c r="I617" s="463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</row>
    <row r="618" spans="1:26" ht="14.4">
      <c r="A618" s="191"/>
      <c r="B618" s="191"/>
      <c r="C618" s="191"/>
      <c r="D618" s="191"/>
      <c r="E618" s="191"/>
      <c r="F618" s="191"/>
      <c r="G618" s="386"/>
      <c r="H618" s="386"/>
      <c r="I618" s="463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</row>
    <row r="619" spans="1:26" ht="14.4">
      <c r="A619" s="191"/>
      <c r="B619" s="191"/>
      <c r="C619" s="191"/>
      <c r="D619" s="191"/>
      <c r="E619" s="191"/>
      <c r="F619" s="191"/>
      <c r="G619" s="386"/>
      <c r="H619" s="386"/>
      <c r="I619" s="463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</row>
    <row r="620" spans="1:26" ht="14.4">
      <c r="A620" s="191"/>
      <c r="B620" s="191"/>
      <c r="C620" s="191"/>
      <c r="D620" s="191"/>
      <c r="E620" s="191"/>
      <c r="F620" s="191"/>
      <c r="G620" s="386"/>
      <c r="H620" s="386"/>
      <c r="I620" s="463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</row>
    <row r="621" spans="1:26" ht="14.4">
      <c r="A621" s="191"/>
      <c r="B621" s="191"/>
      <c r="C621" s="191"/>
      <c r="D621" s="191"/>
      <c r="E621" s="191"/>
      <c r="F621" s="191"/>
      <c r="G621" s="386"/>
      <c r="H621" s="386"/>
      <c r="I621" s="463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</row>
    <row r="622" spans="1:26" ht="14.4">
      <c r="A622" s="191"/>
      <c r="B622" s="191"/>
      <c r="C622" s="191"/>
      <c r="D622" s="191"/>
      <c r="E622" s="191"/>
      <c r="F622" s="191"/>
      <c r="G622" s="386"/>
      <c r="H622" s="386"/>
      <c r="I622" s="463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</row>
    <row r="623" spans="1:26" ht="14.4">
      <c r="A623" s="191"/>
      <c r="B623" s="191"/>
      <c r="C623" s="191"/>
      <c r="D623" s="191"/>
      <c r="E623" s="191"/>
      <c r="F623" s="191"/>
      <c r="G623" s="386"/>
      <c r="H623" s="386"/>
      <c r="I623" s="463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</row>
    <row r="624" spans="1:26" ht="14.4">
      <c r="A624" s="191"/>
      <c r="B624" s="191"/>
      <c r="C624" s="191"/>
      <c r="D624" s="191"/>
      <c r="E624" s="191"/>
      <c r="F624" s="191"/>
      <c r="G624" s="386"/>
      <c r="H624" s="386"/>
      <c r="I624" s="463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</row>
    <row r="625" spans="1:26" ht="14.4">
      <c r="A625" s="191"/>
      <c r="B625" s="191"/>
      <c r="C625" s="191"/>
      <c r="D625" s="191"/>
      <c r="E625" s="191"/>
      <c r="F625" s="191"/>
      <c r="G625" s="386"/>
      <c r="H625" s="386"/>
      <c r="I625" s="463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</row>
    <row r="626" spans="1:26" ht="14.4">
      <c r="A626" s="191"/>
      <c r="B626" s="191"/>
      <c r="C626" s="191"/>
      <c r="D626" s="191"/>
      <c r="E626" s="191"/>
      <c r="F626" s="191"/>
      <c r="G626" s="386"/>
      <c r="H626" s="386"/>
      <c r="I626" s="463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</row>
    <row r="627" spans="1:26" ht="14.4">
      <c r="A627" s="191"/>
      <c r="B627" s="191"/>
      <c r="C627" s="191"/>
      <c r="D627" s="191"/>
      <c r="E627" s="191"/>
      <c r="F627" s="191"/>
      <c r="G627" s="386"/>
      <c r="H627" s="386"/>
      <c r="I627" s="463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</row>
    <row r="628" spans="1:26" ht="14.4">
      <c r="A628" s="191"/>
      <c r="B628" s="191"/>
      <c r="C628" s="191"/>
      <c r="D628" s="191"/>
      <c r="E628" s="191"/>
      <c r="F628" s="191"/>
      <c r="G628" s="386"/>
      <c r="H628" s="386"/>
      <c r="I628" s="463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</row>
    <row r="629" spans="1:26" ht="14.4">
      <c r="A629" s="191"/>
      <c r="B629" s="191"/>
      <c r="C629" s="191"/>
      <c r="D629" s="191"/>
      <c r="E629" s="191"/>
      <c r="F629" s="191"/>
      <c r="G629" s="386"/>
      <c r="H629" s="386"/>
      <c r="I629" s="463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</row>
    <row r="630" spans="1:26" ht="14.4">
      <c r="A630" s="191"/>
      <c r="B630" s="191"/>
      <c r="C630" s="191"/>
      <c r="D630" s="191"/>
      <c r="E630" s="191"/>
      <c r="F630" s="191"/>
      <c r="G630" s="386"/>
      <c r="H630" s="386"/>
      <c r="I630" s="463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</row>
    <row r="631" spans="1:26" ht="14.4">
      <c r="A631" s="191"/>
      <c r="B631" s="191"/>
      <c r="C631" s="191"/>
      <c r="D631" s="191"/>
      <c r="E631" s="191"/>
      <c r="F631" s="191"/>
      <c r="G631" s="386"/>
      <c r="H631" s="386"/>
      <c r="I631" s="463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</row>
    <row r="632" spans="1:26" ht="14.4">
      <c r="A632" s="191"/>
      <c r="B632" s="191"/>
      <c r="C632" s="191"/>
      <c r="D632" s="191"/>
      <c r="E632" s="191"/>
      <c r="F632" s="191"/>
      <c r="G632" s="386"/>
      <c r="H632" s="386"/>
      <c r="I632" s="463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</row>
    <row r="633" spans="1:26" ht="14.4">
      <c r="A633" s="191"/>
      <c r="B633" s="191"/>
      <c r="C633" s="191"/>
      <c r="D633" s="191"/>
      <c r="E633" s="191"/>
      <c r="F633" s="191"/>
      <c r="G633" s="386"/>
      <c r="H633" s="386"/>
      <c r="I633" s="463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</row>
    <row r="634" spans="1:26" ht="14.4">
      <c r="A634" s="191"/>
      <c r="B634" s="191"/>
      <c r="C634" s="191"/>
      <c r="D634" s="191"/>
      <c r="E634" s="191"/>
      <c r="F634" s="191"/>
      <c r="G634" s="386"/>
      <c r="H634" s="386"/>
      <c r="I634" s="463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</row>
    <row r="635" spans="1:26" ht="14.4">
      <c r="A635" s="191"/>
      <c r="B635" s="191"/>
      <c r="C635" s="191"/>
      <c r="D635" s="191"/>
      <c r="E635" s="191"/>
      <c r="F635" s="191"/>
      <c r="G635" s="386"/>
      <c r="H635" s="386"/>
      <c r="I635" s="463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</row>
    <row r="636" spans="1:26" ht="14.4">
      <c r="A636" s="191"/>
      <c r="B636" s="191"/>
      <c r="C636" s="191"/>
      <c r="D636" s="191"/>
      <c r="E636" s="191"/>
      <c r="F636" s="191"/>
      <c r="G636" s="386"/>
      <c r="H636" s="386"/>
      <c r="I636" s="463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</row>
    <row r="637" spans="1:26" ht="14.4">
      <c r="A637" s="191"/>
      <c r="B637" s="191"/>
      <c r="C637" s="191"/>
      <c r="D637" s="191"/>
      <c r="E637" s="191"/>
      <c r="F637" s="191"/>
      <c r="G637" s="386"/>
      <c r="H637" s="386"/>
      <c r="I637" s="463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</row>
    <row r="638" spans="1:26" ht="14.4">
      <c r="A638" s="191"/>
      <c r="B638" s="191"/>
      <c r="C638" s="191"/>
      <c r="D638" s="191"/>
      <c r="E638" s="191"/>
      <c r="F638" s="191"/>
      <c r="G638" s="386"/>
      <c r="H638" s="386"/>
      <c r="I638" s="463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</row>
    <row r="639" spans="1:26" ht="14.4">
      <c r="A639" s="191"/>
      <c r="B639" s="191"/>
      <c r="C639" s="191"/>
      <c r="D639" s="191"/>
      <c r="E639" s="191"/>
      <c r="F639" s="191"/>
      <c r="G639" s="386"/>
      <c r="H639" s="386"/>
      <c r="I639" s="463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</row>
    <row r="640" spans="1:26" ht="14.4">
      <c r="A640" s="191"/>
      <c r="B640" s="191"/>
      <c r="C640" s="191"/>
      <c r="D640" s="191"/>
      <c r="E640" s="191"/>
      <c r="F640" s="191"/>
      <c r="G640" s="386"/>
      <c r="H640" s="386"/>
      <c r="I640" s="463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</row>
    <row r="641" spans="1:26" ht="14.4">
      <c r="A641" s="191"/>
      <c r="B641" s="191"/>
      <c r="C641" s="191"/>
      <c r="D641" s="191"/>
      <c r="E641" s="191"/>
      <c r="F641" s="191"/>
      <c r="G641" s="386"/>
      <c r="H641" s="386"/>
      <c r="I641" s="463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</row>
    <row r="642" spans="1:26" ht="14.4">
      <c r="A642" s="191"/>
      <c r="B642" s="191"/>
      <c r="C642" s="191"/>
      <c r="D642" s="191"/>
      <c r="E642" s="191"/>
      <c r="F642" s="191"/>
      <c r="G642" s="386"/>
      <c r="H642" s="386"/>
      <c r="I642" s="463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</row>
    <row r="643" spans="1:26" ht="14.4">
      <c r="A643" s="191"/>
      <c r="B643" s="191"/>
      <c r="C643" s="191"/>
      <c r="D643" s="191"/>
      <c r="E643" s="191"/>
      <c r="F643" s="191"/>
      <c r="G643" s="386"/>
      <c r="H643" s="386"/>
      <c r="I643" s="463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</row>
    <row r="644" spans="1:26" ht="14.4">
      <c r="A644" s="191"/>
      <c r="B644" s="191"/>
      <c r="C644" s="191"/>
      <c r="D644" s="191"/>
      <c r="E644" s="191"/>
      <c r="F644" s="191"/>
      <c r="G644" s="386"/>
      <c r="H644" s="386"/>
      <c r="I644" s="463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</row>
    <row r="645" spans="1:26" ht="14.4">
      <c r="A645" s="191"/>
      <c r="B645" s="191"/>
      <c r="C645" s="191"/>
      <c r="D645" s="191"/>
      <c r="E645" s="191"/>
      <c r="F645" s="191"/>
      <c r="G645" s="386"/>
      <c r="H645" s="386"/>
      <c r="I645" s="463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</row>
    <row r="646" spans="1:26" ht="14.4">
      <c r="A646" s="191"/>
      <c r="B646" s="191"/>
      <c r="C646" s="191"/>
      <c r="D646" s="191"/>
      <c r="E646" s="191"/>
      <c r="F646" s="191"/>
      <c r="G646" s="386"/>
      <c r="H646" s="386"/>
      <c r="I646" s="463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</row>
    <row r="647" spans="1:26" ht="14.4">
      <c r="A647" s="191"/>
      <c r="B647" s="191"/>
      <c r="C647" s="191"/>
      <c r="D647" s="191"/>
      <c r="E647" s="191"/>
      <c r="F647" s="191"/>
      <c r="G647" s="386"/>
      <c r="H647" s="386"/>
      <c r="I647" s="463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</row>
    <row r="648" spans="1:26" ht="14.4">
      <c r="A648" s="191"/>
      <c r="B648" s="191"/>
      <c r="C648" s="191"/>
      <c r="D648" s="191"/>
      <c r="E648" s="191"/>
      <c r="F648" s="191"/>
      <c r="G648" s="386"/>
      <c r="H648" s="386"/>
      <c r="I648" s="463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</row>
    <row r="649" spans="1:26" ht="14.4">
      <c r="A649" s="191"/>
      <c r="B649" s="191"/>
      <c r="C649" s="191"/>
      <c r="D649" s="191"/>
      <c r="E649" s="191"/>
      <c r="F649" s="191"/>
      <c r="G649" s="386"/>
      <c r="H649" s="386"/>
      <c r="I649" s="463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</row>
    <row r="650" spans="1:26" ht="14.4">
      <c r="A650" s="191"/>
      <c r="B650" s="191"/>
      <c r="C650" s="191"/>
      <c r="D650" s="191"/>
      <c r="E650" s="191"/>
      <c r="F650" s="191"/>
      <c r="G650" s="386"/>
      <c r="H650" s="386"/>
      <c r="I650" s="463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</row>
    <row r="651" spans="1:26" ht="14.4">
      <c r="A651" s="191"/>
      <c r="B651" s="191"/>
      <c r="C651" s="191"/>
      <c r="D651" s="191"/>
      <c r="E651" s="191"/>
      <c r="F651" s="191"/>
      <c r="G651" s="386"/>
      <c r="H651" s="386"/>
      <c r="I651" s="463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</row>
    <row r="652" spans="1:26" ht="14.4">
      <c r="A652" s="191"/>
      <c r="B652" s="191"/>
      <c r="C652" s="191"/>
      <c r="D652" s="191"/>
      <c r="E652" s="191"/>
      <c r="F652" s="191"/>
      <c r="G652" s="386"/>
      <c r="H652" s="386"/>
      <c r="I652" s="463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</row>
    <row r="653" spans="1:26" ht="14.4">
      <c r="A653" s="191"/>
      <c r="B653" s="191"/>
      <c r="C653" s="191"/>
      <c r="D653" s="191"/>
      <c r="E653" s="191"/>
      <c r="F653" s="191"/>
      <c r="G653" s="386"/>
      <c r="H653" s="386"/>
      <c r="I653" s="463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</row>
    <row r="654" spans="1:26" ht="14.4">
      <c r="A654" s="191"/>
      <c r="B654" s="191"/>
      <c r="C654" s="191"/>
      <c r="D654" s="191"/>
      <c r="E654" s="191"/>
      <c r="F654" s="191"/>
      <c r="G654" s="386"/>
      <c r="H654" s="386"/>
      <c r="I654" s="463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</row>
    <row r="655" spans="1:26" ht="14.4">
      <c r="A655" s="191"/>
      <c r="B655" s="191"/>
      <c r="C655" s="191"/>
      <c r="D655" s="191"/>
      <c r="E655" s="191"/>
      <c r="F655" s="191"/>
      <c r="G655" s="386"/>
      <c r="H655" s="386"/>
      <c r="I655" s="463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</row>
    <row r="656" spans="1:26" ht="14.4">
      <c r="A656" s="191"/>
      <c r="B656" s="191"/>
      <c r="C656" s="191"/>
      <c r="D656" s="191"/>
      <c r="E656" s="191"/>
      <c r="F656" s="191"/>
      <c r="G656" s="386"/>
      <c r="H656" s="386"/>
      <c r="I656" s="463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</row>
    <row r="657" spans="1:26" ht="14.4">
      <c r="A657" s="191"/>
      <c r="B657" s="191"/>
      <c r="C657" s="191"/>
      <c r="D657" s="191"/>
      <c r="E657" s="191"/>
      <c r="F657" s="191"/>
      <c r="G657" s="386"/>
      <c r="H657" s="386"/>
      <c r="I657" s="463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</row>
    <row r="658" spans="1:26" ht="14.4">
      <c r="A658" s="191"/>
      <c r="B658" s="191"/>
      <c r="C658" s="191"/>
      <c r="D658" s="191"/>
      <c r="E658" s="191"/>
      <c r="F658" s="191"/>
      <c r="G658" s="386"/>
      <c r="H658" s="386"/>
      <c r="I658" s="463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</row>
    <row r="659" spans="1:26" ht="14.4">
      <c r="A659" s="191"/>
      <c r="B659" s="191"/>
      <c r="C659" s="191"/>
      <c r="D659" s="191"/>
      <c r="E659" s="191"/>
      <c r="F659" s="191"/>
      <c r="G659" s="386"/>
      <c r="H659" s="386"/>
      <c r="I659" s="463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</row>
    <row r="660" spans="1:26" ht="14.4">
      <c r="A660" s="191"/>
      <c r="B660" s="191"/>
      <c r="C660" s="191"/>
      <c r="D660" s="191"/>
      <c r="E660" s="191"/>
      <c r="F660" s="191"/>
      <c r="G660" s="386"/>
      <c r="H660" s="386"/>
      <c r="I660" s="463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</row>
    <row r="661" spans="1:26" ht="14.4">
      <c r="A661" s="191"/>
      <c r="B661" s="191"/>
      <c r="C661" s="191"/>
      <c r="D661" s="191"/>
      <c r="E661" s="191"/>
      <c r="F661" s="191"/>
      <c r="G661" s="386"/>
      <c r="H661" s="386"/>
      <c r="I661" s="463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</row>
    <row r="662" spans="1:26" ht="14.4">
      <c r="A662" s="191"/>
      <c r="B662" s="191"/>
      <c r="C662" s="191"/>
      <c r="D662" s="191"/>
      <c r="E662" s="191"/>
      <c r="F662" s="191"/>
      <c r="G662" s="386"/>
      <c r="H662" s="386"/>
      <c r="I662" s="463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</row>
    <row r="663" spans="1:26" ht="14.4">
      <c r="A663" s="191"/>
      <c r="B663" s="191"/>
      <c r="C663" s="191"/>
      <c r="D663" s="191"/>
      <c r="E663" s="191"/>
      <c r="F663" s="191"/>
      <c r="G663" s="386"/>
      <c r="H663" s="386"/>
      <c r="I663" s="463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</row>
    <row r="664" spans="1:26" ht="14.4">
      <c r="A664" s="191"/>
      <c r="B664" s="191"/>
      <c r="C664" s="191"/>
      <c r="D664" s="191"/>
      <c r="E664" s="191"/>
      <c r="F664" s="191"/>
      <c r="G664" s="386"/>
      <c r="H664" s="386"/>
      <c r="I664" s="463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</row>
    <row r="665" spans="1:26" ht="14.4">
      <c r="A665" s="191"/>
      <c r="B665" s="191"/>
      <c r="C665" s="191"/>
      <c r="D665" s="191"/>
      <c r="E665" s="191"/>
      <c r="F665" s="191"/>
      <c r="G665" s="386"/>
      <c r="H665" s="386"/>
      <c r="I665" s="463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</row>
    <row r="666" spans="1:26" ht="14.4">
      <c r="A666" s="191"/>
      <c r="B666" s="191"/>
      <c r="C666" s="191"/>
      <c r="D666" s="191"/>
      <c r="E666" s="191"/>
      <c r="F666" s="191"/>
      <c r="G666" s="386"/>
      <c r="H666" s="386"/>
      <c r="I666" s="463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</row>
    <row r="667" spans="1:26" ht="14.4">
      <c r="A667" s="191"/>
      <c r="B667" s="191"/>
      <c r="C667" s="191"/>
      <c r="D667" s="191"/>
      <c r="E667" s="191"/>
      <c r="F667" s="191"/>
      <c r="G667" s="386"/>
      <c r="H667" s="386"/>
      <c r="I667" s="463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</row>
    <row r="668" spans="1:26" ht="14.4">
      <c r="A668" s="191"/>
      <c r="B668" s="191"/>
      <c r="C668" s="191"/>
      <c r="D668" s="191"/>
      <c r="E668" s="191"/>
      <c r="F668" s="191"/>
      <c r="G668" s="386"/>
      <c r="H668" s="386"/>
      <c r="I668" s="463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</row>
    <row r="669" spans="1:26" ht="14.4">
      <c r="A669" s="191"/>
      <c r="B669" s="191"/>
      <c r="C669" s="191"/>
      <c r="D669" s="191"/>
      <c r="E669" s="191"/>
      <c r="F669" s="191"/>
      <c r="G669" s="386"/>
      <c r="H669" s="386"/>
      <c r="I669" s="463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</row>
    <row r="670" spans="1:26" ht="14.4">
      <c r="A670" s="191"/>
      <c r="B670" s="191"/>
      <c r="C670" s="191"/>
      <c r="D670" s="191"/>
      <c r="E670" s="191"/>
      <c r="F670" s="191"/>
      <c r="G670" s="386"/>
      <c r="H670" s="386"/>
      <c r="I670" s="463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</row>
    <row r="671" spans="1:26" ht="14.4">
      <c r="A671" s="191"/>
      <c r="B671" s="191"/>
      <c r="C671" s="191"/>
      <c r="D671" s="191"/>
      <c r="E671" s="191"/>
      <c r="F671" s="191"/>
      <c r="G671" s="386"/>
      <c r="H671" s="386"/>
      <c r="I671" s="463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</row>
    <row r="672" spans="1:26" ht="14.4">
      <c r="A672" s="191"/>
      <c r="B672" s="191"/>
      <c r="C672" s="191"/>
      <c r="D672" s="191"/>
      <c r="E672" s="191"/>
      <c r="F672" s="191"/>
      <c r="G672" s="386"/>
      <c r="H672" s="386"/>
      <c r="I672" s="463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</row>
    <row r="673" spans="1:26" ht="14.4">
      <c r="A673" s="191"/>
      <c r="B673" s="191"/>
      <c r="C673" s="191"/>
      <c r="D673" s="191"/>
      <c r="E673" s="191"/>
      <c r="F673" s="191"/>
      <c r="G673" s="386"/>
      <c r="H673" s="386"/>
      <c r="I673" s="463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</row>
    <row r="674" spans="1:26" ht="14.4">
      <c r="A674" s="191"/>
      <c r="B674" s="191"/>
      <c r="C674" s="191"/>
      <c r="D674" s="191"/>
      <c r="E674" s="191"/>
      <c r="F674" s="191"/>
      <c r="G674" s="386"/>
      <c r="H674" s="386"/>
      <c r="I674" s="463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</row>
    <row r="675" spans="1:26" ht="14.4">
      <c r="A675" s="191"/>
      <c r="B675" s="191"/>
      <c r="C675" s="191"/>
      <c r="D675" s="191"/>
      <c r="E675" s="191"/>
      <c r="F675" s="191"/>
      <c r="G675" s="386"/>
      <c r="H675" s="386"/>
      <c r="I675" s="463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</row>
    <row r="676" spans="1:26" ht="14.4">
      <c r="A676" s="191"/>
      <c r="B676" s="191"/>
      <c r="C676" s="191"/>
      <c r="D676" s="191"/>
      <c r="E676" s="191"/>
      <c r="F676" s="191"/>
      <c r="G676" s="386"/>
      <c r="H676" s="386"/>
      <c r="I676" s="463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</row>
    <row r="677" spans="1:26" ht="14.4">
      <c r="A677" s="191"/>
      <c r="B677" s="191"/>
      <c r="C677" s="191"/>
      <c r="D677" s="191"/>
      <c r="E677" s="191"/>
      <c r="F677" s="191"/>
      <c r="G677" s="386"/>
      <c r="H677" s="386"/>
      <c r="I677" s="463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</row>
    <row r="678" spans="1:26" ht="14.4">
      <c r="A678" s="191"/>
      <c r="B678" s="191"/>
      <c r="C678" s="191"/>
      <c r="D678" s="191"/>
      <c r="E678" s="191"/>
      <c r="F678" s="191"/>
      <c r="G678" s="386"/>
      <c r="H678" s="386"/>
      <c r="I678" s="463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</row>
    <row r="679" spans="1:26" ht="14.4">
      <c r="A679" s="191"/>
      <c r="B679" s="191"/>
      <c r="C679" s="191"/>
      <c r="D679" s="191"/>
      <c r="E679" s="191"/>
      <c r="F679" s="191"/>
      <c r="G679" s="386"/>
      <c r="H679" s="386"/>
      <c r="I679" s="463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</row>
    <row r="680" spans="1:26" ht="14.4">
      <c r="A680" s="191"/>
      <c r="B680" s="191"/>
      <c r="C680" s="191"/>
      <c r="D680" s="191"/>
      <c r="E680" s="191"/>
      <c r="F680" s="191"/>
      <c r="G680" s="386"/>
      <c r="H680" s="386"/>
      <c r="I680" s="463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</row>
    <row r="681" spans="1:26" ht="14.4">
      <c r="A681" s="191"/>
      <c r="B681" s="191"/>
      <c r="C681" s="191"/>
      <c r="D681" s="191"/>
      <c r="E681" s="191"/>
      <c r="F681" s="191"/>
      <c r="G681" s="386"/>
      <c r="H681" s="386"/>
      <c r="I681" s="463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</row>
    <row r="682" spans="1:26" ht="14.4">
      <c r="A682" s="191"/>
      <c r="B682" s="191"/>
      <c r="C682" s="191"/>
      <c r="D682" s="191"/>
      <c r="E682" s="191"/>
      <c r="F682" s="191"/>
      <c r="G682" s="386"/>
      <c r="H682" s="386"/>
      <c r="I682" s="463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</row>
    <row r="683" spans="1:26" ht="14.4">
      <c r="A683" s="191"/>
      <c r="B683" s="191"/>
      <c r="C683" s="191"/>
      <c r="D683" s="191"/>
      <c r="E683" s="191"/>
      <c r="F683" s="191"/>
      <c r="G683" s="386"/>
      <c r="H683" s="386"/>
      <c r="I683" s="463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</row>
    <row r="684" spans="1:26" ht="14.4">
      <c r="A684" s="191"/>
      <c r="B684" s="191"/>
      <c r="C684" s="191"/>
      <c r="D684" s="191"/>
      <c r="E684" s="191"/>
      <c r="F684" s="191"/>
      <c r="G684" s="386"/>
      <c r="H684" s="386"/>
      <c r="I684" s="463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</row>
    <row r="685" spans="1:26" ht="14.4">
      <c r="A685" s="191"/>
      <c r="B685" s="191"/>
      <c r="C685" s="191"/>
      <c r="D685" s="191"/>
      <c r="E685" s="191"/>
      <c r="F685" s="191"/>
      <c r="G685" s="386"/>
      <c r="H685" s="386"/>
      <c r="I685" s="463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</row>
    <row r="686" spans="1:26" ht="14.4">
      <c r="A686" s="191"/>
      <c r="B686" s="191"/>
      <c r="C686" s="191"/>
      <c r="D686" s="191"/>
      <c r="E686" s="191"/>
      <c r="F686" s="191"/>
      <c r="G686" s="386"/>
      <c r="H686" s="386"/>
      <c r="I686" s="463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</row>
    <row r="687" spans="1:26" ht="14.4">
      <c r="A687" s="191"/>
      <c r="B687" s="191"/>
      <c r="C687" s="191"/>
      <c r="D687" s="191"/>
      <c r="E687" s="191"/>
      <c r="F687" s="191"/>
      <c r="G687" s="386"/>
      <c r="H687" s="386"/>
      <c r="I687" s="463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</row>
    <row r="688" spans="1:26" ht="14.4">
      <c r="A688" s="191"/>
      <c r="B688" s="191"/>
      <c r="C688" s="191"/>
      <c r="D688" s="191"/>
      <c r="E688" s="191"/>
      <c r="F688" s="191"/>
      <c r="G688" s="386"/>
      <c r="H688" s="386"/>
      <c r="I688" s="463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</row>
    <row r="689" spans="1:26" ht="14.4">
      <c r="A689" s="191"/>
      <c r="B689" s="191"/>
      <c r="C689" s="191"/>
      <c r="D689" s="191"/>
      <c r="E689" s="191"/>
      <c r="F689" s="191"/>
      <c r="G689" s="386"/>
      <c r="H689" s="386"/>
      <c r="I689" s="463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</row>
    <row r="690" spans="1:26" ht="14.4">
      <c r="A690" s="191"/>
      <c r="B690" s="191"/>
      <c r="C690" s="191"/>
      <c r="D690" s="191"/>
      <c r="E690" s="191"/>
      <c r="F690" s="191"/>
      <c r="G690" s="386"/>
      <c r="H690" s="386"/>
      <c r="I690" s="463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</row>
    <row r="691" spans="1:26" ht="14.4">
      <c r="A691" s="191"/>
      <c r="B691" s="191"/>
      <c r="C691" s="191"/>
      <c r="D691" s="191"/>
      <c r="E691" s="191"/>
      <c r="F691" s="191"/>
      <c r="G691" s="386"/>
      <c r="H691" s="386"/>
      <c r="I691" s="463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</row>
    <row r="692" spans="1:26" ht="14.4">
      <c r="A692" s="191"/>
      <c r="B692" s="191"/>
      <c r="C692" s="191"/>
      <c r="D692" s="191"/>
      <c r="E692" s="191"/>
      <c r="F692" s="191"/>
      <c r="G692" s="386"/>
      <c r="H692" s="386"/>
      <c r="I692" s="463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</row>
    <row r="693" spans="1:26" ht="14.4">
      <c r="A693" s="191"/>
      <c r="B693" s="191"/>
      <c r="C693" s="191"/>
      <c r="D693" s="191"/>
      <c r="E693" s="191"/>
      <c r="F693" s="191"/>
      <c r="G693" s="386"/>
      <c r="H693" s="386"/>
      <c r="I693" s="463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</row>
    <row r="694" spans="1:26" ht="14.4">
      <c r="A694" s="191"/>
      <c r="B694" s="191"/>
      <c r="C694" s="191"/>
      <c r="D694" s="191"/>
      <c r="E694" s="191"/>
      <c r="F694" s="191"/>
      <c r="G694" s="386"/>
      <c r="H694" s="386"/>
      <c r="I694" s="463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</row>
    <row r="695" spans="1:26" ht="14.4">
      <c r="A695" s="191"/>
      <c r="B695" s="191"/>
      <c r="C695" s="191"/>
      <c r="D695" s="191"/>
      <c r="E695" s="191"/>
      <c r="F695" s="191"/>
      <c r="G695" s="386"/>
      <c r="H695" s="386"/>
      <c r="I695" s="463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</row>
    <row r="696" spans="1:26" ht="14.4">
      <c r="A696" s="191"/>
      <c r="B696" s="191"/>
      <c r="C696" s="191"/>
      <c r="D696" s="191"/>
      <c r="E696" s="191"/>
      <c r="F696" s="191"/>
      <c r="G696" s="386"/>
      <c r="H696" s="386"/>
      <c r="I696" s="463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</row>
    <row r="697" spans="1:26" ht="14.4">
      <c r="A697" s="191"/>
      <c r="B697" s="191"/>
      <c r="C697" s="191"/>
      <c r="D697" s="191"/>
      <c r="E697" s="191"/>
      <c r="F697" s="191"/>
      <c r="G697" s="386"/>
      <c r="H697" s="386"/>
      <c r="I697" s="463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</row>
    <row r="698" spans="1:26" ht="14.4">
      <c r="A698" s="191"/>
      <c r="B698" s="191"/>
      <c r="C698" s="191"/>
      <c r="D698" s="191"/>
      <c r="E698" s="191"/>
      <c r="F698" s="191"/>
      <c r="G698" s="386"/>
      <c r="H698" s="386"/>
      <c r="I698" s="463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</row>
    <row r="699" spans="1:26" ht="14.4">
      <c r="A699" s="191"/>
      <c r="B699" s="191"/>
      <c r="C699" s="191"/>
      <c r="D699" s="191"/>
      <c r="E699" s="191"/>
      <c r="F699" s="191"/>
      <c r="G699" s="386"/>
      <c r="H699" s="386"/>
      <c r="I699" s="463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</row>
    <row r="700" spans="1:26" ht="14.4">
      <c r="A700" s="191"/>
      <c r="B700" s="191"/>
      <c r="C700" s="191"/>
      <c r="D700" s="191"/>
      <c r="E700" s="191"/>
      <c r="F700" s="191"/>
      <c r="G700" s="386"/>
      <c r="H700" s="386"/>
      <c r="I700" s="463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</row>
    <row r="701" spans="1:26" ht="14.4">
      <c r="A701" s="191"/>
      <c r="B701" s="191"/>
      <c r="C701" s="191"/>
      <c r="D701" s="191"/>
      <c r="E701" s="191"/>
      <c r="F701" s="191"/>
      <c r="G701" s="386"/>
      <c r="H701" s="386"/>
      <c r="I701" s="463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</row>
    <row r="702" spans="1:26" ht="14.4">
      <c r="A702" s="191"/>
      <c r="B702" s="191"/>
      <c r="C702" s="191"/>
      <c r="D702" s="191"/>
      <c r="E702" s="191"/>
      <c r="F702" s="191"/>
      <c r="G702" s="386"/>
      <c r="H702" s="386"/>
      <c r="I702" s="463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</row>
    <row r="703" spans="1:26" ht="14.4">
      <c r="A703" s="191"/>
      <c r="B703" s="191"/>
      <c r="C703" s="191"/>
      <c r="D703" s="191"/>
      <c r="E703" s="191"/>
      <c r="F703" s="191"/>
      <c r="G703" s="386"/>
      <c r="H703" s="386"/>
      <c r="I703" s="463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</row>
    <row r="704" spans="1:26" ht="14.4">
      <c r="A704" s="191"/>
      <c r="B704" s="191"/>
      <c r="C704" s="191"/>
      <c r="D704" s="191"/>
      <c r="E704" s="191"/>
      <c r="F704" s="191"/>
      <c r="G704" s="386"/>
      <c r="H704" s="386"/>
      <c r="I704" s="463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</row>
    <row r="705" spans="1:26" ht="14.4">
      <c r="A705" s="191"/>
      <c r="B705" s="191"/>
      <c r="C705" s="191"/>
      <c r="D705" s="191"/>
      <c r="E705" s="191"/>
      <c r="F705" s="191"/>
      <c r="G705" s="386"/>
      <c r="H705" s="386"/>
      <c r="I705" s="463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</row>
    <row r="706" spans="1:26" ht="14.4">
      <c r="A706" s="191"/>
      <c r="B706" s="191"/>
      <c r="C706" s="191"/>
      <c r="D706" s="191"/>
      <c r="E706" s="191"/>
      <c r="F706" s="191"/>
      <c r="G706" s="386"/>
      <c r="H706" s="386"/>
      <c r="I706" s="463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</row>
    <row r="707" spans="1:26" ht="14.4">
      <c r="A707" s="191"/>
      <c r="B707" s="191"/>
      <c r="C707" s="191"/>
      <c r="D707" s="191"/>
      <c r="E707" s="191"/>
      <c r="F707" s="191"/>
      <c r="G707" s="386"/>
      <c r="H707" s="386"/>
      <c r="I707" s="463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</row>
    <row r="708" spans="1:26" ht="14.4">
      <c r="A708" s="191"/>
      <c r="B708" s="191"/>
      <c r="C708" s="191"/>
      <c r="D708" s="191"/>
      <c r="E708" s="191"/>
      <c r="F708" s="191"/>
      <c r="G708" s="386"/>
      <c r="H708" s="386"/>
      <c r="I708" s="463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</row>
    <row r="709" spans="1:26" ht="14.4">
      <c r="A709" s="191"/>
      <c r="B709" s="191"/>
      <c r="C709" s="191"/>
      <c r="D709" s="191"/>
      <c r="E709" s="191"/>
      <c r="F709" s="191"/>
      <c r="G709" s="386"/>
      <c r="H709" s="386"/>
      <c r="I709" s="463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</row>
    <row r="710" spans="1:26" ht="14.4">
      <c r="A710" s="191"/>
      <c r="B710" s="191"/>
      <c r="C710" s="191"/>
      <c r="D710" s="191"/>
      <c r="E710" s="191"/>
      <c r="F710" s="191"/>
      <c r="G710" s="386"/>
      <c r="H710" s="386"/>
      <c r="I710" s="463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</row>
    <row r="711" spans="1:26" ht="14.4">
      <c r="A711" s="191"/>
      <c r="B711" s="191"/>
      <c r="C711" s="191"/>
      <c r="D711" s="191"/>
      <c r="E711" s="191"/>
      <c r="F711" s="191"/>
      <c r="G711" s="386"/>
      <c r="H711" s="386"/>
      <c r="I711" s="463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</row>
    <row r="712" spans="1:26" ht="14.4">
      <c r="A712" s="191"/>
      <c r="B712" s="191"/>
      <c r="C712" s="191"/>
      <c r="D712" s="191"/>
      <c r="E712" s="191"/>
      <c r="F712" s="191"/>
      <c r="G712" s="386"/>
      <c r="H712" s="386"/>
      <c r="I712" s="463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</row>
    <row r="713" spans="1:26" ht="14.4">
      <c r="A713" s="191"/>
      <c r="B713" s="191"/>
      <c r="C713" s="191"/>
      <c r="D713" s="191"/>
      <c r="E713" s="191"/>
      <c r="F713" s="191"/>
      <c r="G713" s="386"/>
      <c r="H713" s="386"/>
      <c r="I713" s="463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</row>
    <row r="714" spans="1:26" ht="14.4">
      <c r="A714" s="191"/>
      <c r="B714" s="191"/>
      <c r="C714" s="191"/>
      <c r="D714" s="191"/>
      <c r="E714" s="191"/>
      <c r="F714" s="191"/>
      <c r="G714" s="386"/>
      <c r="H714" s="386"/>
      <c r="I714" s="463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</row>
    <row r="715" spans="1:26" ht="14.4">
      <c r="A715" s="191"/>
      <c r="B715" s="191"/>
      <c r="C715" s="191"/>
      <c r="D715" s="191"/>
      <c r="E715" s="191"/>
      <c r="F715" s="191"/>
      <c r="G715" s="386"/>
      <c r="H715" s="386"/>
      <c r="I715" s="463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</row>
    <row r="716" spans="1:26" ht="14.4">
      <c r="A716" s="191"/>
      <c r="B716" s="191"/>
      <c r="C716" s="191"/>
      <c r="D716" s="191"/>
      <c r="E716" s="191"/>
      <c r="F716" s="191"/>
      <c r="G716" s="386"/>
      <c r="H716" s="386"/>
      <c r="I716" s="463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</row>
    <row r="717" spans="1:26" ht="14.4">
      <c r="A717" s="191"/>
      <c r="B717" s="191"/>
      <c r="C717" s="191"/>
      <c r="D717" s="191"/>
      <c r="E717" s="191"/>
      <c r="F717" s="191"/>
      <c r="G717" s="386"/>
      <c r="H717" s="386"/>
      <c r="I717" s="463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</row>
    <row r="718" spans="1:26" ht="14.4">
      <c r="A718" s="191"/>
      <c r="B718" s="191"/>
      <c r="C718" s="191"/>
      <c r="D718" s="191"/>
      <c r="E718" s="191"/>
      <c r="F718" s="191"/>
      <c r="G718" s="386"/>
      <c r="H718" s="386"/>
      <c r="I718" s="463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</row>
    <row r="719" spans="1:26" ht="14.4">
      <c r="A719" s="191"/>
      <c r="B719" s="191"/>
      <c r="C719" s="191"/>
      <c r="D719" s="191"/>
      <c r="E719" s="191"/>
      <c r="F719" s="191"/>
      <c r="G719" s="386"/>
      <c r="H719" s="386"/>
      <c r="I719" s="463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</row>
    <row r="720" spans="1:26" ht="14.4">
      <c r="A720" s="191"/>
      <c r="B720" s="191"/>
      <c r="C720" s="191"/>
      <c r="D720" s="191"/>
      <c r="E720" s="191"/>
      <c r="F720" s="191"/>
      <c r="G720" s="386"/>
      <c r="H720" s="386"/>
      <c r="I720" s="463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</row>
    <row r="721" spans="1:26" ht="14.4">
      <c r="A721" s="191"/>
      <c r="B721" s="191"/>
      <c r="C721" s="191"/>
      <c r="D721" s="191"/>
      <c r="E721" s="191"/>
      <c r="F721" s="191"/>
      <c r="G721" s="386"/>
      <c r="H721" s="386"/>
      <c r="I721" s="463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</row>
    <row r="722" spans="1:26" ht="14.4">
      <c r="A722" s="191"/>
      <c r="B722" s="191"/>
      <c r="C722" s="191"/>
      <c r="D722" s="191"/>
      <c r="E722" s="191"/>
      <c r="F722" s="191"/>
      <c r="G722" s="386"/>
      <c r="H722" s="386"/>
      <c r="I722" s="463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</row>
    <row r="723" spans="1:26" ht="14.4">
      <c r="A723" s="191"/>
      <c r="B723" s="191"/>
      <c r="C723" s="191"/>
      <c r="D723" s="191"/>
      <c r="E723" s="191"/>
      <c r="F723" s="191"/>
      <c r="G723" s="386"/>
      <c r="H723" s="386"/>
      <c r="I723" s="463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</row>
    <row r="724" spans="1:26" ht="14.4">
      <c r="A724" s="191"/>
      <c r="B724" s="191"/>
      <c r="C724" s="191"/>
      <c r="D724" s="191"/>
      <c r="E724" s="191"/>
      <c r="F724" s="191"/>
      <c r="G724" s="386"/>
      <c r="H724" s="386"/>
      <c r="I724" s="463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</row>
    <row r="725" spans="1:26" ht="14.4">
      <c r="A725" s="191"/>
      <c r="B725" s="191"/>
      <c r="C725" s="191"/>
      <c r="D725" s="191"/>
      <c r="E725" s="191"/>
      <c r="F725" s="191"/>
      <c r="G725" s="386"/>
      <c r="H725" s="386"/>
      <c r="I725" s="463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</row>
    <row r="726" spans="1:26" ht="14.4">
      <c r="A726" s="191"/>
      <c r="B726" s="191"/>
      <c r="C726" s="191"/>
      <c r="D726" s="191"/>
      <c r="E726" s="191"/>
      <c r="F726" s="191"/>
      <c r="G726" s="386"/>
      <c r="H726" s="386"/>
      <c r="I726" s="463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</row>
    <row r="727" spans="1:26" ht="14.4">
      <c r="A727" s="191"/>
      <c r="B727" s="191"/>
      <c r="C727" s="191"/>
      <c r="D727" s="191"/>
      <c r="E727" s="191"/>
      <c r="F727" s="191"/>
      <c r="G727" s="386"/>
      <c r="H727" s="386"/>
      <c r="I727" s="463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</row>
    <row r="728" spans="1:26" ht="14.4">
      <c r="A728" s="191"/>
      <c r="B728" s="191"/>
      <c r="C728" s="191"/>
      <c r="D728" s="191"/>
      <c r="E728" s="191"/>
      <c r="F728" s="191"/>
      <c r="G728" s="386"/>
      <c r="H728" s="386"/>
      <c r="I728" s="463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</row>
    <row r="729" spans="1:26" ht="14.4">
      <c r="A729" s="191"/>
      <c r="B729" s="191"/>
      <c r="C729" s="191"/>
      <c r="D729" s="191"/>
      <c r="E729" s="191"/>
      <c r="F729" s="191"/>
      <c r="G729" s="386"/>
      <c r="H729" s="386"/>
      <c r="I729" s="463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</row>
    <row r="730" spans="1:26" ht="14.4">
      <c r="A730" s="191"/>
      <c r="B730" s="191"/>
      <c r="C730" s="191"/>
      <c r="D730" s="191"/>
      <c r="E730" s="191"/>
      <c r="F730" s="191"/>
      <c r="G730" s="386"/>
      <c r="H730" s="386"/>
      <c r="I730" s="463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</row>
    <row r="731" spans="1:26" ht="14.4">
      <c r="A731" s="191"/>
      <c r="B731" s="191"/>
      <c r="C731" s="191"/>
      <c r="D731" s="191"/>
      <c r="E731" s="191"/>
      <c r="F731" s="191"/>
      <c r="G731" s="386"/>
      <c r="H731" s="386"/>
      <c r="I731" s="463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</row>
    <row r="732" spans="1:26" ht="14.4">
      <c r="A732" s="191"/>
      <c r="B732" s="191"/>
      <c r="C732" s="191"/>
      <c r="D732" s="191"/>
      <c r="E732" s="191"/>
      <c r="F732" s="191"/>
      <c r="G732" s="386"/>
      <c r="H732" s="386"/>
      <c r="I732" s="463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</row>
    <row r="733" spans="1:26" ht="14.4">
      <c r="A733" s="191"/>
      <c r="B733" s="191"/>
      <c r="C733" s="191"/>
      <c r="D733" s="191"/>
      <c r="E733" s="191"/>
      <c r="F733" s="191"/>
      <c r="G733" s="386"/>
      <c r="H733" s="386"/>
      <c r="I733" s="463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</row>
    <row r="734" spans="1:26" ht="14.4">
      <c r="A734" s="191"/>
      <c r="B734" s="191"/>
      <c r="C734" s="191"/>
      <c r="D734" s="191"/>
      <c r="E734" s="191"/>
      <c r="F734" s="191"/>
      <c r="G734" s="386"/>
      <c r="H734" s="386"/>
      <c r="I734" s="463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</row>
    <row r="735" spans="1:26" ht="14.4">
      <c r="A735" s="191"/>
      <c r="B735" s="191"/>
      <c r="C735" s="191"/>
      <c r="D735" s="191"/>
      <c r="E735" s="191"/>
      <c r="F735" s="191"/>
      <c r="G735" s="386"/>
      <c r="H735" s="386"/>
      <c r="I735" s="463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</row>
    <row r="736" spans="1:26" ht="14.4">
      <c r="A736" s="191"/>
      <c r="B736" s="191"/>
      <c r="C736" s="191"/>
      <c r="D736" s="191"/>
      <c r="E736" s="191"/>
      <c r="F736" s="191"/>
      <c r="G736" s="386"/>
      <c r="H736" s="386"/>
      <c r="I736" s="463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</row>
    <row r="737" spans="1:26" ht="14.4">
      <c r="A737" s="191"/>
      <c r="B737" s="191"/>
      <c r="C737" s="191"/>
      <c r="D737" s="191"/>
      <c r="E737" s="191"/>
      <c r="F737" s="191"/>
      <c r="G737" s="386"/>
      <c r="H737" s="386"/>
      <c r="I737" s="463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</row>
    <row r="738" spans="1:26" ht="14.4">
      <c r="A738" s="191"/>
      <c r="B738" s="191"/>
      <c r="C738" s="191"/>
      <c r="D738" s="191"/>
      <c r="E738" s="191"/>
      <c r="F738" s="191"/>
      <c r="G738" s="386"/>
      <c r="H738" s="386"/>
      <c r="I738" s="463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</row>
    <row r="739" spans="1:26" ht="14.4">
      <c r="A739" s="191"/>
      <c r="B739" s="191"/>
      <c r="C739" s="191"/>
      <c r="D739" s="191"/>
      <c r="E739" s="191"/>
      <c r="F739" s="191"/>
      <c r="G739" s="386"/>
      <c r="H739" s="386"/>
      <c r="I739" s="463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</row>
    <row r="740" spans="1:26" ht="14.4">
      <c r="A740" s="191"/>
      <c r="B740" s="191"/>
      <c r="C740" s="191"/>
      <c r="D740" s="191"/>
      <c r="E740" s="191"/>
      <c r="F740" s="191"/>
      <c r="G740" s="386"/>
      <c r="H740" s="386"/>
      <c r="I740" s="463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</row>
    <row r="741" spans="1:26" ht="14.4">
      <c r="A741" s="191"/>
      <c r="B741" s="191"/>
      <c r="C741" s="191"/>
      <c r="D741" s="191"/>
      <c r="E741" s="191"/>
      <c r="F741" s="191"/>
      <c r="G741" s="386"/>
      <c r="H741" s="386"/>
      <c r="I741" s="463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</row>
    <row r="742" spans="1:26" ht="14.4">
      <c r="A742" s="191"/>
      <c r="B742" s="191"/>
      <c r="C742" s="191"/>
      <c r="D742" s="191"/>
      <c r="E742" s="191"/>
      <c r="F742" s="191"/>
      <c r="G742" s="386"/>
      <c r="H742" s="386"/>
      <c r="I742" s="463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</row>
    <row r="743" spans="1:26" ht="14.4">
      <c r="A743" s="191"/>
      <c r="B743" s="191"/>
      <c r="C743" s="191"/>
      <c r="D743" s="191"/>
      <c r="E743" s="191"/>
      <c r="F743" s="191"/>
      <c r="G743" s="386"/>
      <c r="H743" s="386"/>
      <c r="I743" s="463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</row>
    <row r="744" spans="1:26" ht="14.4">
      <c r="A744" s="191"/>
      <c r="B744" s="191"/>
      <c r="C744" s="191"/>
      <c r="D744" s="191"/>
      <c r="E744" s="191"/>
      <c r="F744" s="191"/>
      <c r="G744" s="386"/>
      <c r="H744" s="386"/>
      <c r="I744" s="463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</row>
    <row r="745" spans="1:26" ht="14.4">
      <c r="A745" s="191"/>
      <c r="B745" s="191"/>
      <c r="C745" s="191"/>
      <c r="D745" s="191"/>
      <c r="E745" s="191"/>
      <c r="F745" s="191"/>
      <c r="G745" s="386"/>
      <c r="H745" s="386"/>
      <c r="I745" s="463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</row>
    <row r="746" spans="1:26" ht="14.4">
      <c r="A746" s="191"/>
      <c r="B746" s="191"/>
      <c r="C746" s="191"/>
      <c r="D746" s="191"/>
      <c r="E746" s="191"/>
      <c r="F746" s="191"/>
      <c r="G746" s="386"/>
      <c r="H746" s="386"/>
      <c r="I746" s="463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</row>
    <row r="747" spans="1:26" ht="14.4">
      <c r="A747" s="191"/>
      <c r="B747" s="191"/>
      <c r="C747" s="191"/>
      <c r="D747" s="191"/>
      <c r="E747" s="191"/>
      <c r="F747" s="191"/>
      <c r="G747" s="386"/>
      <c r="H747" s="386"/>
      <c r="I747" s="463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</row>
    <row r="748" spans="1:26" ht="14.4">
      <c r="A748" s="191"/>
      <c r="B748" s="191"/>
      <c r="C748" s="191"/>
      <c r="D748" s="191"/>
      <c r="E748" s="191"/>
      <c r="F748" s="191"/>
      <c r="G748" s="386"/>
      <c r="H748" s="386"/>
      <c r="I748" s="463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</row>
    <row r="749" spans="1:26" ht="14.4">
      <c r="A749" s="191"/>
      <c r="B749" s="191"/>
      <c r="C749" s="191"/>
      <c r="D749" s="191"/>
      <c r="E749" s="191"/>
      <c r="F749" s="191"/>
      <c r="G749" s="386"/>
      <c r="H749" s="386"/>
      <c r="I749" s="463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</row>
    <row r="750" spans="1:26" ht="14.4">
      <c r="A750" s="191"/>
      <c r="B750" s="191"/>
      <c r="C750" s="191"/>
      <c r="D750" s="191"/>
      <c r="E750" s="191"/>
      <c r="F750" s="191"/>
      <c r="G750" s="386"/>
      <c r="H750" s="386"/>
      <c r="I750" s="463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</row>
    <row r="751" spans="1:26" ht="14.4">
      <c r="A751" s="191"/>
      <c r="B751" s="191"/>
      <c r="C751" s="191"/>
      <c r="D751" s="191"/>
      <c r="E751" s="191"/>
      <c r="F751" s="191"/>
      <c r="G751" s="386"/>
      <c r="H751" s="386"/>
      <c r="I751" s="463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</row>
    <row r="752" spans="1:26" ht="14.4">
      <c r="A752" s="191"/>
      <c r="B752" s="191"/>
      <c r="C752" s="191"/>
      <c r="D752" s="191"/>
      <c r="E752" s="191"/>
      <c r="F752" s="191"/>
      <c r="G752" s="386"/>
      <c r="H752" s="386"/>
      <c r="I752" s="463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</row>
    <row r="753" spans="1:26" ht="14.4">
      <c r="A753" s="191"/>
      <c r="B753" s="191"/>
      <c r="C753" s="191"/>
      <c r="D753" s="191"/>
      <c r="E753" s="191"/>
      <c r="F753" s="191"/>
      <c r="G753" s="386"/>
      <c r="H753" s="386"/>
      <c r="I753" s="463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</row>
    <row r="754" spans="1:26" ht="14.4">
      <c r="A754" s="191"/>
      <c r="B754" s="191"/>
      <c r="C754" s="191"/>
      <c r="D754" s="191"/>
      <c r="E754" s="191"/>
      <c r="F754" s="191"/>
      <c r="G754" s="386"/>
      <c r="H754" s="386"/>
      <c r="I754" s="463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</row>
    <row r="755" spans="1:26" ht="14.4">
      <c r="A755" s="191"/>
      <c r="B755" s="191"/>
      <c r="C755" s="191"/>
      <c r="D755" s="191"/>
      <c r="E755" s="191"/>
      <c r="F755" s="191"/>
      <c r="G755" s="386"/>
      <c r="H755" s="386"/>
      <c r="I755" s="463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</row>
    <row r="756" spans="1:26" ht="14.4">
      <c r="A756" s="191"/>
      <c r="B756" s="191"/>
      <c r="C756" s="191"/>
      <c r="D756" s="191"/>
      <c r="E756" s="191"/>
      <c r="F756" s="191"/>
      <c r="G756" s="386"/>
      <c r="H756" s="386"/>
      <c r="I756" s="463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</row>
    <row r="757" spans="1:26" ht="14.4">
      <c r="A757" s="191"/>
      <c r="B757" s="191"/>
      <c r="C757" s="191"/>
      <c r="D757" s="191"/>
      <c r="E757" s="191"/>
      <c r="F757" s="191"/>
      <c r="G757" s="386"/>
      <c r="H757" s="386"/>
      <c r="I757" s="463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</row>
    <row r="758" spans="1:26" ht="14.4">
      <c r="A758" s="191"/>
      <c r="B758" s="191"/>
      <c r="C758" s="191"/>
      <c r="D758" s="191"/>
      <c r="E758" s="191"/>
      <c r="F758" s="191"/>
      <c r="G758" s="386"/>
      <c r="H758" s="386"/>
      <c r="I758" s="463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</row>
    <row r="759" spans="1:26" ht="14.4">
      <c r="A759" s="191"/>
      <c r="B759" s="191"/>
      <c r="C759" s="191"/>
      <c r="D759" s="191"/>
      <c r="E759" s="191"/>
      <c r="F759" s="191"/>
      <c r="G759" s="386"/>
      <c r="H759" s="386"/>
      <c r="I759" s="463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</row>
    <row r="760" spans="1:26" ht="14.4">
      <c r="A760" s="191"/>
      <c r="B760" s="191"/>
      <c r="C760" s="191"/>
      <c r="D760" s="191"/>
      <c r="E760" s="191"/>
      <c r="F760" s="191"/>
      <c r="G760" s="386"/>
      <c r="H760" s="386"/>
      <c r="I760" s="463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</row>
    <row r="761" spans="1:26" ht="14.4">
      <c r="A761" s="191"/>
      <c r="B761" s="191"/>
      <c r="C761" s="191"/>
      <c r="D761" s="191"/>
      <c r="E761" s="191"/>
      <c r="F761" s="191"/>
      <c r="G761" s="386"/>
      <c r="H761" s="386"/>
      <c r="I761" s="463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</row>
    <row r="762" spans="1:26" ht="14.4">
      <c r="A762" s="191"/>
      <c r="B762" s="191"/>
      <c r="C762" s="191"/>
      <c r="D762" s="191"/>
      <c r="E762" s="191"/>
      <c r="F762" s="191"/>
      <c r="G762" s="386"/>
      <c r="H762" s="386"/>
      <c r="I762" s="463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</row>
    <row r="763" spans="1:26" ht="14.4">
      <c r="A763" s="191"/>
      <c r="B763" s="191"/>
      <c r="C763" s="191"/>
      <c r="D763" s="191"/>
      <c r="E763" s="191"/>
      <c r="F763" s="191"/>
      <c r="G763" s="386"/>
      <c r="H763" s="386"/>
      <c r="I763" s="463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</row>
    <row r="764" spans="1:26" ht="14.4">
      <c r="A764" s="191"/>
      <c r="B764" s="191"/>
      <c r="C764" s="191"/>
      <c r="D764" s="191"/>
      <c r="E764" s="191"/>
      <c r="F764" s="191"/>
      <c r="G764" s="386"/>
      <c r="H764" s="386"/>
      <c r="I764" s="463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</row>
    <row r="765" spans="1:26" ht="14.4">
      <c r="A765" s="191"/>
      <c r="B765" s="191"/>
      <c r="C765" s="191"/>
      <c r="D765" s="191"/>
      <c r="E765" s="191"/>
      <c r="F765" s="191"/>
      <c r="G765" s="386"/>
      <c r="H765" s="386"/>
      <c r="I765" s="463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</row>
    <row r="766" spans="1:26" ht="14.4">
      <c r="A766" s="191"/>
      <c r="B766" s="191"/>
      <c r="C766" s="191"/>
      <c r="D766" s="191"/>
      <c r="E766" s="191"/>
      <c r="F766" s="191"/>
      <c r="G766" s="386"/>
      <c r="H766" s="386"/>
      <c r="I766" s="463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</row>
    <row r="767" spans="1:26" ht="14.4">
      <c r="A767" s="191"/>
      <c r="B767" s="191"/>
      <c r="C767" s="191"/>
      <c r="D767" s="191"/>
      <c r="E767" s="191"/>
      <c r="F767" s="191"/>
      <c r="G767" s="386"/>
      <c r="H767" s="386"/>
      <c r="I767" s="463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</row>
    <row r="768" spans="1:26" ht="14.4">
      <c r="A768" s="191"/>
      <c r="B768" s="191"/>
      <c r="C768" s="191"/>
      <c r="D768" s="191"/>
      <c r="E768" s="191"/>
      <c r="F768" s="191"/>
      <c r="G768" s="386"/>
      <c r="H768" s="386"/>
      <c r="I768" s="463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</row>
    <row r="769" spans="1:26" ht="14.4">
      <c r="A769" s="191"/>
      <c r="B769" s="191"/>
      <c r="C769" s="191"/>
      <c r="D769" s="191"/>
      <c r="E769" s="191"/>
      <c r="F769" s="191"/>
      <c r="G769" s="386"/>
      <c r="H769" s="386"/>
      <c r="I769" s="463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</row>
    <row r="770" spans="1:26" ht="14.4">
      <c r="A770" s="191"/>
      <c r="B770" s="191"/>
      <c r="C770" s="191"/>
      <c r="D770" s="191"/>
      <c r="E770" s="191"/>
      <c r="F770" s="191"/>
      <c r="G770" s="386"/>
      <c r="H770" s="386"/>
      <c r="I770" s="463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</row>
    <row r="771" spans="1:26" ht="14.4">
      <c r="A771" s="191"/>
      <c r="B771" s="191"/>
      <c r="C771" s="191"/>
      <c r="D771" s="191"/>
      <c r="E771" s="191"/>
      <c r="F771" s="191"/>
      <c r="G771" s="386"/>
      <c r="H771" s="386"/>
      <c r="I771" s="463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</row>
    <row r="772" spans="1:26" ht="14.4">
      <c r="A772" s="191"/>
      <c r="B772" s="191"/>
      <c r="C772" s="191"/>
      <c r="D772" s="191"/>
      <c r="E772" s="191"/>
      <c r="F772" s="191"/>
      <c r="G772" s="386"/>
      <c r="H772" s="386"/>
      <c r="I772" s="463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</row>
    <row r="773" spans="1:26" ht="14.4">
      <c r="A773" s="191"/>
      <c r="B773" s="191"/>
      <c r="C773" s="191"/>
      <c r="D773" s="191"/>
      <c r="E773" s="191"/>
      <c r="F773" s="191"/>
      <c r="G773" s="386"/>
      <c r="H773" s="386"/>
      <c r="I773" s="463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</row>
    <row r="774" spans="1:26" ht="14.4">
      <c r="A774" s="191"/>
      <c r="B774" s="191"/>
      <c r="C774" s="191"/>
      <c r="D774" s="191"/>
      <c r="E774" s="191"/>
      <c r="F774" s="191"/>
      <c r="G774" s="386"/>
      <c r="H774" s="386"/>
      <c r="I774" s="463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</row>
    <row r="775" spans="1:26" ht="14.4">
      <c r="A775" s="191"/>
      <c r="B775" s="191"/>
      <c r="C775" s="191"/>
      <c r="D775" s="191"/>
      <c r="E775" s="191"/>
      <c r="F775" s="191"/>
      <c r="G775" s="386"/>
      <c r="H775" s="386"/>
      <c r="I775" s="463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</row>
    <row r="776" spans="1:26" ht="14.4">
      <c r="A776" s="191"/>
      <c r="B776" s="191"/>
      <c r="C776" s="191"/>
      <c r="D776" s="191"/>
      <c r="E776" s="191"/>
      <c r="F776" s="191"/>
      <c r="G776" s="386"/>
      <c r="H776" s="386"/>
      <c r="I776" s="463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</row>
    <row r="777" spans="1:26" ht="14.4">
      <c r="A777" s="191"/>
      <c r="B777" s="191"/>
      <c r="C777" s="191"/>
      <c r="D777" s="191"/>
      <c r="E777" s="191"/>
      <c r="F777" s="191"/>
      <c r="G777" s="386"/>
      <c r="H777" s="386"/>
      <c r="I777" s="463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</row>
    <row r="778" spans="1:26" ht="14.4">
      <c r="A778" s="191"/>
      <c r="B778" s="191"/>
      <c r="C778" s="191"/>
      <c r="D778" s="191"/>
      <c r="E778" s="191"/>
      <c r="F778" s="191"/>
      <c r="G778" s="386"/>
      <c r="H778" s="386"/>
      <c r="I778" s="463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</row>
    <row r="779" spans="1:26" ht="14.4">
      <c r="A779" s="191"/>
      <c r="B779" s="191"/>
      <c r="C779" s="191"/>
      <c r="D779" s="191"/>
      <c r="E779" s="191"/>
      <c r="F779" s="191"/>
      <c r="G779" s="386"/>
      <c r="H779" s="386"/>
      <c r="I779" s="463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</row>
    <row r="780" spans="1:26" ht="14.4">
      <c r="A780" s="191"/>
      <c r="B780" s="191"/>
      <c r="C780" s="191"/>
      <c r="D780" s="191"/>
      <c r="E780" s="191"/>
      <c r="F780" s="191"/>
      <c r="G780" s="386"/>
      <c r="H780" s="386"/>
      <c r="I780" s="463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</row>
    <row r="781" spans="1:26" ht="14.4">
      <c r="A781" s="191"/>
      <c r="B781" s="191"/>
      <c r="C781" s="191"/>
      <c r="D781" s="191"/>
      <c r="E781" s="191"/>
      <c r="F781" s="191"/>
      <c r="G781" s="386"/>
      <c r="H781" s="386"/>
      <c r="I781" s="463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</row>
    <row r="782" spans="1:26" ht="14.4">
      <c r="A782" s="191"/>
      <c r="B782" s="191"/>
      <c r="C782" s="191"/>
      <c r="D782" s="191"/>
      <c r="E782" s="191"/>
      <c r="F782" s="191"/>
      <c r="G782" s="386"/>
      <c r="H782" s="386"/>
      <c r="I782" s="463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</row>
    <row r="783" spans="1:26" ht="14.4">
      <c r="A783" s="191"/>
      <c r="B783" s="191"/>
      <c r="C783" s="191"/>
      <c r="D783" s="191"/>
      <c r="E783" s="191"/>
      <c r="F783" s="191"/>
      <c r="G783" s="386"/>
      <c r="H783" s="386"/>
      <c r="I783" s="463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</row>
    <row r="784" spans="1:26" ht="14.4">
      <c r="A784" s="191"/>
      <c r="B784" s="191"/>
      <c r="C784" s="191"/>
      <c r="D784" s="191"/>
      <c r="E784" s="191"/>
      <c r="F784" s="191"/>
      <c r="G784" s="386"/>
      <c r="H784" s="386"/>
      <c r="I784" s="463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</row>
    <row r="785" spans="1:26" ht="14.4">
      <c r="A785" s="191"/>
      <c r="B785" s="191"/>
      <c r="C785" s="191"/>
      <c r="D785" s="191"/>
      <c r="E785" s="191"/>
      <c r="F785" s="191"/>
      <c r="G785" s="386"/>
      <c r="H785" s="386"/>
      <c r="I785" s="463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</row>
    <row r="786" spans="1:26" ht="14.4">
      <c r="A786" s="191"/>
      <c r="B786" s="191"/>
      <c r="C786" s="191"/>
      <c r="D786" s="191"/>
      <c r="E786" s="191"/>
      <c r="F786" s="191"/>
      <c r="G786" s="386"/>
      <c r="H786" s="386"/>
      <c r="I786" s="463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</row>
    <row r="787" spans="1:26" ht="14.4">
      <c r="A787" s="191"/>
      <c r="B787" s="191"/>
      <c r="C787" s="191"/>
      <c r="D787" s="191"/>
      <c r="E787" s="191"/>
      <c r="F787" s="191"/>
      <c r="G787" s="386"/>
      <c r="H787" s="386"/>
      <c r="I787" s="463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</row>
    <row r="788" spans="1:26" ht="14.4">
      <c r="A788" s="191"/>
      <c r="B788" s="191"/>
      <c r="C788" s="191"/>
      <c r="D788" s="191"/>
      <c r="E788" s="191"/>
      <c r="F788" s="191"/>
      <c r="G788" s="386"/>
      <c r="H788" s="386"/>
      <c r="I788" s="463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</row>
    <row r="789" spans="1:26" ht="14.4">
      <c r="A789" s="191"/>
      <c r="B789" s="191"/>
      <c r="C789" s="191"/>
      <c r="D789" s="191"/>
      <c r="E789" s="191"/>
      <c r="F789" s="191"/>
      <c r="G789" s="386"/>
      <c r="H789" s="386"/>
      <c r="I789" s="463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</row>
    <row r="790" spans="1:26" ht="14.4">
      <c r="A790" s="191"/>
      <c r="B790" s="191"/>
      <c r="C790" s="191"/>
      <c r="D790" s="191"/>
      <c r="E790" s="191"/>
      <c r="F790" s="191"/>
      <c r="G790" s="386"/>
      <c r="H790" s="386"/>
      <c r="I790" s="463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</row>
    <row r="791" spans="1:26" ht="14.4">
      <c r="A791" s="191"/>
      <c r="B791" s="191"/>
      <c r="C791" s="191"/>
      <c r="D791" s="191"/>
      <c r="E791" s="191"/>
      <c r="F791" s="191"/>
      <c r="G791" s="386"/>
      <c r="H791" s="386"/>
      <c r="I791" s="463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</row>
    <row r="792" spans="1:26" ht="14.4">
      <c r="A792" s="191"/>
      <c r="B792" s="191"/>
      <c r="C792" s="191"/>
      <c r="D792" s="191"/>
      <c r="E792" s="191"/>
      <c r="F792" s="191"/>
      <c r="G792" s="386"/>
      <c r="H792" s="386"/>
      <c r="I792" s="463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</row>
    <row r="793" spans="1:26" ht="14.4">
      <c r="A793" s="191"/>
      <c r="B793" s="191"/>
      <c r="C793" s="191"/>
      <c r="D793" s="191"/>
      <c r="E793" s="191"/>
      <c r="F793" s="191"/>
      <c r="G793" s="386"/>
      <c r="H793" s="386"/>
      <c r="I793" s="463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</row>
    <row r="794" spans="1:26" ht="14.4">
      <c r="A794" s="191"/>
      <c r="B794" s="191"/>
      <c r="C794" s="191"/>
      <c r="D794" s="191"/>
      <c r="E794" s="191"/>
      <c r="F794" s="191"/>
      <c r="G794" s="386"/>
      <c r="H794" s="386"/>
      <c r="I794" s="463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</row>
    <row r="795" spans="1:26" ht="14.4">
      <c r="A795" s="191"/>
      <c r="B795" s="191"/>
      <c r="C795" s="191"/>
      <c r="D795" s="191"/>
      <c r="E795" s="191"/>
      <c r="F795" s="191"/>
      <c r="G795" s="386"/>
      <c r="H795" s="386"/>
      <c r="I795" s="463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</row>
    <row r="796" spans="1:26" ht="14.4">
      <c r="A796" s="191"/>
      <c r="B796" s="191"/>
      <c r="C796" s="191"/>
      <c r="D796" s="191"/>
      <c r="E796" s="191"/>
      <c r="F796" s="191"/>
      <c r="G796" s="386"/>
      <c r="H796" s="386"/>
      <c r="I796" s="463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</row>
    <row r="797" spans="1:26" ht="14.4">
      <c r="A797" s="191"/>
      <c r="B797" s="191"/>
      <c r="C797" s="191"/>
      <c r="D797" s="191"/>
      <c r="E797" s="191"/>
      <c r="F797" s="191"/>
      <c r="G797" s="386"/>
      <c r="H797" s="386"/>
      <c r="I797" s="463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</row>
    <row r="798" spans="1:26" ht="14.4">
      <c r="A798" s="191"/>
      <c r="B798" s="191"/>
      <c r="C798" s="191"/>
      <c r="D798" s="191"/>
      <c r="E798" s="191"/>
      <c r="F798" s="191"/>
      <c r="G798" s="386"/>
      <c r="H798" s="386"/>
      <c r="I798" s="463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</row>
    <row r="799" spans="1:26" ht="14.4">
      <c r="A799" s="191"/>
      <c r="B799" s="191"/>
      <c r="C799" s="191"/>
      <c r="D799" s="191"/>
      <c r="E799" s="191"/>
      <c r="F799" s="191"/>
      <c r="G799" s="386"/>
      <c r="H799" s="386"/>
      <c r="I799" s="463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</row>
    <row r="800" spans="1:26" ht="14.4">
      <c r="A800" s="191"/>
      <c r="B800" s="191"/>
      <c r="C800" s="191"/>
      <c r="D800" s="191"/>
      <c r="E800" s="191"/>
      <c r="F800" s="191"/>
      <c r="G800" s="386"/>
      <c r="H800" s="386"/>
      <c r="I800" s="463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</row>
    <row r="801" spans="1:26" ht="14.4">
      <c r="A801" s="191"/>
      <c r="B801" s="191"/>
      <c r="C801" s="191"/>
      <c r="D801" s="191"/>
      <c r="E801" s="191"/>
      <c r="F801" s="191"/>
      <c r="G801" s="386"/>
      <c r="H801" s="386"/>
      <c r="I801" s="463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</row>
    <row r="802" spans="1:26" ht="14.4">
      <c r="A802" s="191"/>
      <c r="B802" s="191"/>
      <c r="C802" s="191"/>
      <c r="D802" s="191"/>
      <c r="E802" s="191"/>
      <c r="F802" s="191"/>
      <c r="G802" s="386"/>
      <c r="H802" s="386"/>
      <c r="I802" s="463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</row>
    <row r="803" spans="1:26" ht="14.4">
      <c r="A803" s="191"/>
      <c r="B803" s="191"/>
      <c r="C803" s="191"/>
      <c r="D803" s="191"/>
      <c r="E803" s="191"/>
      <c r="F803" s="191"/>
      <c r="G803" s="386"/>
      <c r="H803" s="386"/>
      <c r="I803" s="463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</row>
    <row r="804" spans="1:26" ht="14.4">
      <c r="A804" s="191"/>
      <c r="B804" s="191"/>
      <c r="C804" s="191"/>
      <c r="D804" s="191"/>
      <c r="E804" s="191"/>
      <c r="F804" s="191"/>
      <c r="G804" s="386"/>
      <c r="H804" s="386"/>
      <c r="I804" s="463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</row>
    <row r="805" spans="1:26" ht="14.4">
      <c r="A805" s="191"/>
      <c r="B805" s="191"/>
      <c r="C805" s="191"/>
      <c r="D805" s="191"/>
      <c r="E805" s="191"/>
      <c r="F805" s="191"/>
      <c r="G805" s="386"/>
      <c r="H805" s="386"/>
      <c r="I805" s="463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</row>
    <row r="806" spans="1:26" ht="14.4">
      <c r="A806" s="191"/>
      <c r="B806" s="191"/>
      <c r="C806" s="191"/>
      <c r="D806" s="191"/>
      <c r="E806" s="191"/>
      <c r="F806" s="191"/>
      <c r="G806" s="386"/>
      <c r="H806" s="386"/>
      <c r="I806" s="463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</row>
    <row r="807" spans="1:26" ht="14.4">
      <c r="A807" s="191"/>
      <c r="B807" s="191"/>
      <c r="C807" s="191"/>
      <c r="D807" s="191"/>
      <c r="E807" s="191"/>
      <c r="F807" s="191"/>
      <c r="G807" s="386"/>
      <c r="H807" s="386"/>
      <c r="I807" s="463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</row>
    <row r="808" spans="1:26" ht="14.4">
      <c r="A808" s="191"/>
      <c r="B808" s="191"/>
      <c r="C808" s="191"/>
      <c r="D808" s="191"/>
      <c r="E808" s="191"/>
      <c r="F808" s="191"/>
      <c r="G808" s="386"/>
      <c r="H808" s="386"/>
      <c r="I808" s="463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</row>
    <row r="809" spans="1:26" ht="14.4">
      <c r="A809" s="191"/>
      <c r="B809" s="191"/>
      <c r="C809" s="191"/>
      <c r="D809" s="191"/>
      <c r="E809" s="191"/>
      <c r="F809" s="191"/>
      <c r="G809" s="386"/>
      <c r="H809" s="386"/>
      <c r="I809" s="463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</row>
    <row r="810" spans="1:26" ht="14.4">
      <c r="A810" s="191"/>
      <c r="B810" s="191"/>
      <c r="C810" s="191"/>
      <c r="D810" s="191"/>
      <c r="E810" s="191"/>
      <c r="F810" s="191"/>
      <c r="G810" s="386"/>
      <c r="H810" s="386"/>
      <c r="I810" s="463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</row>
    <row r="811" spans="1:26" ht="14.4">
      <c r="A811" s="191"/>
      <c r="B811" s="191"/>
      <c r="C811" s="191"/>
      <c r="D811" s="191"/>
      <c r="E811" s="191"/>
      <c r="F811" s="191"/>
      <c r="G811" s="386"/>
      <c r="H811" s="386"/>
      <c r="I811" s="463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</row>
    <row r="812" spans="1:26" ht="14.4">
      <c r="A812" s="191"/>
      <c r="B812" s="191"/>
      <c r="C812" s="191"/>
      <c r="D812" s="191"/>
      <c r="E812" s="191"/>
      <c r="F812" s="191"/>
      <c r="G812" s="386"/>
      <c r="H812" s="386"/>
      <c r="I812" s="463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</row>
    <row r="813" spans="1:26" ht="14.4">
      <c r="A813" s="191"/>
      <c r="B813" s="191"/>
      <c r="C813" s="191"/>
      <c r="D813" s="191"/>
      <c r="E813" s="191"/>
      <c r="F813" s="191"/>
      <c r="G813" s="386"/>
      <c r="H813" s="386"/>
      <c r="I813" s="463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</row>
    <row r="814" spans="1:26" ht="14.4">
      <c r="A814" s="191"/>
      <c r="B814" s="191"/>
      <c r="C814" s="191"/>
      <c r="D814" s="191"/>
      <c r="E814" s="191"/>
      <c r="F814" s="191"/>
      <c r="G814" s="386"/>
      <c r="H814" s="386"/>
      <c r="I814" s="463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</row>
    <row r="815" spans="1:26" ht="14.4">
      <c r="A815" s="191"/>
      <c r="B815" s="191"/>
      <c r="C815" s="191"/>
      <c r="D815" s="191"/>
      <c r="E815" s="191"/>
      <c r="F815" s="191"/>
      <c r="G815" s="386"/>
      <c r="H815" s="386"/>
      <c r="I815" s="463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</row>
    <row r="816" spans="1:26" ht="14.4">
      <c r="A816" s="191"/>
      <c r="B816" s="191"/>
      <c r="C816" s="191"/>
      <c r="D816" s="191"/>
      <c r="E816" s="191"/>
      <c r="F816" s="191"/>
      <c r="G816" s="386"/>
      <c r="H816" s="386"/>
      <c r="I816" s="463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</row>
    <row r="817" spans="1:26" ht="14.4">
      <c r="A817" s="191"/>
      <c r="B817" s="191"/>
      <c r="C817" s="191"/>
      <c r="D817" s="191"/>
      <c r="E817" s="191"/>
      <c r="F817" s="191"/>
      <c r="G817" s="386"/>
      <c r="H817" s="386"/>
      <c r="I817" s="463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</row>
    <row r="818" spans="1:26" ht="14.4">
      <c r="A818" s="191"/>
      <c r="B818" s="191"/>
      <c r="C818" s="191"/>
      <c r="D818" s="191"/>
      <c r="E818" s="191"/>
      <c r="F818" s="191"/>
      <c r="G818" s="386"/>
      <c r="H818" s="386"/>
      <c r="I818" s="463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</row>
    <row r="819" spans="1:26" ht="14.4">
      <c r="A819" s="191"/>
      <c r="B819" s="191"/>
      <c r="C819" s="191"/>
      <c r="D819" s="191"/>
      <c r="E819" s="191"/>
      <c r="F819" s="191"/>
      <c r="G819" s="386"/>
      <c r="H819" s="386"/>
      <c r="I819" s="463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</row>
    <row r="820" spans="1:26" ht="14.4">
      <c r="A820" s="191"/>
      <c r="B820" s="191"/>
      <c r="C820" s="191"/>
      <c r="D820" s="191"/>
      <c r="E820" s="191"/>
      <c r="F820" s="191"/>
      <c r="G820" s="386"/>
      <c r="H820" s="386"/>
      <c r="I820" s="463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</row>
    <row r="821" spans="1:26" ht="14.4">
      <c r="A821" s="191"/>
      <c r="B821" s="191"/>
      <c r="C821" s="191"/>
      <c r="D821" s="191"/>
      <c r="E821" s="191"/>
      <c r="F821" s="191"/>
      <c r="G821" s="386"/>
      <c r="H821" s="386"/>
      <c r="I821" s="463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</row>
    <row r="822" spans="1:26" ht="14.4">
      <c r="A822" s="191"/>
      <c r="B822" s="191"/>
      <c r="C822" s="191"/>
      <c r="D822" s="191"/>
      <c r="E822" s="191"/>
      <c r="F822" s="191"/>
      <c r="G822" s="386"/>
      <c r="H822" s="386"/>
      <c r="I822" s="463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</row>
    <row r="823" spans="1:26" ht="14.4">
      <c r="A823" s="191"/>
      <c r="B823" s="191"/>
      <c r="C823" s="191"/>
      <c r="D823" s="191"/>
      <c r="E823" s="191"/>
      <c r="F823" s="191"/>
      <c r="G823" s="386"/>
      <c r="H823" s="386"/>
      <c r="I823" s="463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</row>
    <row r="824" spans="1:26" ht="14.4">
      <c r="A824" s="191"/>
      <c r="B824" s="191"/>
      <c r="C824" s="191"/>
      <c r="D824" s="191"/>
      <c r="E824" s="191"/>
      <c r="F824" s="191"/>
      <c r="G824" s="386"/>
      <c r="H824" s="386"/>
      <c r="I824" s="463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</row>
    <row r="825" spans="1:26" ht="14.4">
      <c r="A825" s="191"/>
      <c r="B825" s="191"/>
      <c r="C825" s="191"/>
      <c r="D825" s="191"/>
      <c r="E825" s="191"/>
      <c r="F825" s="191"/>
      <c r="G825" s="386"/>
      <c r="H825" s="386"/>
      <c r="I825" s="463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</row>
    <row r="826" spans="1:26" ht="14.4">
      <c r="A826" s="191"/>
      <c r="B826" s="191"/>
      <c r="C826" s="191"/>
      <c r="D826" s="191"/>
      <c r="E826" s="191"/>
      <c r="F826" s="191"/>
      <c r="G826" s="386"/>
      <c r="H826" s="386"/>
      <c r="I826" s="463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</row>
    <row r="827" spans="1:26" ht="14.4">
      <c r="A827" s="191"/>
      <c r="B827" s="191"/>
      <c r="C827" s="191"/>
      <c r="D827" s="191"/>
      <c r="E827" s="191"/>
      <c r="F827" s="191"/>
      <c r="G827" s="386"/>
      <c r="H827" s="386"/>
      <c r="I827" s="463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</row>
    <row r="828" spans="1:26" ht="14.4">
      <c r="A828" s="191"/>
      <c r="B828" s="191"/>
      <c r="C828" s="191"/>
      <c r="D828" s="191"/>
      <c r="E828" s="191"/>
      <c r="F828" s="191"/>
      <c r="G828" s="386"/>
      <c r="H828" s="386"/>
      <c r="I828" s="463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</row>
    <row r="829" spans="1:26" ht="14.4">
      <c r="A829" s="191"/>
      <c r="B829" s="191"/>
      <c r="C829" s="191"/>
      <c r="D829" s="191"/>
      <c r="E829" s="191"/>
      <c r="F829" s="191"/>
      <c r="G829" s="386"/>
      <c r="H829" s="386"/>
      <c r="I829" s="463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</row>
    <row r="830" spans="1:26" ht="14.4">
      <c r="A830" s="191"/>
      <c r="B830" s="191"/>
      <c r="C830" s="191"/>
      <c r="D830" s="191"/>
      <c r="E830" s="191"/>
      <c r="F830" s="191"/>
      <c r="G830" s="386"/>
      <c r="H830" s="386"/>
      <c r="I830" s="463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</row>
    <row r="831" spans="1:26" ht="14.4">
      <c r="A831" s="191"/>
      <c r="B831" s="191"/>
      <c r="C831" s="191"/>
      <c r="D831" s="191"/>
      <c r="E831" s="191"/>
      <c r="F831" s="191"/>
      <c r="G831" s="386"/>
      <c r="H831" s="386"/>
      <c r="I831" s="463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</row>
    <row r="832" spans="1:26" ht="14.4">
      <c r="A832" s="191"/>
      <c r="B832" s="191"/>
      <c r="C832" s="191"/>
      <c r="D832" s="191"/>
      <c r="E832" s="191"/>
      <c r="F832" s="191"/>
      <c r="G832" s="386"/>
      <c r="H832" s="386"/>
      <c r="I832" s="463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</row>
    <row r="833" spans="1:26" ht="14.4">
      <c r="A833" s="191"/>
      <c r="B833" s="191"/>
      <c r="C833" s="191"/>
      <c r="D833" s="191"/>
      <c r="E833" s="191"/>
      <c r="F833" s="191"/>
      <c r="G833" s="386"/>
      <c r="H833" s="386"/>
      <c r="I833" s="463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</row>
    <row r="834" spans="1:26" ht="14.4">
      <c r="A834" s="191"/>
      <c r="B834" s="191"/>
      <c r="C834" s="191"/>
      <c r="D834" s="191"/>
      <c r="E834" s="191"/>
      <c r="F834" s="191"/>
      <c r="G834" s="386"/>
      <c r="H834" s="386"/>
      <c r="I834" s="463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</row>
    <row r="835" spans="1:26" ht="14.4">
      <c r="A835" s="191"/>
      <c r="B835" s="191"/>
      <c r="C835" s="191"/>
      <c r="D835" s="191"/>
      <c r="E835" s="191"/>
      <c r="F835" s="191"/>
      <c r="G835" s="386"/>
      <c r="H835" s="386"/>
      <c r="I835" s="463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</row>
    <row r="836" spans="1:26" ht="14.4">
      <c r="A836" s="191"/>
      <c r="B836" s="191"/>
      <c r="C836" s="191"/>
      <c r="D836" s="191"/>
      <c r="E836" s="191"/>
      <c r="F836" s="191"/>
      <c r="G836" s="386"/>
      <c r="H836" s="386"/>
      <c r="I836" s="463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</row>
    <row r="837" spans="1:26" ht="14.4">
      <c r="A837" s="191"/>
      <c r="B837" s="191"/>
      <c r="C837" s="191"/>
      <c r="D837" s="191"/>
      <c r="E837" s="191"/>
      <c r="F837" s="191"/>
      <c r="G837" s="386"/>
      <c r="H837" s="386"/>
      <c r="I837" s="463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</row>
    <row r="838" spans="1:26" ht="14.4">
      <c r="A838" s="191"/>
      <c r="B838" s="191"/>
      <c r="C838" s="191"/>
      <c r="D838" s="191"/>
      <c r="E838" s="191"/>
      <c r="F838" s="191"/>
      <c r="G838" s="386"/>
      <c r="H838" s="386"/>
      <c r="I838" s="463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</row>
    <row r="839" spans="1:26" ht="14.4">
      <c r="A839" s="191"/>
      <c r="B839" s="191"/>
      <c r="C839" s="191"/>
      <c r="D839" s="191"/>
      <c r="E839" s="191"/>
      <c r="F839" s="191"/>
      <c r="G839" s="386"/>
      <c r="H839" s="386"/>
      <c r="I839" s="463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</row>
    <row r="840" spans="1:26" ht="14.4">
      <c r="A840" s="191"/>
      <c r="B840" s="191"/>
      <c r="C840" s="191"/>
      <c r="D840" s="191"/>
      <c r="E840" s="191"/>
      <c r="F840" s="191"/>
      <c r="G840" s="386"/>
      <c r="H840" s="386"/>
      <c r="I840" s="463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</row>
    <row r="841" spans="1:26" ht="14.4">
      <c r="A841" s="191"/>
      <c r="B841" s="191"/>
      <c r="C841" s="191"/>
      <c r="D841" s="191"/>
      <c r="E841" s="191"/>
      <c r="F841" s="191"/>
      <c r="G841" s="386"/>
      <c r="H841" s="386"/>
      <c r="I841" s="463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</row>
    <row r="842" spans="1:26" ht="14.4">
      <c r="A842" s="191"/>
      <c r="B842" s="191"/>
      <c r="C842" s="191"/>
      <c r="D842" s="191"/>
      <c r="E842" s="191"/>
      <c r="F842" s="191"/>
      <c r="G842" s="386"/>
      <c r="H842" s="386"/>
      <c r="I842" s="463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</row>
    <row r="843" spans="1:26" ht="14.4">
      <c r="A843" s="191"/>
      <c r="B843" s="191"/>
      <c r="C843" s="191"/>
      <c r="D843" s="191"/>
      <c r="E843" s="191"/>
      <c r="F843" s="191"/>
      <c r="G843" s="386"/>
      <c r="H843" s="386"/>
      <c r="I843" s="463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</row>
    <row r="844" spans="1:26" ht="14.4">
      <c r="A844" s="191"/>
      <c r="B844" s="191"/>
      <c r="C844" s="191"/>
      <c r="D844" s="191"/>
      <c r="E844" s="191"/>
      <c r="F844" s="191"/>
      <c r="G844" s="386"/>
      <c r="H844" s="386"/>
      <c r="I844" s="463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</row>
    <row r="845" spans="1:26" ht="14.4">
      <c r="A845" s="191"/>
      <c r="B845" s="191"/>
      <c r="C845" s="191"/>
      <c r="D845" s="191"/>
      <c r="E845" s="191"/>
      <c r="F845" s="191"/>
      <c r="G845" s="386"/>
      <c r="H845" s="386"/>
      <c r="I845" s="463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</row>
    <row r="846" spans="1:26" ht="14.4">
      <c r="A846" s="191"/>
      <c r="B846" s="191"/>
      <c r="C846" s="191"/>
      <c r="D846" s="191"/>
      <c r="E846" s="191"/>
      <c r="F846" s="191"/>
      <c r="G846" s="386"/>
      <c r="H846" s="386"/>
      <c r="I846" s="463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</row>
    <row r="847" spans="1:26" ht="14.4">
      <c r="A847" s="191"/>
      <c r="B847" s="191"/>
      <c r="C847" s="191"/>
      <c r="D847" s="191"/>
      <c r="E847" s="191"/>
      <c r="F847" s="191"/>
      <c r="G847" s="386"/>
      <c r="H847" s="386"/>
      <c r="I847" s="463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</row>
    <row r="848" spans="1:26" ht="14.4">
      <c r="A848" s="191"/>
      <c r="B848" s="191"/>
      <c r="C848" s="191"/>
      <c r="D848" s="191"/>
      <c r="E848" s="191"/>
      <c r="F848" s="191"/>
      <c r="G848" s="386"/>
      <c r="H848" s="386"/>
      <c r="I848" s="463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</row>
    <row r="849" spans="1:26" ht="14.4">
      <c r="A849" s="191"/>
      <c r="B849" s="191"/>
      <c r="C849" s="191"/>
      <c r="D849" s="191"/>
      <c r="E849" s="191"/>
      <c r="F849" s="191"/>
      <c r="G849" s="386"/>
      <c r="H849" s="386"/>
      <c r="I849" s="463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</row>
    <row r="850" spans="1:26" ht="14.4">
      <c r="A850" s="191"/>
      <c r="B850" s="191"/>
      <c r="C850" s="191"/>
      <c r="D850" s="191"/>
      <c r="E850" s="191"/>
      <c r="F850" s="191"/>
      <c r="G850" s="386"/>
      <c r="H850" s="386"/>
      <c r="I850" s="463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</row>
    <row r="851" spans="1:26" ht="14.4">
      <c r="A851" s="191"/>
      <c r="B851" s="191"/>
      <c r="C851" s="191"/>
      <c r="D851" s="191"/>
      <c r="E851" s="191"/>
      <c r="F851" s="191"/>
      <c r="G851" s="386"/>
      <c r="H851" s="386"/>
      <c r="I851" s="463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</row>
    <row r="852" spans="1:26" ht="14.4">
      <c r="A852" s="191"/>
      <c r="B852" s="191"/>
      <c r="C852" s="191"/>
      <c r="D852" s="191"/>
      <c r="E852" s="191"/>
      <c r="F852" s="191"/>
      <c r="G852" s="386"/>
      <c r="H852" s="386"/>
      <c r="I852" s="463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</row>
    <row r="853" spans="1:26" ht="14.4">
      <c r="A853" s="191"/>
      <c r="B853" s="191"/>
      <c r="C853" s="191"/>
      <c r="D853" s="191"/>
      <c r="E853" s="191"/>
      <c r="F853" s="191"/>
      <c r="G853" s="386"/>
      <c r="H853" s="386"/>
      <c r="I853" s="463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</row>
    <row r="854" spans="1:26" ht="14.4">
      <c r="A854" s="191"/>
      <c r="B854" s="191"/>
      <c r="C854" s="191"/>
      <c r="D854" s="191"/>
      <c r="E854" s="191"/>
      <c r="F854" s="191"/>
      <c r="G854" s="386"/>
      <c r="H854" s="386"/>
      <c r="I854" s="463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</row>
    <row r="855" spans="1:26" ht="14.4">
      <c r="A855" s="191"/>
      <c r="B855" s="191"/>
      <c r="C855" s="191"/>
      <c r="D855" s="191"/>
      <c r="E855" s="191"/>
      <c r="F855" s="191"/>
      <c r="G855" s="386"/>
      <c r="H855" s="386"/>
      <c r="I855" s="463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</row>
    <row r="856" spans="1:26" ht="14.4">
      <c r="A856" s="191"/>
      <c r="B856" s="191"/>
      <c r="C856" s="191"/>
      <c r="D856" s="191"/>
      <c r="E856" s="191"/>
      <c r="F856" s="191"/>
      <c r="G856" s="386"/>
      <c r="H856" s="386"/>
      <c r="I856" s="463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</row>
    <row r="857" spans="1:26" ht="14.4">
      <c r="A857" s="191"/>
      <c r="B857" s="191"/>
      <c r="C857" s="191"/>
      <c r="D857" s="191"/>
      <c r="E857" s="191"/>
      <c r="F857" s="191"/>
      <c r="G857" s="386"/>
      <c r="H857" s="386"/>
      <c r="I857" s="463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</row>
    <row r="858" spans="1:26" ht="14.4">
      <c r="A858" s="191"/>
      <c r="B858" s="191"/>
      <c r="C858" s="191"/>
      <c r="D858" s="191"/>
      <c r="E858" s="191"/>
      <c r="F858" s="191"/>
      <c r="G858" s="386"/>
      <c r="H858" s="386"/>
      <c r="I858" s="463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</row>
    <row r="859" spans="1:26" ht="14.4">
      <c r="A859" s="191"/>
      <c r="B859" s="191"/>
      <c r="C859" s="191"/>
      <c r="D859" s="191"/>
      <c r="E859" s="191"/>
      <c r="F859" s="191"/>
      <c r="G859" s="386"/>
      <c r="H859" s="386"/>
      <c r="I859" s="463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</row>
    <row r="860" spans="1:26" ht="14.4">
      <c r="A860" s="191"/>
      <c r="B860" s="191"/>
      <c r="C860" s="191"/>
      <c r="D860" s="191"/>
      <c r="E860" s="191"/>
      <c r="F860" s="191"/>
      <c r="G860" s="386"/>
      <c r="H860" s="386"/>
      <c r="I860" s="463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</row>
    <row r="861" spans="1:26" ht="14.4">
      <c r="A861" s="191"/>
      <c r="B861" s="191"/>
      <c r="C861" s="191"/>
      <c r="D861" s="191"/>
      <c r="E861" s="191"/>
      <c r="F861" s="191"/>
      <c r="G861" s="386"/>
      <c r="H861" s="386"/>
      <c r="I861" s="463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</row>
    <row r="862" spans="1:26" ht="14.4">
      <c r="A862" s="191"/>
      <c r="B862" s="191"/>
      <c r="C862" s="191"/>
      <c r="D862" s="191"/>
      <c r="E862" s="191"/>
      <c r="F862" s="191"/>
      <c r="G862" s="386"/>
      <c r="H862" s="386"/>
      <c r="I862" s="463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</row>
    <row r="863" spans="1:26" ht="14.4">
      <c r="A863" s="191"/>
      <c r="B863" s="191"/>
      <c r="C863" s="191"/>
      <c r="D863" s="191"/>
      <c r="E863" s="191"/>
      <c r="F863" s="191"/>
      <c r="G863" s="386"/>
      <c r="H863" s="386"/>
      <c r="I863" s="463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</row>
    <row r="864" spans="1:26" ht="14.4">
      <c r="A864" s="191"/>
      <c r="B864" s="191"/>
      <c r="C864" s="191"/>
      <c r="D864" s="191"/>
      <c r="E864" s="191"/>
      <c r="F864" s="191"/>
      <c r="G864" s="386"/>
      <c r="H864" s="386"/>
      <c r="I864" s="463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</row>
    <row r="865" spans="1:26" ht="14.4">
      <c r="A865" s="191"/>
      <c r="B865" s="191"/>
      <c r="C865" s="191"/>
      <c r="D865" s="191"/>
      <c r="E865" s="191"/>
      <c r="F865" s="191"/>
      <c r="G865" s="386"/>
      <c r="H865" s="386"/>
      <c r="I865" s="463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</row>
    <row r="866" spans="1:26" ht="14.4">
      <c r="A866" s="191"/>
      <c r="B866" s="191"/>
      <c r="C866" s="191"/>
      <c r="D866" s="191"/>
      <c r="E866" s="191"/>
      <c r="F866" s="191"/>
      <c r="G866" s="386"/>
      <c r="H866" s="386"/>
      <c r="I866" s="463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</row>
    <row r="867" spans="1:26" ht="14.4">
      <c r="A867" s="191"/>
      <c r="B867" s="191"/>
      <c r="C867" s="191"/>
      <c r="D867" s="191"/>
      <c r="E867" s="191"/>
      <c r="F867" s="191"/>
      <c r="G867" s="386"/>
      <c r="H867" s="386"/>
      <c r="I867" s="463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</row>
    <row r="868" spans="1:26" ht="14.4">
      <c r="A868" s="191"/>
      <c r="B868" s="191"/>
      <c r="C868" s="191"/>
      <c r="D868" s="191"/>
      <c r="E868" s="191"/>
      <c r="F868" s="191"/>
      <c r="G868" s="386"/>
      <c r="H868" s="386"/>
      <c r="I868" s="463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</row>
    <row r="869" spans="1:26" ht="14.4">
      <c r="A869" s="191"/>
      <c r="B869" s="191"/>
      <c r="C869" s="191"/>
      <c r="D869" s="191"/>
      <c r="E869" s="191"/>
      <c r="F869" s="191"/>
      <c r="G869" s="386"/>
      <c r="H869" s="386"/>
      <c r="I869" s="463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</row>
    <row r="870" spans="1:26" ht="14.4">
      <c r="A870" s="191"/>
      <c r="B870" s="191"/>
      <c r="C870" s="191"/>
      <c r="D870" s="191"/>
      <c r="E870" s="191"/>
      <c r="F870" s="191"/>
      <c r="G870" s="386"/>
      <c r="H870" s="386"/>
      <c r="I870" s="463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</row>
    <row r="871" spans="1:26" ht="14.4">
      <c r="A871" s="191"/>
      <c r="B871" s="191"/>
      <c r="C871" s="191"/>
      <c r="D871" s="191"/>
      <c r="E871" s="191"/>
      <c r="F871" s="191"/>
      <c r="G871" s="386"/>
      <c r="H871" s="386"/>
      <c r="I871" s="463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</row>
    <row r="872" spans="1:26" ht="14.4">
      <c r="A872" s="191"/>
      <c r="B872" s="191"/>
      <c r="C872" s="191"/>
      <c r="D872" s="191"/>
      <c r="E872" s="191"/>
      <c r="F872" s="191"/>
      <c r="G872" s="386"/>
      <c r="H872" s="386"/>
      <c r="I872" s="463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</row>
    <row r="873" spans="1:26" ht="14.4">
      <c r="A873" s="191"/>
      <c r="B873" s="191"/>
      <c r="C873" s="191"/>
      <c r="D873" s="191"/>
      <c r="E873" s="191"/>
      <c r="F873" s="191"/>
      <c r="G873" s="386"/>
      <c r="H873" s="386"/>
      <c r="I873" s="463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</row>
    <row r="874" spans="1:26" ht="14.4">
      <c r="A874" s="191"/>
      <c r="B874" s="191"/>
      <c r="C874" s="191"/>
      <c r="D874" s="191"/>
      <c r="E874" s="191"/>
      <c r="F874" s="191"/>
      <c r="G874" s="386"/>
      <c r="H874" s="386"/>
      <c r="I874" s="463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</row>
    <row r="875" spans="1:26" ht="14.4">
      <c r="A875" s="191"/>
      <c r="B875" s="191"/>
      <c r="C875" s="191"/>
      <c r="D875" s="191"/>
      <c r="E875" s="191"/>
      <c r="F875" s="191"/>
      <c r="G875" s="386"/>
      <c r="H875" s="386"/>
      <c r="I875" s="463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</row>
    <row r="876" spans="1:26" ht="14.4">
      <c r="A876" s="191"/>
      <c r="B876" s="191"/>
      <c r="C876" s="191"/>
      <c r="D876" s="191"/>
      <c r="E876" s="191"/>
      <c r="F876" s="191"/>
      <c r="G876" s="386"/>
      <c r="H876" s="386"/>
      <c r="I876" s="463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</row>
    <row r="877" spans="1:26" ht="14.4">
      <c r="A877" s="191"/>
      <c r="B877" s="191"/>
      <c r="C877" s="191"/>
      <c r="D877" s="191"/>
      <c r="E877" s="191"/>
      <c r="F877" s="191"/>
      <c r="G877" s="386"/>
      <c r="H877" s="386"/>
      <c r="I877" s="463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</row>
    <row r="878" spans="1:26" ht="14.4">
      <c r="A878" s="191"/>
      <c r="B878" s="191"/>
      <c r="C878" s="191"/>
      <c r="D878" s="191"/>
      <c r="E878" s="191"/>
      <c r="F878" s="191"/>
      <c r="G878" s="386"/>
      <c r="H878" s="386"/>
      <c r="I878" s="463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</row>
    <row r="879" spans="1:26" ht="14.4">
      <c r="A879" s="191"/>
      <c r="B879" s="191"/>
      <c r="C879" s="191"/>
      <c r="D879" s="191"/>
      <c r="E879" s="191"/>
      <c r="F879" s="191"/>
      <c r="G879" s="386"/>
      <c r="H879" s="386"/>
      <c r="I879" s="463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</row>
    <row r="880" spans="1:26" ht="14.4">
      <c r="A880" s="191"/>
      <c r="B880" s="191"/>
      <c r="C880" s="191"/>
      <c r="D880" s="191"/>
      <c r="E880" s="191"/>
      <c r="F880" s="191"/>
      <c r="G880" s="386"/>
      <c r="H880" s="386"/>
      <c r="I880" s="463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</row>
    <row r="881" spans="1:26" ht="14.4">
      <c r="A881" s="191"/>
      <c r="B881" s="191"/>
      <c r="C881" s="191"/>
      <c r="D881" s="191"/>
      <c r="E881" s="191"/>
      <c r="F881" s="191"/>
      <c r="G881" s="386"/>
      <c r="H881" s="386"/>
      <c r="I881" s="463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</row>
    <row r="882" spans="1:26" ht="14.4">
      <c r="A882" s="191"/>
      <c r="B882" s="191"/>
      <c r="C882" s="191"/>
      <c r="D882" s="191"/>
      <c r="E882" s="191"/>
      <c r="F882" s="191"/>
      <c r="G882" s="386"/>
      <c r="H882" s="386"/>
      <c r="I882" s="463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</row>
    <row r="883" spans="1:26" ht="14.4">
      <c r="A883" s="191"/>
      <c r="B883" s="191"/>
      <c r="C883" s="191"/>
      <c r="D883" s="191"/>
      <c r="E883" s="191"/>
      <c r="F883" s="191"/>
      <c r="G883" s="386"/>
      <c r="H883" s="386"/>
      <c r="I883" s="463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</row>
    <row r="884" spans="1:26" ht="14.4">
      <c r="A884" s="191"/>
      <c r="B884" s="191"/>
      <c r="C884" s="191"/>
      <c r="D884" s="191"/>
      <c r="E884" s="191"/>
      <c r="F884" s="191"/>
      <c r="G884" s="386"/>
      <c r="H884" s="386"/>
      <c r="I884" s="463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</row>
    <row r="885" spans="1:26" ht="14.4">
      <c r="A885" s="191"/>
      <c r="B885" s="191"/>
      <c r="C885" s="191"/>
      <c r="D885" s="191"/>
      <c r="E885" s="191"/>
      <c r="F885" s="191"/>
      <c r="G885" s="386"/>
      <c r="H885" s="386"/>
      <c r="I885" s="463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</row>
    <row r="886" spans="1:26" ht="14.4">
      <c r="A886" s="191"/>
      <c r="B886" s="191"/>
      <c r="C886" s="191"/>
      <c r="D886" s="191"/>
      <c r="E886" s="191"/>
      <c r="F886" s="191"/>
      <c r="G886" s="386"/>
      <c r="H886" s="386"/>
      <c r="I886" s="463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</row>
    <row r="887" spans="1:26" ht="14.4">
      <c r="A887" s="191"/>
      <c r="B887" s="191"/>
      <c r="C887" s="191"/>
      <c r="D887" s="191"/>
      <c r="E887" s="191"/>
      <c r="F887" s="191"/>
      <c r="G887" s="386"/>
      <c r="H887" s="386"/>
      <c r="I887" s="463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</row>
    <row r="888" spans="1:26" ht="14.4">
      <c r="A888" s="191"/>
      <c r="B888" s="191"/>
      <c r="C888" s="191"/>
      <c r="D888" s="191"/>
      <c r="E888" s="191"/>
      <c r="F888" s="191"/>
      <c r="G888" s="386"/>
      <c r="H888" s="386"/>
      <c r="I888" s="463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</row>
    <row r="889" spans="1:26" ht="14.4">
      <c r="A889" s="191"/>
      <c r="B889" s="191"/>
      <c r="C889" s="191"/>
      <c r="D889" s="191"/>
      <c r="E889" s="191"/>
      <c r="F889" s="191"/>
      <c r="G889" s="386"/>
      <c r="H889" s="386"/>
      <c r="I889" s="463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</row>
    <row r="890" spans="1:26" ht="14.4">
      <c r="A890" s="191"/>
      <c r="B890" s="191"/>
      <c r="C890" s="191"/>
      <c r="D890" s="191"/>
      <c r="E890" s="191"/>
      <c r="F890" s="191"/>
      <c r="G890" s="386"/>
      <c r="H890" s="386"/>
      <c r="I890" s="463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</row>
    <row r="891" spans="1:26" ht="14.4">
      <c r="A891" s="191"/>
      <c r="B891" s="191"/>
      <c r="C891" s="191"/>
      <c r="D891" s="191"/>
      <c r="E891" s="191"/>
      <c r="F891" s="191"/>
      <c r="G891" s="386"/>
      <c r="H891" s="386"/>
      <c r="I891" s="463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</row>
    <row r="892" spans="1:26" ht="14.4">
      <c r="A892" s="191"/>
      <c r="B892" s="191"/>
      <c r="C892" s="191"/>
      <c r="D892" s="191"/>
      <c r="E892" s="191"/>
      <c r="F892" s="191"/>
      <c r="G892" s="386"/>
      <c r="H892" s="386"/>
      <c r="I892" s="463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</row>
    <row r="893" spans="1:26" ht="14.4">
      <c r="A893" s="191"/>
      <c r="B893" s="191"/>
      <c r="C893" s="191"/>
      <c r="D893" s="191"/>
      <c r="E893" s="191"/>
      <c r="F893" s="191"/>
      <c r="G893" s="386"/>
      <c r="H893" s="386"/>
      <c r="I893" s="463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</row>
    <row r="894" spans="1:26" ht="14.4">
      <c r="A894" s="191"/>
      <c r="B894" s="191"/>
      <c r="C894" s="191"/>
      <c r="D894" s="191"/>
      <c r="E894" s="191"/>
      <c r="F894" s="191"/>
      <c r="G894" s="386"/>
      <c r="H894" s="386"/>
      <c r="I894" s="463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</row>
    <row r="895" spans="1:26" ht="14.4">
      <c r="A895" s="191"/>
      <c r="B895" s="191"/>
      <c r="C895" s="191"/>
      <c r="D895" s="191"/>
      <c r="E895" s="191"/>
      <c r="F895" s="191"/>
      <c r="G895" s="386"/>
      <c r="H895" s="386"/>
      <c r="I895" s="463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</row>
    <row r="896" spans="1:26" ht="14.4">
      <c r="A896" s="191"/>
      <c r="B896" s="191"/>
      <c r="C896" s="191"/>
      <c r="D896" s="191"/>
      <c r="E896" s="191"/>
      <c r="F896" s="191"/>
      <c r="G896" s="386"/>
      <c r="H896" s="386"/>
      <c r="I896" s="463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</row>
    <row r="897" spans="1:26" ht="14.4">
      <c r="A897" s="191"/>
      <c r="B897" s="191"/>
      <c r="C897" s="191"/>
      <c r="D897" s="191"/>
      <c r="E897" s="191"/>
      <c r="F897" s="191"/>
      <c r="G897" s="386"/>
      <c r="H897" s="386"/>
      <c r="I897" s="463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</row>
    <row r="898" spans="1:26" ht="14.4">
      <c r="A898" s="191"/>
      <c r="B898" s="191"/>
      <c r="C898" s="191"/>
      <c r="D898" s="191"/>
      <c r="E898" s="191"/>
      <c r="F898" s="191"/>
      <c r="G898" s="386"/>
      <c r="H898" s="386"/>
      <c r="I898" s="463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</row>
    <row r="899" spans="1:26" ht="14.4">
      <c r="A899" s="191"/>
      <c r="B899" s="191"/>
      <c r="C899" s="191"/>
      <c r="D899" s="191"/>
      <c r="E899" s="191"/>
      <c r="F899" s="191"/>
      <c r="G899" s="386"/>
      <c r="H899" s="386"/>
      <c r="I899" s="463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</row>
    <row r="900" spans="1:26" ht="14.4">
      <c r="A900" s="191"/>
      <c r="B900" s="191"/>
      <c r="C900" s="191"/>
      <c r="D900" s="191"/>
      <c r="E900" s="191"/>
      <c r="F900" s="191"/>
      <c r="G900" s="386"/>
      <c r="H900" s="386"/>
      <c r="I900" s="463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</row>
    <row r="901" spans="1:26" ht="14.4">
      <c r="A901" s="191"/>
      <c r="B901" s="191"/>
      <c r="C901" s="191"/>
      <c r="D901" s="191"/>
      <c r="E901" s="191"/>
      <c r="F901" s="191"/>
      <c r="G901" s="386"/>
      <c r="H901" s="386"/>
      <c r="I901" s="463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</row>
    <row r="902" spans="1:26" ht="14.4">
      <c r="A902" s="191"/>
      <c r="B902" s="191"/>
      <c r="C902" s="191"/>
      <c r="D902" s="191"/>
      <c r="E902" s="191"/>
      <c r="F902" s="191"/>
      <c r="G902" s="386"/>
      <c r="H902" s="386"/>
      <c r="I902" s="463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</row>
    <row r="903" spans="1:26" ht="14.4">
      <c r="A903" s="191"/>
      <c r="B903" s="191"/>
      <c r="C903" s="191"/>
      <c r="D903" s="191"/>
      <c r="E903" s="191"/>
      <c r="F903" s="191"/>
      <c r="G903" s="386"/>
      <c r="H903" s="386"/>
      <c r="I903" s="463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</row>
    <row r="904" spans="1:26" ht="14.4">
      <c r="A904" s="191"/>
      <c r="B904" s="191"/>
      <c r="C904" s="191"/>
      <c r="D904" s="191"/>
      <c r="E904" s="191"/>
      <c r="F904" s="191"/>
      <c r="G904" s="386"/>
      <c r="H904" s="386"/>
      <c r="I904" s="463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</row>
    <row r="905" spans="1:26" ht="14.4">
      <c r="A905" s="191"/>
      <c r="B905" s="191"/>
      <c r="C905" s="191"/>
      <c r="D905" s="191"/>
      <c r="E905" s="191"/>
      <c r="F905" s="191"/>
      <c r="G905" s="386"/>
      <c r="H905" s="386"/>
      <c r="I905" s="463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</row>
    <row r="906" spans="1:26" ht="14.4">
      <c r="A906" s="191"/>
      <c r="B906" s="191"/>
      <c r="C906" s="191"/>
      <c r="D906" s="191"/>
      <c r="E906" s="191"/>
      <c r="F906" s="191"/>
      <c r="G906" s="386"/>
      <c r="H906" s="386"/>
      <c r="I906" s="463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</row>
    <row r="907" spans="1:26" ht="14.4">
      <c r="A907" s="191"/>
      <c r="B907" s="191"/>
      <c r="C907" s="191"/>
      <c r="D907" s="191"/>
      <c r="E907" s="191"/>
      <c r="F907" s="191"/>
      <c r="G907" s="386"/>
      <c r="H907" s="386"/>
      <c r="I907" s="463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</row>
    <row r="908" spans="1:26" ht="14.4">
      <c r="A908" s="191"/>
      <c r="B908" s="191"/>
      <c r="C908" s="191"/>
      <c r="D908" s="191"/>
      <c r="E908" s="191"/>
      <c r="F908" s="191"/>
      <c r="G908" s="386"/>
      <c r="H908" s="386"/>
      <c r="I908" s="463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</row>
    <row r="909" spans="1:26" ht="14.4">
      <c r="A909" s="191"/>
      <c r="B909" s="191"/>
      <c r="C909" s="191"/>
      <c r="D909" s="191"/>
      <c r="E909" s="191"/>
      <c r="F909" s="191"/>
      <c r="G909" s="386"/>
      <c r="H909" s="386"/>
      <c r="I909" s="463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</row>
    <row r="910" spans="1:26" ht="14.4">
      <c r="A910" s="191"/>
      <c r="B910" s="191"/>
      <c r="C910" s="191"/>
      <c r="D910" s="191"/>
      <c r="E910" s="191"/>
      <c r="F910" s="191"/>
      <c r="G910" s="386"/>
      <c r="H910" s="386"/>
      <c r="I910" s="463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</row>
    <row r="911" spans="1:26" ht="14.4">
      <c r="A911" s="191"/>
      <c r="B911" s="191"/>
      <c r="C911" s="191"/>
      <c r="D911" s="191"/>
      <c r="E911" s="191"/>
      <c r="F911" s="191"/>
      <c r="G911" s="386"/>
      <c r="H911" s="386"/>
      <c r="I911" s="463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</row>
    <row r="912" spans="1:26" ht="14.4">
      <c r="A912" s="191"/>
      <c r="B912" s="191"/>
      <c r="C912" s="191"/>
      <c r="D912" s="191"/>
      <c r="E912" s="191"/>
      <c r="F912" s="191"/>
      <c r="G912" s="386"/>
      <c r="H912" s="386"/>
      <c r="I912" s="463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</row>
    <row r="913" spans="1:26" ht="14.4">
      <c r="A913" s="191"/>
      <c r="B913" s="191"/>
      <c r="C913" s="191"/>
      <c r="D913" s="191"/>
      <c r="E913" s="191"/>
      <c r="F913" s="191"/>
      <c r="G913" s="386"/>
      <c r="H913" s="386"/>
      <c r="I913" s="463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</row>
    <row r="914" spans="1:26" ht="14.4">
      <c r="A914" s="191"/>
      <c r="B914" s="191"/>
      <c r="C914" s="191"/>
      <c r="D914" s="191"/>
      <c r="E914" s="191"/>
      <c r="F914" s="191"/>
      <c r="G914" s="386"/>
      <c r="H914" s="386"/>
      <c r="I914" s="463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</row>
    <row r="915" spans="1:26" ht="14.4">
      <c r="A915" s="191"/>
      <c r="B915" s="191"/>
      <c r="C915" s="191"/>
      <c r="D915" s="191"/>
      <c r="E915" s="191"/>
      <c r="F915" s="191"/>
      <c r="G915" s="386"/>
      <c r="H915" s="386"/>
      <c r="I915" s="463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</row>
    <row r="916" spans="1:26" ht="14.4">
      <c r="A916" s="191"/>
      <c r="B916" s="191"/>
      <c r="C916" s="191"/>
      <c r="D916" s="191"/>
      <c r="E916" s="191"/>
      <c r="F916" s="191"/>
      <c r="G916" s="386"/>
      <c r="H916" s="386"/>
      <c r="I916" s="463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</row>
    <row r="917" spans="1:26" ht="14.4">
      <c r="A917" s="191"/>
      <c r="B917" s="191"/>
      <c r="C917" s="191"/>
      <c r="D917" s="191"/>
      <c r="E917" s="191"/>
      <c r="F917" s="191"/>
      <c r="G917" s="386"/>
      <c r="H917" s="386"/>
      <c r="I917" s="463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</row>
    <row r="918" spans="1:26" ht="14.4">
      <c r="A918" s="191"/>
      <c r="B918" s="191"/>
      <c r="C918" s="191"/>
      <c r="D918" s="191"/>
      <c r="E918" s="191"/>
      <c r="F918" s="191"/>
      <c r="G918" s="386"/>
      <c r="H918" s="386"/>
      <c r="I918" s="463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</row>
    <row r="919" spans="1:26" ht="14.4">
      <c r="A919" s="191"/>
      <c r="B919" s="191"/>
      <c r="C919" s="191"/>
      <c r="D919" s="191"/>
      <c r="E919" s="191"/>
      <c r="F919" s="191"/>
      <c r="G919" s="386"/>
      <c r="H919" s="386"/>
      <c r="I919" s="463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</row>
    <row r="920" spans="1:26" ht="14.4">
      <c r="A920" s="191"/>
      <c r="B920" s="191"/>
      <c r="C920" s="191"/>
      <c r="D920" s="191"/>
      <c r="E920" s="191"/>
      <c r="F920" s="191"/>
      <c r="G920" s="386"/>
      <c r="H920" s="386"/>
      <c r="I920" s="463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</row>
    <row r="921" spans="1:26" ht="14.4">
      <c r="A921" s="191"/>
      <c r="B921" s="191"/>
      <c r="C921" s="191"/>
      <c r="D921" s="191"/>
      <c r="E921" s="191"/>
      <c r="F921" s="191"/>
      <c r="G921" s="386"/>
      <c r="H921" s="386"/>
      <c r="I921" s="463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</row>
    <row r="922" spans="1:26" ht="14.4">
      <c r="A922" s="191"/>
      <c r="B922" s="191"/>
      <c r="C922" s="191"/>
      <c r="D922" s="191"/>
      <c r="E922" s="191"/>
      <c r="F922" s="191"/>
      <c r="G922" s="386"/>
      <c r="H922" s="386"/>
      <c r="I922" s="463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</row>
    <row r="923" spans="1:26" ht="14.4">
      <c r="A923" s="191"/>
      <c r="B923" s="191"/>
      <c r="C923" s="191"/>
      <c r="D923" s="191"/>
      <c r="E923" s="191"/>
      <c r="F923" s="191"/>
      <c r="G923" s="386"/>
      <c r="H923" s="386"/>
      <c r="I923" s="463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</row>
    <row r="924" spans="1:26" ht="14.4">
      <c r="A924" s="191"/>
      <c r="B924" s="191"/>
      <c r="C924" s="191"/>
      <c r="D924" s="191"/>
      <c r="E924" s="191"/>
      <c r="F924" s="191"/>
      <c r="G924" s="386"/>
      <c r="H924" s="386"/>
      <c r="I924" s="463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</row>
    <row r="925" spans="1:26" ht="14.4">
      <c r="A925" s="191"/>
      <c r="B925" s="191"/>
      <c r="C925" s="191"/>
      <c r="D925" s="191"/>
      <c r="E925" s="191"/>
      <c r="F925" s="191"/>
      <c r="G925" s="386"/>
      <c r="H925" s="386"/>
      <c r="I925" s="463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</row>
    <row r="926" spans="1:26" ht="14.4">
      <c r="A926" s="191"/>
      <c r="B926" s="191"/>
      <c r="C926" s="191"/>
      <c r="D926" s="191"/>
      <c r="E926" s="191"/>
      <c r="F926" s="191"/>
      <c r="G926" s="386"/>
      <c r="H926" s="386"/>
      <c r="I926" s="463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</row>
    <row r="927" spans="1:26" ht="14.4">
      <c r="A927" s="191"/>
      <c r="B927" s="191"/>
      <c r="C927" s="191"/>
      <c r="D927" s="191"/>
      <c r="E927" s="191"/>
      <c r="F927" s="191"/>
      <c r="G927" s="386"/>
      <c r="H927" s="386"/>
      <c r="I927" s="463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</row>
    <row r="928" spans="1:26" ht="14.4">
      <c r="A928" s="191"/>
      <c r="B928" s="191"/>
      <c r="C928" s="191"/>
      <c r="D928" s="191"/>
      <c r="E928" s="191"/>
      <c r="F928" s="191"/>
      <c r="G928" s="386"/>
      <c r="H928" s="386"/>
      <c r="I928" s="463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</row>
    <row r="929" spans="1:26" ht="14.4">
      <c r="A929" s="191"/>
      <c r="B929" s="191"/>
      <c r="C929" s="191"/>
      <c r="D929" s="191"/>
      <c r="E929" s="191"/>
      <c r="F929" s="191"/>
      <c r="G929" s="386"/>
      <c r="H929" s="386"/>
      <c r="I929" s="463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</row>
    <row r="930" spans="1:26" ht="14.4">
      <c r="A930" s="191"/>
      <c r="B930" s="191"/>
      <c r="C930" s="191"/>
      <c r="D930" s="191"/>
      <c r="E930" s="191"/>
      <c r="F930" s="191"/>
      <c r="G930" s="386"/>
      <c r="H930" s="386"/>
      <c r="I930" s="463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</row>
    <row r="931" spans="1:26" ht="14.4">
      <c r="A931" s="191"/>
      <c r="B931" s="191"/>
      <c r="C931" s="191"/>
      <c r="D931" s="191"/>
      <c r="E931" s="191"/>
      <c r="F931" s="191"/>
      <c r="G931" s="386"/>
      <c r="H931" s="386"/>
      <c r="I931" s="463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</row>
    <row r="932" spans="1:26" ht="14.4">
      <c r="A932" s="191"/>
      <c r="B932" s="191"/>
      <c r="C932" s="191"/>
      <c r="D932" s="191"/>
      <c r="E932" s="191"/>
      <c r="F932" s="191"/>
      <c r="G932" s="386"/>
      <c r="H932" s="386"/>
      <c r="I932" s="463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</row>
    <row r="933" spans="1:26" ht="14.4">
      <c r="A933" s="191"/>
      <c r="B933" s="191"/>
      <c r="C933" s="191"/>
      <c r="D933" s="191"/>
      <c r="E933" s="191"/>
      <c r="F933" s="191"/>
      <c r="G933" s="386"/>
      <c r="H933" s="386"/>
      <c r="I933" s="463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</row>
    <row r="934" spans="1:26" ht="14.4">
      <c r="A934" s="191"/>
      <c r="B934" s="191"/>
      <c r="C934" s="191"/>
      <c r="D934" s="191"/>
      <c r="E934" s="191"/>
      <c r="F934" s="191"/>
      <c r="G934" s="386"/>
      <c r="H934" s="386"/>
      <c r="I934" s="463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</row>
    <row r="935" spans="1:26" ht="14.4">
      <c r="A935" s="191"/>
      <c r="B935" s="191"/>
      <c r="C935" s="191"/>
      <c r="D935" s="191"/>
      <c r="E935" s="191"/>
      <c r="F935" s="191"/>
      <c r="G935" s="386"/>
      <c r="H935" s="386"/>
      <c r="I935" s="463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</row>
    <row r="936" spans="1:26" ht="14.4">
      <c r="A936" s="191"/>
      <c r="B936" s="191"/>
      <c r="C936" s="191"/>
      <c r="D936" s="191"/>
      <c r="E936" s="191"/>
      <c r="F936" s="191"/>
      <c r="G936" s="386"/>
      <c r="H936" s="386"/>
      <c r="I936" s="463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</row>
    <row r="937" spans="1:26" ht="14.4">
      <c r="A937" s="191"/>
      <c r="B937" s="191"/>
      <c r="C937" s="191"/>
      <c r="D937" s="191"/>
      <c r="E937" s="191"/>
      <c r="F937" s="191"/>
      <c r="G937" s="386"/>
      <c r="H937" s="386"/>
      <c r="I937" s="463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</row>
    <row r="938" spans="1:26" ht="14.4">
      <c r="A938" s="191"/>
      <c r="B938" s="191"/>
      <c r="C938" s="191"/>
      <c r="D938" s="191"/>
      <c r="E938" s="191"/>
      <c r="F938" s="191"/>
      <c r="G938" s="386"/>
      <c r="H938" s="386"/>
      <c r="I938" s="463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</row>
    <row r="939" spans="1:26" ht="14.4">
      <c r="A939" s="191"/>
      <c r="B939" s="191"/>
      <c r="C939" s="191"/>
      <c r="D939" s="191"/>
      <c r="E939" s="191"/>
      <c r="F939" s="191"/>
      <c r="G939" s="386"/>
      <c r="H939" s="386"/>
      <c r="I939" s="463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</row>
    <row r="940" spans="1:26" ht="14.4">
      <c r="A940" s="191"/>
      <c r="B940" s="191"/>
      <c r="C940" s="191"/>
      <c r="D940" s="191"/>
      <c r="E940" s="191"/>
      <c r="F940" s="191"/>
      <c r="G940" s="386"/>
      <c r="H940" s="386"/>
      <c r="I940" s="463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</row>
    <row r="941" spans="1:26" ht="14.4">
      <c r="A941" s="191"/>
      <c r="B941" s="191"/>
      <c r="C941" s="191"/>
      <c r="D941" s="191"/>
      <c r="E941" s="191"/>
      <c r="F941" s="191"/>
      <c r="G941" s="386"/>
      <c r="H941" s="386"/>
      <c r="I941" s="463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</row>
    <row r="942" spans="1:26" ht="14.4">
      <c r="A942" s="191"/>
      <c r="B942" s="191"/>
      <c r="C942" s="191"/>
      <c r="D942" s="191"/>
      <c r="E942" s="191"/>
      <c r="F942" s="191"/>
      <c r="G942" s="386"/>
      <c r="H942" s="386"/>
      <c r="I942" s="463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</row>
    <row r="943" spans="1:26" ht="14.4">
      <c r="A943" s="191"/>
      <c r="B943" s="191"/>
      <c r="C943" s="191"/>
      <c r="D943" s="191"/>
      <c r="E943" s="191"/>
      <c r="F943" s="191"/>
      <c r="G943" s="386"/>
      <c r="H943" s="386"/>
      <c r="I943" s="463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</row>
    <row r="944" spans="1:26" ht="14.4">
      <c r="A944" s="191"/>
      <c r="B944" s="191"/>
      <c r="C944" s="191"/>
      <c r="D944" s="191"/>
      <c r="E944" s="191"/>
      <c r="F944" s="191"/>
      <c r="G944" s="386"/>
      <c r="H944" s="386"/>
      <c r="I944" s="463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</row>
    <row r="945" spans="1:26" ht="14.4">
      <c r="A945" s="191"/>
      <c r="B945" s="191"/>
      <c r="C945" s="191"/>
      <c r="D945" s="191"/>
      <c r="E945" s="191"/>
      <c r="F945" s="191"/>
      <c r="G945" s="386"/>
      <c r="H945" s="386"/>
      <c r="I945" s="463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</row>
    <row r="946" spans="1:26" ht="14.4">
      <c r="A946" s="191"/>
      <c r="B946" s="191"/>
      <c r="C946" s="191"/>
      <c r="D946" s="191"/>
      <c r="E946" s="191"/>
      <c r="F946" s="191"/>
      <c r="G946" s="386"/>
      <c r="H946" s="386"/>
      <c r="I946" s="463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</row>
    <row r="947" spans="1:26" ht="14.4">
      <c r="A947" s="191"/>
      <c r="B947" s="191"/>
      <c r="C947" s="191"/>
      <c r="D947" s="191"/>
      <c r="E947" s="191"/>
      <c r="F947" s="191"/>
      <c r="G947" s="386"/>
      <c r="H947" s="386"/>
      <c r="I947" s="463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</row>
    <row r="948" spans="1:26" ht="14.4">
      <c r="A948" s="191"/>
      <c r="B948" s="191"/>
      <c r="C948" s="191"/>
      <c r="D948" s="191"/>
      <c r="E948" s="191"/>
      <c r="F948" s="191"/>
      <c r="G948" s="386"/>
      <c r="H948" s="386"/>
      <c r="I948" s="463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</row>
    <row r="949" spans="1:26" ht="14.4">
      <c r="A949" s="191"/>
      <c r="B949" s="191"/>
      <c r="C949" s="191"/>
      <c r="D949" s="191"/>
      <c r="E949" s="191"/>
      <c r="F949" s="191"/>
      <c r="G949" s="386"/>
      <c r="H949" s="386"/>
      <c r="I949" s="463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</row>
    <row r="950" spans="1:26" ht="14.4">
      <c r="A950" s="191"/>
      <c r="B950" s="191"/>
      <c r="C950" s="191"/>
      <c r="D950" s="191"/>
      <c r="E950" s="191"/>
      <c r="F950" s="191"/>
      <c r="G950" s="386"/>
      <c r="H950" s="386"/>
      <c r="I950" s="463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</row>
    <row r="951" spans="1:26" ht="14.4">
      <c r="A951" s="191"/>
      <c r="B951" s="191"/>
      <c r="C951" s="191"/>
      <c r="D951" s="191"/>
      <c r="E951" s="191"/>
      <c r="F951" s="191"/>
      <c r="G951" s="386"/>
      <c r="H951" s="386"/>
      <c r="I951" s="463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</row>
    <row r="952" spans="1:26" ht="14.4">
      <c r="A952" s="191"/>
      <c r="B952" s="191"/>
      <c r="C952" s="191"/>
      <c r="D952" s="191"/>
      <c r="E952" s="191"/>
      <c r="F952" s="191"/>
      <c r="G952" s="386"/>
      <c r="H952" s="386"/>
      <c r="I952" s="463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</row>
    <row r="953" spans="1:26" ht="14.4">
      <c r="A953" s="191"/>
      <c r="B953" s="191"/>
      <c r="C953" s="191"/>
      <c r="D953" s="191"/>
      <c r="E953" s="191"/>
      <c r="F953" s="191"/>
      <c r="G953" s="386"/>
      <c r="H953" s="386"/>
      <c r="I953" s="463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</row>
    <row r="954" spans="1:26" ht="14.4">
      <c r="A954" s="191"/>
      <c r="B954" s="191"/>
      <c r="C954" s="191"/>
      <c r="D954" s="191"/>
      <c r="E954" s="191"/>
      <c r="F954" s="191"/>
      <c r="G954" s="386"/>
      <c r="H954" s="386"/>
      <c r="I954" s="463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</row>
    <row r="955" spans="1:26" ht="14.4">
      <c r="A955" s="191"/>
      <c r="B955" s="191"/>
      <c r="C955" s="191"/>
      <c r="D955" s="191"/>
      <c r="E955" s="191"/>
      <c r="F955" s="191"/>
      <c r="G955" s="386"/>
      <c r="H955" s="386"/>
      <c r="I955" s="463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</row>
    <row r="956" spans="1:26" ht="14.4">
      <c r="A956" s="191"/>
      <c r="B956" s="191"/>
      <c r="C956" s="191"/>
      <c r="D956" s="191"/>
      <c r="E956" s="191"/>
      <c r="F956" s="191"/>
      <c r="G956" s="386"/>
      <c r="H956" s="386"/>
      <c r="I956" s="463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</row>
    <row r="957" spans="1:26" ht="14.4">
      <c r="A957" s="191"/>
      <c r="B957" s="191"/>
      <c r="C957" s="191"/>
      <c r="D957" s="191"/>
      <c r="E957" s="191"/>
      <c r="F957" s="191"/>
      <c r="G957" s="386"/>
      <c r="H957" s="386"/>
      <c r="I957" s="463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</row>
    <row r="958" spans="1:26" ht="14.4">
      <c r="A958" s="191"/>
      <c r="B958" s="191"/>
      <c r="C958" s="191"/>
      <c r="D958" s="191"/>
      <c r="E958" s="191"/>
      <c r="F958" s="191"/>
      <c r="G958" s="386"/>
      <c r="H958" s="386"/>
      <c r="I958" s="463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</row>
    <row r="959" spans="1:26" ht="14.4">
      <c r="A959" s="191"/>
      <c r="B959" s="191"/>
      <c r="C959" s="191"/>
      <c r="D959" s="191"/>
      <c r="E959" s="191"/>
      <c r="F959" s="191"/>
      <c r="G959" s="386"/>
      <c r="H959" s="386"/>
      <c r="I959" s="463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</row>
    <row r="960" spans="1:26" ht="14.4">
      <c r="A960" s="191"/>
      <c r="B960" s="191"/>
      <c r="C960" s="191"/>
      <c r="D960" s="191"/>
      <c r="E960" s="191"/>
      <c r="F960" s="191"/>
      <c r="G960" s="386"/>
      <c r="H960" s="386"/>
      <c r="I960" s="463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</row>
    <row r="961" spans="1:26" ht="14.4">
      <c r="A961" s="191"/>
      <c r="B961" s="191"/>
      <c r="C961" s="191"/>
      <c r="D961" s="191"/>
      <c r="E961" s="191"/>
      <c r="F961" s="191"/>
      <c r="G961" s="386"/>
      <c r="H961" s="386"/>
      <c r="I961" s="463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</row>
    <row r="962" spans="1:26" ht="14.4">
      <c r="A962" s="191"/>
      <c r="B962" s="191"/>
      <c r="C962" s="191"/>
      <c r="D962" s="191"/>
      <c r="E962" s="191"/>
      <c r="F962" s="191"/>
      <c r="G962" s="386"/>
      <c r="H962" s="386"/>
      <c r="I962" s="463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</row>
    <row r="963" spans="1:26" ht="14.4">
      <c r="A963" s="191"/>
      <c r="B963" s="191"/>
      <c r="C963" s="191"/>
      <c r="D963" s="191"/>
      <c r="E963" s="191"/>
      <c r="F963" s="191"/>
      <c r="G963" s="386"/>
      <c r="H963" s="386"/>
      <c r="I963" s="463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</row>
    <row r="964" spans="1:26" ht="14.4">
      <c r="A964" s="191"/>
      <c r="B964" s="191"/>
      <c r="C964" s="191"/>
      <c r="D964" s="191"/>
      <c r="E964" s="191"/>
      <c r="F964" s="191"/>
      <c r="G964" s="386"/>
      <c r="H964" s="386"/>
      <c r="I964" s="463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</row>
    <row r="965" spans="1:26" ht="14.4">
      <c r="A965" s="191"/>
      <c r="B965" s="191"/>
      <c r="C965" s="191"/>
      <c r="D965" s="191"/>
      <c r="E965" s="191"/>
      <c r="F965" s="191"/>
      <c r="G965" s="386"/>
      <c r="H965" s="386"/>
      <c r="I965" s="463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</row>
    <row r="966" spans="1:26" ht="14.4">
      <c r="A966" s="191"/>
      <c r="B966" s="191"/>
      <c r="C966" s="191"/>
      <c r="D966" s="191"/>
      <c r="E966" s="191"/>
      <c r="F966" s="191"/>
      <c r="G966" s="386"/>
      <c r="H966" s="386"/>
      <c r="I966" s="463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</row>
    <row r="967" spans="1:26" ht="14.4">
      <c r="A967" s="191"/>
      <c r="B967" s="191"/>
      <c r="C967" s="191"/>
      <c r="D967" s="191"/>
      <c r="E967" s="191"/>
      <c r="F967" s="191"/>
      <c r="G967" s="386"/>
      <c r="H967" s="386"/>
      <c r="I967" s="463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</row>
    <row r="968" spans="1:26" ht="14.4">
      <c r="A968" s="191"/>
      <c r="B968" s="191"/>
      <c r="C968" s="191"/>
      <c r="D968" s="191"/>
      <c r="E968" s="191"/>
      <c r="F968" s="191"/>
      <c r="G968" s="386"/>
      <c r="H968" s="386"/>
      <c r="I968" s="463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</row>
    <row r="969" spans="1:26" ht="14.4">
      <c r="A969" s="191"/>
      <c r="B969" s="191"/>
      <c r="C969" s="191"/>
      <c r="D969" s="191"/>
      <c r="E969" s="191"/>
      <c r="F969" s="191"/>
      <c r="G969" s="386"/>
      <c r="H969" s="386"/>
      <c r="I969" s="463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</row>
    <row r="970" spans="1:26" ht="14.4">
      <c r="A970" s="191"/>
      <c r="B970" s="191"/>
      <c r="C970" s="191"/>
      <c r="D970" s="191"/>
      <c r="E970" s="191"/>
      <c r="F970" s="191"/>
      <c r="G970" s="386"/>
      <c r="H970" s="386"/>
      <c r="I970" s="463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</row>
    <row r="971" spans="1:26" ht="14.4">
      <c r="A971" s="191"/>
      <c r="B971" s="191"/>
      <c r="C971" s="191"/>
      <c r="D971" s="191"/>
      <c r="E971" s="191"/>
      <c r="F971" s="191"/>
      <c r="G971" s="386"/>
      <c r="H971" s="386"/>
      <c r="I971" s="463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</row>
    <row r="972" spans="1:26" ht="14.4">
      <c r="A972" s="191"/>
      <c r="B972" s="191"/>
      <c r="C972" s="191"/>
      <c r="D972" s="191"/>
      <c r="E972" s="191"/>
      <c r="F972" s="191"/>
      <c r="G972" s="386"/>
      <c r="H972" s="386"/>
      <c r="I972" s="463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</row>
    <row r="973" spans="1:26" ht="14.4">
      <c r="A973" s="191"/>
      <c r="B973" s="191"/>
      <c r="C973" s="191"/>
      <c r="D973" s="191"/>
      <c r="E973" s="191"/>
      <c r="F973" s="191"/>
      <c r="G973" s="386"/>
      <c r="H973" s="386"/>
      <c r="I973" s="463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</row>
    <row r="974" spans="1:26" ht="14.4">
      <c r="A974" s="191"/>
      <c r="B974" s="191"/>
      <c r="C974" s="191"/>
      <c r="D974" s="191"/>
      <c r="E974" s="191"/>
      <c r="F974" s="191"/>
      <c r="G974" s="386"/>
      <c r="H974" s="386"/>
      <c r="I974" s="463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</row>
    <row r="975" spans="1:26" ht="14.4">
      <c r="A975" s="191"/>
      <c r="B975" s="191"/>
      <c r="C975" s="191"/>
      <c r="D975" s="191"/>
      <c r="E975" s="191"/>
      <c r="F975" s="191"/>
      <c r="G975" s="386"/>
      <c r="H975" s="386"/>
      <c r="I975" s="463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</row>
    <row r="976" spans="1:26" ht="14.4">
      <c r="A976" s="191"/>
      <c r="B976" s="191"/>
      <c r="C976" s="191"/>
      <c r="D976" s="191"/>
      <c r="E976" s="191"/>
      <c r="F976" s="191"/>
      <c r="G976" s="386"/>
      <c r="H976" s="386"/>
      <c r="I976" s="463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</row>
    <row r="977" spans="1:26" ht="14.4">
      <c r="A977" s="191"/>
      <c r="B977" s="191"/>
      <c r="C977" s="191"/>
      <c r="D977" s="191"/>
      <c r="E977" s="191"/>
      <c r="F977" s="191"/>
      <c r="G977" s="386"/>
      <c r="H977" s="386"/>
      <c r="I977" s="463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</row>
    <row r="978" spans="1:26" ht="14.4">
      <c r="A978" s="191"/>
      <c r="B978" s="191"/>
      <c r="C978" s="191"/>
      <c r="D978" s="191"/>
      <c r="E978" s="191"/>
      <c r="F978" s="191"/>
      <c r="G978" s="386"/>
      <c r="H978" s="386"/>
      <c r="I978" s="463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</row>
    <row r="979" spans="1:26" ht="14.4">
      <c r="A979" s="191"/>
      <c r="B979" s="191"/>
      <c r="C979" s="191"/>
      <c r="D979" s="191"/>
      <c r="E979" s="191"/>
      <c r="F979" s="191"/>
      <c r="G979" s="386"/>
      <c r="H979" s="386"/>
      <c r="I979" s="463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</row>
    <row r="980" spans="1:26" ht="14.4">
      <c r="A980" s="191"/>
      <c r="B980" s="191"/>
      <c r="C980" s="191"/>
      <c r="D980" s="191"/>
      <c r="E980" s="191"/>
      <c r="F980" s="191"/>
      <c r="G980" s="386"/>
      <c r="H980" s="386"/>
      <c r="I980" s="463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</row>
    <row r="981" spans="1:26" ht="14.4">
      <c r="A981" s="191"/>
      <c r="B981" s="191"/>
      <c r="C981" s="191"/>
      <c r="D981" s="191"/>
      <c r="E981" s="191"/>
      <c r="F981" s="191"/>
      <c r="G981" s="386"/>
      <c r="H981" s="386"/>
      <c r="I981" s="463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</row>
  </sheetData>
  <mergeCells count="12">
    <mergeCell ref="A150:A161"/>
    <mergeCell ref="A162:A187"/>
    <mergeCell ref="A1:B1"/>
    <mergeCell ref="A3:A22"/>
    <mergeCell ref="A23:A61"/>
    <mergeCell ref="A62:A89"/>
    <mergeCell ref="A90:A149"/>
    <mergeCell ref="A250:A313"/>
    <mergeCell ref="A314:A331"/>
    <mergeCell ref="H333:I333"/>
    <mergeCell ref="K333:L333"/>
    <mergeCell ref="A350:B3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1"/>
  <sheetViews>
    <sheetView workbookViewId="0"/>
  </sheetViews>
  <sheetFormatPr baseColWidth="10" defaultColWidth="12.6640625" defaultRowHeight="15.75" customHeight="1"/>
  <cols>
    <col min="2" max="2" width="17.6640625" customWidth="1"/>
  </cols>
  <sheetData>
    <row r="1" spans="1:13">
      <c r="A1" s="471"/>
      <c r="B1" s="471"/>
      <c r="C1" s="472"/>
    </row>
    <row r="2" spans="1:13">
      <c r="A2" s="698" t="s">
        <v>695</v>
      </c>
      <c r="B2" s="699"/>
      <c r="C2" s="473">
        <v>39590825</v>
      </c>
    </row>
    <row r="3" spans="1:13">
      <c r="A3" s="474"/>
      <c r="B3" s="475" t="s">
        <v>28</v>
      </c>
      <c r="C3" s="476">
        <v>11520000</v>
      </c>
    </row>
    <row r="4" spans="1:13">
      <c r="B4" s="477" t="s">
        <v>696</v>
      </c>
      <c r="C4" s="478">
        <v>24520931</v>
      </c>
      <c r="D4" s="479"/>
      <c r="E4" s="479"/>
      <c r="F4" s="480"/>
      <c r="G4" s="6"/>
      <c r="H4" s="6"/>
      <c r="I4" s="6"/>
      <c r="J4" s="6"/>
      <c r="K4" s="6"/>
      <c r="L4" s="6"/>
      <c r="M4" s="6"/>
    </row>
    <row r="5" spans="1:13" ht="15.75" customHeight="1">
      <c r="B5" s="481"/>
      <c r="C5" s="482"/>
      <c r="D5" s="482"/>
      <c r="E5" s="482"/>
      <c r="F5" s="483"/>
      <c r="G5" s="6"/>
      <c r="H5" s="481"/>
      <c r="I5" s="482"/>
      <c r="J5" s="482"/>
      <c r="K5" s="482"/>
      <c r="L5" s="483"/>
      <c r="M5" s="6"/>
    </row>
    <row r="6" spans="1:13" ht="15.75" customHeight="1">
      <c r="B6" s="481"/>
      <c r="C6" s="478">
        <f>SUM(C2:C5)</f>
        <v>75631756</v>
      </c>
      <c r="D6" s="482"/>
      <c r="E6" s="482"/>
      <c r="F6" s="483"/>
      <c r="G6" s="6"/>
      <c r="H6" s="481"/>
      <c r="I6" s="482"/>
      <c r="J6" s="482"/>
      <c r="K6" s="482"/>
      <c r="L6" s="483"/>
      <c r="M6" s="6"/>
    </row>
    <row r="7" spans="1:13" ht="15.75" customHeight="1">
      <c r="B7" s="481"/>
      <c r="C7" s="484"/>
      <c r="D7" s="482"/>
      <c r="E7" s="482"/>
      <c r="F7" s="483"/>
      <c r="G7" s="6"/>
      <c r="H7" s="481"/>
      <c r="I7" s="482"/>
      <c r="J7" s="482"/>
      <c r="K7" s="482"/>
      <c r="L7" s="483"/>
      <c r="M7" s="6"/>
    </row>
    <row r="8" spans="1:13" ht="15.75" customHeight="1">
      <c r="B8" s="481"/>
      <c r="C8" s="484"/>
      <c r="D8" s="482"/>
      <c r="E8" s="482"/>
      <c r="F8" s="483"/>
      <c r="G8" s="6"/>
      <c r="H8" s="481"/>
      <c r="I8" s="482"/>
      <c r="J8" s="482"/>
      <c r="K8" s="482"/>
      <c r="L8" s="483"/>
      <c r="M8" s="6"/>
    </row>
    <row r="9" spans="1:13" ht="15.75" customHeight="1">
      <c r="B9" s="485" t="s">
        <v>126</v>
      </c>
      <c r="C9" s="486" t="s">
        <v>697</v>
      </c>
      <c r="D9" s="487" t="s">
        <v>698</v>
      </c>
      <c r="E9" s="488" t="s">
        <v>430</v>
      </c>
      <c r="F9" s="489" t="s">
        <v>699</v>
      </c>
      <c r="G9" s="6"/>
      <c r="H9" s="490" t="s">
        <v>127</v>
      </c>
      <c r="I9" s="488" t="s">
        <v>697</v>
      </c>
      <c r="J9" s="488" t="s">
        <v>698</v>
      </c>
      <c r="K9" s="488" t="s">
        <v>430</v>
      </c>
      <c r="L9" s="489" t="s">
        <v>699</v>
      </c>
      <c r="M9" s="6"/>
    </row>
    <row r="10" spans="1:13">
      <c r="B10" s="491" t="s">
        <v>700</v>
      </c>
      <c r="C10" s="492">
        <v>12</v>
      </c>
      <c r="D10" s="160">
        <v>65000</v>
      </c>
      <c r="E10" s="160">
        <f>D10*C10</f>
        <v>780000</v>
      </c>
      <c r="F10" s="493">
        <v>46059</v>
      </c>
      <c r="G10" s="6"/>
      <c r="H10" s="491" t="s">
        <v>701</v>
      </c>
      <c r="I10" s="494">
        <v>20</v>
      </c>
      <c r="J10" s="160">
        <v>28200</v>
      </c>
      <c r="K10" s="160">
        <f t="shared" ref="K10:K11" si="0">I10*J10</f>
        <v>564000</v>
      </c>
      <c r="L10" s="495">
        <v>46060</v>
      </c>
      <c r="M10" s="6"/>
    </row>
    <row r="11" spans="1:13" ht="15.75" customHeight="1">
      <c r="B11" s="37"/>
      <c r="C11" s="496"/>
      <c r="D11" s="497"/>
      <c r="E11" s="498">
        <f>C11*D11</f>
        <v>0</v>
      </c>
      <c r="F11" s="495"/>
      <c r="G11" s="6"/>
      <c r="H11" s="37" t="s">
        <v>33</v>
      </c>
      <c r="I11" s="496">
        <v>30</v>
      </c>
      <c r="J11" s="497">
        <v>76500</v>
      </c>
      <c r="K11" s="499">
        <f t="shared" si="0"/>
        <v>2295000</v>
      </c>
      <c r="L11" s="493">
        <v>46060</v>
      </c>
      <c r="M11" s="6"/>
    </row>
    <row r="12" spans="1:13">
      <c r="B12" s="6"/>
      <c r="C12" s="6"/>
      <c r="D12" s="6"/>
      <c r="E12" s="6"/>
      <c r="F12" s="6"/>
      <c r="G12" s="6"/>
      <c r="H12" s="6"/>
      <c r="I12" s="6"/>
      <c r="J12" s="6"/>
      <c r="K12" s="500">
        <f>SUM(K10:K11)</f>
        <v>2859000</v>
      </c>
      <c r="L12" s="6"/>
      <c r="M12" s="6"/>
    </row>
    <row r="13" spans="1:13" ht="15.75" customHeight="1">
      <c r="B13" s="178" t="s">
        <v>702</v>
      </c>
      <c r="C13" s="178"/>
      <c r="D13" s="178"/>
      <c r="E13" s="501">
        <v>25000000</v>
      </c>
      <c r="F13" s="502">
        <v>46059</v>
      </c>
      <c r="G13" s="6"/>
      <c r="H13" s="490" t="s">
        <v>127</v>
      </c>
      <c r="I13" s="488" t="s">
        <v>697</v>
      </c>
      <c r="J13" s="488" t="s">
        <v>698</v>
      </c>
      <c r="K13" s="503" t="s">
        <v>430</v>
      </c>
      <c r="L13" s="489" t="s">
        <v>699</v>
      </c>
      <c r="M13" s="6"/>
    </row>
    <row r="14" spans="1:13">
      <c r="B14" s="178" t="s">
        <v>702</v>
      </c>
      <c r="C14" s="178"/>
      <c r="D14" s="178"/>
      <c r="E14" s="501">
        <v>8500000</v>
      </c>
      <c r="F14" s="502">
        <v>46064</v>
      </c>
      <c r="G14" s="6"/>
      <c r="H14" s="491" t="s">
        <v>703</v>
      </c>
      <c r="I14" s="494">
        <v>200</v>
      </c>
      <c r="J14" s="160">
        <v>60500</v>
      </c>
      <c r="K14" s="498">
        <f t="shared" ref="K14:K17" si="1">I14*J14</f>
        <v>12100000</v>
      </c>
      <c r="L14" s="495">
        <v>46060</v>
      </c>
      <c r="M14" s="6"/>
    </row>
    <row r="15" spans="1:13">
      <c r="B15" s="6"/>
      <c r="C15" s="6"/>
      <c r="D15" s="6"/>
      <c r="E15" s="6"/>
      <c r="F15" s="6"/>
      <c r="G15" s="6"/>
      <c r="H15" s="491" t="s">
        <v>704</v>
      </c>
      <c r="I15" s="496">
        <v>500</v>
      </c>
      <c r="J15" s="160">
        <v>32000</v>
      </c>
      <c r="K15" s="498">
        <f t="shared" si="1"/>
        <v>16000000</v>
      </c>
      <c r="L15" s="495">
        <v>46062</v>
      </c>
      <c r="M15" s="6"/>
    </row>
    <row r="16" spans="1:13" ht="15.75" customHeight="1">
      <c r="B16" s="490" t="s">
        <v>126</v>
      </c>
      <c r="C16" s="488" t="s">
        <v>697</v>
      </c>
      <c r="D16" s="488" t="s">
        <v>698</v>
      </c>
      <c r="E16" s="488" t="s">
        <v>430</v>
      </c>
      <c r="F16" s="489" t="s">
        <v>699</v>
      </c>
      <c r="G16" s="6"/>
      <c r="H16" s="491" t="s">
        <v>703</v>
      </c>
      <c r="I16" s="496">
        <v>300</v>
      </c>
      <c r="J16" s="160">
        <v>60500</v>
      </c>
      <c r="K16" s="498">
        <f t="shared" si="1"/>
        <v>18150000</v>
      </c>
      <c r="L16" s="493">
        <v>46063</v>
      </c>
      <c r="M16" s="6"/>
    </row>
    <row r="17" spans="2:13" ht="15.75" customHeight="1">
      <c r="B17" s="491" t="s">
        <v>66</v>
      </c>
      <c r="C17" s="494">
        <v>80</v>
      </c>
      <c r="D17" s="160">
        <v>25000</v>
      </c>
      <c r="E17" s="498">
        <f t="shared" ref="E17:E18" si="2">C17*D17</f>
        <v>2000000</v>
      </c>
      <c r="F17" s="493"/>
      <c r="G17" s="6"/>
      <c r="H17" s="37" t="s">
        <v>705</v>
      </c>
      <c r="I17" s="496">
        <v>200</v>
      </c>
      <c r="J17" s="497">
        <v>63800</v>
      </c>
      <c r="K17" s="499">
        <f t="shared" si="1"/>
        <v>12760000</v>
      </c>
      <c r="L17" s="493">
        <v>46063</v>
      </c>
      <c r="M17" s="6"/>
    </row>
    <row r="18" spans="2:13" ht="15.75" customHeight="1">
      <c r="B18" s="37" t="s">
        <v>67</v>
      </c>
      <c r="C18" s="496">
        <v>78</v>
      </c>
      <c r="D18" s="497">
        <v>14100</v>
      </c>
      <c r="E18" s="499">
        <f t="shared" si="2"/>
        <v>1099800</v>
      </c>
      <c r="F18" s="495"/>
      <c r="G18" s="6"/>
      <c r="H18" s="6"/>
      <c r="I18" s="6"/>
      <c r="J18" s="6"/>
      <c r="K18" s="500">
        <f>SUM(K14:K17)</f>
        <v>59010000</v>
      </c>
      <c r="L18" s="6"/>
      <c r="M18" s="6"/>
    </row>
    <row r="19" spans="2:13">
      <c r="B19" s="6"/>
      <c r="C19" s="6"/>
      <c r="D19" s="6"/>
      <c r="E19" s="500">
        <f>SUM(E17:E18)</f>
        <v>3099800</v>
      </c>
      <c r="F19" s="6"/>
      <c r="G19" s="6"/>
      <c r="H19" s="6"/>
      <c r="I19" s="6"/>
      <c r="J19" s="6"/>
      <c r="K19" s="6"/>
      <c r="L19" s="6"/>
      <c r="M19" s="6"/>
    </row>
    <row r="20" spans="2:13" ht="15.75" customHeight="1">
      <c r="B20" s="6"/>
      <c r="C20" s="6"/>
      <c r="D20" s="6"/>
      <c r="E20" s="6"/>
      <c r="F20" s="6"/>
      <c r="G20" s="6"/>
      <c r="H20" s="490" t="s">
        <v>127</v>
      </c>
      <c r="I20" s="488" t="s">
        <v>697</v>
      </c>
      <c r="J20" s="488" t="s">
        <v>698</v>
      </c>
      <c r="K20" s="488" t="s">
        <v>430</v>
      </c>
      <c r="L20" s="489" t="s">
        <v>699</v>
      </c>
      <c r="M20" s="6"/>
    </row>
    <row r="21" spans="2:13" ht="15.75" customHeight="1">
      <c r="B21" s="485" t="s">
        <v>126</v>
      </c>
      <c r="C21" s="486" t="s">
        <v>697</v>
      </c>
      <c r="D21" s="487" t="s">
        <v>698</v>
      </c>
      <c r="E21" s="488" t="s">
        <v>430</v>
      </c>
      <c r="F21" s="489" t="s">
        <v>699</v>
      </c>
      <c r="G21" s="6"/>
      <c r="H21" s="491" t="s">
        <v>66</v>
      </c>
      <c r="I21" s="494">
        <v>32</v>
      </c>
      <c r="J21" s="160">
        <v>25000</v>
      </c>
      <c r="K21" s="498">
        <f t="shared" ref="K21:K24" si="3">I21*J21</f>
        <v>800000</v>
      </c>
      <c r="L21" s="495">
        <v>46064</v>
      </c>
      <c r="M21" s="6"/>
    </row>
    <row r="22" spans="2:13">
      <c r="B22" s="491" t="s">
        <v>706</v>
      </c>
      <c r="C22" s="492">
        <v>198</v>
      </c>
      <c r="D22" s="160">
        <v>79000</v>
      </c>
      <c r="E22" s="504">
        <f>D22*C22</f>
        <v>15642000</v>
      </c>
      <c r="F22" s="493">
        <v>46065</v>
      </c>
      <c r="G22" s="6"/>
      <c r="H22" s="491" t="s">
        <v>707</v>
      </c>
      <c r="I22" s="496">
        <v>10</v>
      </c>
      <c r="J22" s="160">
        <v>46800</v>
      </c>
      <c r="K22" s="498">
        <f t="shared" si="3"/>
        <v>468000</v>
      </c>
      <c r="L22" s="495"/>
      <c r="M22" s="6"/>
    </row>
    <row r="23" spans="2:13" ht="15.75" customHeight="1">
      <c r="B23" s="37"/>
      <c r="C23" s="496"/>
      <c r="D23" s="505"/>
      <c r="E23" s="506">
        <f>E22</f>
        <v>15642000</v>
      </c>
      <c r="F23" s="507"/>
      <c r="H23" s="491" t="s">
        <v>98</v>
      </c>
      <c r="I23" s="496">
        <v>5</v>
      </c>
      <c r="J23" s="160">
        <v>13500</v>
      </c>
      <c r="K23" s="498">
        <f t="shared" si="3"/>
        <v>67500</v>
      </c>
      <c r="L23" s="493"/>
    </row>
    <row r="24" spans="2:13" ht="15.75" customHeight="1">
      <c r="B24" s="6"/>
      <c r="C24" s="6"/>
      <c r="D24" s="6"/>
      <c r="E24" s="6"/>
      <c r="F24" s="6"/>
      <c r="H24" s="37" t="s">
        <v>701</v>
      </c>
      <c r="I24" s="496">
        <v>10</v>
      </c>
      <c r="J24" s="497">
        <v>28000</v>
      </c>
      <c r="K24" s="499">
        <f t="shared" si="3"/>
        <v>280000</v>
      </c>
      <c r="L24" s="493"/>
    </row>
    <row r="25" spans="2:13">
      <c r="B25" s="178" t="s">
        <v>702</v>
      </c>
      <c r="C25" s="178"/>
      <c r="D25" s="178"/>
      <c r="E25" s="501">
        <v>28000000</v>
      </c>
      <c r="F25" s="502">
        <v>46066</v>
      </c>
      <c r="H25" s="6"/>
      <c r="I25" s="6"/>
      <c r="J25" s="6"/>
      <c r="K25" s="500">
        <f>SUM(K21:K24)</f>
        <v>1615500</v>
      </c>
      <c r="L25" s="6"/>
    </row>
    <row r="26" spans="2:13" ht="15.75" customHeight="1">
      <c r="H26" s="490" t="s">
        <v>127</v>
      </c>
      <c r="I26" s="488" t="s">
        <v>697</v>
      </c>
      <c r="J26" s="488" t="s">
        <v>698</v>
      </c>
      <c r="K26" s="488" t="s">
        <v>430</v>
      </c>
      <c r="L26" s="489" t="s">
        <v>699</v>
      </c>
    </row>
    <row r="27" spans="2:13" ht="14.4">
      <c r="B27" s="490" t="s">
        <v>126</v>
      </c>
      <c r="C27" s="488" t="s">
        <v>697</v>
      </c>
      <c r="D27" s="488" t="s">
        <v>698</v>
      </c>
      <c r="E27" s="488" t="s">
        <v>430</v>
      </c>
      <c r="F27" s="489" t="s">
        <v>699</v>
      </c>
      <c r="H27" s="491" t="s">
        <v>707</v>
      </c>
      <c r="I27" s="496">
        <v>20</v>
      </c>
      <c r="J27" s="160">
        <v>46800</v>
      </c>
      <c r="K27" s="498">
        <f>I27*J27</f>
        <v>936000</v>
      </c>
      <c r="L27" s="495">
        <v>46065</v>
      </c>
    </row>
    <row r="28" spans="2:13" ht="14.4">
      <c r="B28" s="491" t="s">
        <v>708</v>
      </c>
      <c r="C28" s="494">
        <v>5</v>
      </c>
      <c r="D28" s="160">
        <v>56000</v>
      </c>
      <c r="E28" s="498">
        <f t="shared" ref="E28:E29" si="4">C28*D28</f>
        <v>280000</v>
      </c>
      <c r="F28" s="493"/>
      <c r="H28" s="37"/>
      <c r="I28" s="496"/>
      <c r="J28" s="497"/>
      <c r="K28" s="499"/>
      <c r="L28" s="493"/>
    </row>
    <row r="29" spans="2:13" ht="14.4">
      <c r="B29" s="37" t="s">
        <v>709</v>
      </c>
      <c r="C29" s="496">
        <v>10</v>
      </c>
      <c r="D29" s="497">
        <v>62000</v>
      </c>
      <c r="E29" s="499">
        <f t="shared" si="4"/>
        <v>620000</v>
      </c>
      <c r="F29" s="495"/>
      <c r="H29" s="6"/>
      <c r="I29" s="6"/>
      <c r="J29" s="6"/>
      <c r="K29" s="500">
        <f>SUM(K27:K28)</f>
        <v>936000</v>
      </c>
      <c r="L29" s="6"/>
    </row>
    <row r="30" spans="2:13" ht="13.2">
      <c r="B30" s="6"/>
      <c r="C30" s="6"/>
      <c r="D30" s="6"/>
      <c r="E30" s="500">
        <f>SUM(E28:E29)</f>
        <v>900000</v>
      </c>
      <c r="F30" s="6"/>
    </row>
    <row r="31" spans="2:13" ht="13.2">
      <c r="H31" s="178" t="s">
        <v>112</v>
      </c>
      <c r="I31" s="178"/>
      <c r="J31" s="178"/>
      <c r="K31" s="501">
        <v>15000000</v>
      </c>
      <c r="L31" s="502">
        <v>46065</v>
      </c>
    </row>
    <row r="33" spans="1:12" ht="14.4">
      <c r="H33" s="490" t="s">
        <v>127</v>
      </c>
      <c r="I33" s="488" t="s">
        <v>697</v>
      </c>
      <c r="J33" s="488" t="s">
        <v>698</v>
      </c>
      <c r="K33" s="488" t="s">
        <v>430</v>
      </c>
      <c r="L33" s="489" t="s">
        <v>699</v>
      </c>
    </row>
    <row r="34" spans="1:12" ht="13.2">
      <c r="H34" s="491" t="s">
        <v>25</v>
      </c>
      <c r="I34" s="494">
        <v>50</v>
      </c>
      <c r="J34" s="160">
        <v>54600</v>
      </c>
      <c r="K34" s="160">
        <f t="shared" ref="K34:K35" si="5">I34*J34</f>
        <v>2730000</v>
      </c>
      <c r="L34" s="495">
        <v>46066</v>
      </c>
    </row>
    <row r="35" spans="1:12" ht="14.4">
      <c r="H35" s="37" t="s">
        <v>30</v>
      </c>
      <c r="I35" s="496">
        <v>30</v>
      </c>
      <c r="J35" s="497">
        <v>48500</v>
      </c>
      <c r="K35" s="499">
        <f t="shared" si="5"/>
        <v>1455000</v>
      </c>
      <c r="L35" s="493">
        <v>46066</v>
      </c>
    </row>
    <row r="36" spans="1:12" ht="13.2">
      <c r="H36" s="6"/>
      <c r="I36" s="6"/>
      <c r="J36" s="6"/>
      <c r="K36" s="500">
        <f>SUM(K34:K35)</f>
        <v>4185000</v>
      </c>
      <c r="L36" s="6"/>
    </row>
    <row r="37" spans="1:12" ht="13.2">
      <c r="A37" s="508" t="s">
        <v>710</v>
      </c>
      <c r="B37" s="509">
        <f>E10+C6+E13+E14+E19+E23+E25+E30</f>
        <v>157553556</v>
      </c>
    </row>
    <row r="38" spans="1:12" ht="13.2">
      <c r="A38" s="510" t="s">
        <v>711</v>
      </c>
      <c r="B38" s="511">
        <f>K12+K18+K25+K29+K31+K36+K39+K45+K50+K52+K54+K61</f>
        <v>137547200</v>
      </c>
    </row>
    <row r="39" spans="1:12" ht="13.2">
      <c r="A39" s="512" t="s">
        <v>712</v>
      </c>
      <c r="B39" s="513">
        <f>B37-B38</f>
        <v>20006356</v>
      </c>
      <c r="H39" s="178" t="s">
        <v>713</v>
      </c>
      <c r="I39" s="178"/>
      <c r="J39" s="178"/>
      <c r="K39" s="501">
        <v>11000600</v>
      </c>
      <c r="L39" s="502">
        <v>46067</v>
      </c>
    </row>
    <row r="42" spans="1:12" ht="14.4">
      <c r="H42" s="490" t="s">
        <v>127</v>
      </c>
      <c r="I42" s="488" t="s">
        <v>697</v>
      </c>
      <c r="J42" s="488" t="s">
        <v>698</v>
      </c>
      <c r="K42" s="488" t="s">
        <v>430</v>
      </c>
      <c r="L42" s="489" t="s">
        <v>699</v>
      </c>
    </row>
    <row r="43" spans="1:12" ht="13.2">
      <c r="H43" s="491" t="s">
        <v>25</v>
      </c>
      <c r="I43" s="494">
        <v>31</v>
      </c>
      <c r="J43" s="160">
        <v>54600</v>
      </c>
      <c r="K43" s="160">
        <f t="shared" ref="K43:K44" si="6">I43*J43</f>
        <v>1692600</v>
      </c>
      <c r="L43" s="495">
        <v>46067</v>
      </c>
    </row>
    <row r="44" spans="1:12" ht="14.4">
      <c r="H44" s="37" t="s">
        <v>714</v>
      </c>
      <c r="I44" s="496">
        <v>100</v>
      </c>
      <c r="J44" s="497">
        <v>60500</v>
      </c>
      <c r="K44" s="499">
        <f t="shared" si="6"/>
        <v>6050000</v>
      </c>
      <c r="L44" s="493">
        <v>46067</v>
      </c>
    </row>
    <row r="45" spans="1:12" ht="13.2">
      <c r="H45" s="6"/>
      <c r="I45" s="6"/>
      <c r="J45" s="6"/>
      <c r="K45" s="500">
        <f>SUM(K43:K44)</f>
        <v>7742600</v>
      </c>
      <c r="L45" s="6"/>
    </row>
    <row r="47" spans="1:12" ht="14.4">
      <c r="H47" s="490" t="s">
        <v>127</v>
      </c>
      <c r="I47" s="488" t="s">
        <v>697</v>
      </c>
      <c r="J47" s="488" t="s">
        <v>698</v>
      </c>
      <c r="K47" s="488" t="s">
        <v>430</v>
      </c>
      <c r="L47" s="489" t="s">
        <v>699</v>
      </c>
    </row>
    <row r="48" spans="1:12" ht="13.2">
      <c r="H48" s="491" t="s">
        <v>715</v>
      </c>
      <c r="I48" s="494">
        <v>20</v>
      </c>
      <c r="J48" s="160">
        <v>48000</v>
      </c>
      <c r="K48" s="160">
        <f t="shared" ref="K48:K49" si="7">I48*J48</f>
        <v>960000</v>
      </c>
      <c r="L48" s="495"/>
    </row>
    <row r="49" spans="8:12" ht="14.4">
      <c r="H49" s="37"/>
      <c r="I49" s="496"/>
      <c r="J49" s="497"/>
      <c r="K49" s="499">
        <f t="shared" si="7"/>
        <v>0</v>
      </c>
      <c r="L49" s="493"/>
    </row>
    <row r="50" spans="8:12" ht="13.2">
      <c r="H50" s="6"/>
      <c r="I50" s="6"/>
      <c r="J50" s="6"/>
      <c r="K50" s="500">
        <f>SUM(K48:K49)</f>
        <v>960000</v>
      </c>
      <c r="L50" s="6"/>
    </row>
    <row r="52" spans="8:12" ht="13.2">
      <c r="H52" s="178" t="s">
        <v>716</v>
      </c>
      <c r="I52" s="178"/>
      <c r="J52" s="178"/>
      <c r="K52" s="501">
        <v>28000000</v>
      </c>
      <c r="L52" s="502">
        <v>46069</v>
      </c>
    </row>
    <row r="54" spans="8:12" ht="13.2">
      <c r="H54" s="178" t="s">
        <v>717</v>
      </c>
      <c r="I54" s="178" t="s">
        <v>718</v>
      </c>
      <c r="J54" s="178"/>
      <c r="K54" s="501">
        <v>4446000</v>
      </c>
      <c r="L54" s="514">
        <v>46070</v>
      </c>
    </row>
    <row r="56" spans="8:12" ht="14.4">
      <c r="H56" s="490" t="s">
        <v>127</v>
      </c>
      <c r="I56" s="488" t="s">
        <v>697</v>
      </c>
      <c r="J56" s="488" t="s">
        <v>698</v>
      </c>
      <c r="K56" s="503" t="s">
        <v>430</v>
      </c>
      <c r="L56" s="489" t="s">
        <v>699</v>
      </c>
    </row>
    <row r="57" spans="8:12" ht="13.2">
      <c r="H57" s="491" t="s">
        <v>719</v>
      </c>
      <c r="I57" s="494">
        <v>30</v>
      </c>
      <c r="J57" s="160">
        <v>47000</v>
      </c>
      <c r="K57" s="498">
        <f t="shared" ref="K57:K60" si="8">I57*J57</f>
        <v>1410000</v>
      </c>
      <c r="L57" s="495">
        <v>46071</v>
      </c>
    </row>
    <row r="58" spans="8:12" ht="13.2">
      <c r="H58" s="491" t="s">
        <v>701</v>
      </c>
      <c r="I58" s="496">
        <v>5</v>
      </c>
      <c r="J58" s="160">
        <v>29000</v>
      </c>
      <c r="K58" s="498">
        <f t="shared" si="8"/>
        <v>145000</v>
      </c>
      <c r="L58" s="495"/>
    </row>
    <row r="59" spans="8:12" ht="13.2">
      <c r="H59" s="491" t="s">
        <v>37</v>
      </c>
      <c r="I59" s="496">
        <v>5</v>
      </c>
      <c r="J59" s="160">
        <v>47500</v>
      </c>
      <c r="K59" s="498">
        <f t="shared" si="8"/>
        <v>237500</v>
      </c>
      <c r="L59" s="493"/>
    </row>
    <row r="60" spans="8:12" ht="14.4">
      <c r="H60" s="37"/>
      <c r="I60" s="496"/>
      <c r="J60" s="497"/>
      <c r="K60" s="499">
        <f t="shared" si="8"/>
        <v>0</v>
      </c>
      <c r="L60" s="493"/>
    </row>
    <row r="61" spans="8:12" ht="13.2">
      <c r="H61" s="6"/>
      <c r="I61" s="6"/>
      <c r="J61" s="6"/>
      <c r="K61" s="500">
        <f>SUM(K57:K60)</f>
        <v>1792500</v>
      </c>
      <c r="L61" s="6"/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AE1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2.6640625" defaultRowHeight="15.75" customHeight="1"/>
  <cols>
    <col min="1" max="1" width="22.6640625" customWidth="1"/>
  </cols>
  <sheetData>
    <row r="2" spans="1:31" ht="13.2">
      <c r="B2" s="515" t="s">
        <v>720</v>
      </c>
      <c r="C2" s="515" t="s">
        <v>721</v>
      </c>
      <c r="D2" s="515" t="s">
        <v>722</v>
      </c>
      <c r="E2" s="515" t="s">
        <v>723</v>
      </c>
      <c r="F2" s="515" t="s">
        <v>724</v>
      </c>
      <c r="G2" s="515" t="s">
        <v>725</v>
      </c>
      <c r="H2" s="515" t="s">
        <v>726</v>
      </c>
      <c r="I2" s="515" t="s">
        <v>727</v>
      </c>
      <c r="J2" s="515" t="s">
        <v>728</v>
      </c>
      <c r="K2" s="515" t="s">
        <v>729</v>
      </c>
      <c r="L2" s="515" t="s">
        <v>730</v>
      </c>
      <c r="M2" s="515" t="s">
        <v>731</v>
      </c>
      <c r="N2" s="515" t="s">
        <v>732</v>
      </c>
      <c r="O2" s="515" t="s">
        <v>733</v>
      </c>
      <c r="P2" s="515" t="s">
        <v>734</v>
      </c>
      <c r="Q2" s="515" t="s">
        <v>735</v>
      </c>
      <c r="R2" s="515" t="s">
        <v>736</v>
      </c>
      <c r="S2" s="515" t="s">
        <v>737</v>
      </c>
      <c r="T2" s="515" t="s">
        <v>738</v>
      </c>
      <c r="U2" s="515" t="s">
        <v>739</v>
      </c>
      <c r="V2" s="515" t="s">
        <v>740</v>
      </c>
      <c r="W2" s="515" t="s">
        <v>741</v>
      </c>
      <c r="X2" s="515" t="s">
        <v>742</v>
      </c>
      <c r="Y2" s="515" t="s">
        <v>743</v>
      </c>
      <c r="Z2" s="515" t="s">
        <v>744</v>
      </c>
      <c r="AA2" s="515" t="s">
        <v>745</v>
      </c>
      <c r="AB2" s="515" t="s">
        <v>746</v>
      </c>
      <c r="AC2" s="515" t="s">
        <v>747</v>
      </c>
      <c r="AD2" s="516" t="s">
        <v>748</v>
      </c>
      <c r="AE2" s="516"/>
    </row>
    <row r="3" spans="1:31" ht="13.2">
      <c r="A3" s="517" t="s">
        <v>749</v>
      </c>
      <c r="B3" s="518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D3" s="520">
        <f>SUM(B3:AC3)</f>
        <v>0</v>
      </c>
      <c r="AE3" s="520"/>
    </row>
    <row r="4" spans="1:31" ht="13.2">
      <c r="A4" s="515" t="s">
        <v>750</v>
      </c>
      <c r="B4" s="521">
        <v>2385900</v>
      </c>
      <c r="C4" s="521">
        <f>3556700-C49-C57-C60-C53</f>
        <v>679641</v>
      </c>
      <c r="D4" s="521">
        <f>2136450-D72-D74-D57-D46</f>
        <v>-1816013</v>
      </c>
      <c r="E4" s="521">
        <f>3510700-E109-E49-E54-E58</f>
        <v>-736611</v>
      </c>
      <c r="F4" s="521">
        <f>4735700-F72-F118-F108-700000-F57-F58-F47</f>
        <v>-445075</v>
      </c>
      <c r="G4" s="521">
        <f>2770200-G49-G54-G57</f>
        <v>-2481113</v>
      </c>
      <c r="H4" s="521">
        <f>7284900-H72-H57-20000-H112-H110-H109+50000</f>
        <v>4308950</v>
      </c>
      <c r="I4" s="521">
        <f>3663600-I113-I120</f>
        <v>3485600</v>
      </c>
      <c r="J4" s="521">
        <f>3723950-J58-J57-J46-J71</f>
        <v>-15338256</v>
      </c>
      <c r="K4" s="521">
        <v>1628400</v>
      </c>
      <c r="L4" s="521">
        <f>311500+166500+65000+2000+3000+236000+135000+50000+163000+71400+158500+200000+2500+62000+285000+136000+3800+571000+204700+631000+196500+159800+198800+585000+16500+66000+52000+24000+3000000</f>
        <v>7756500</v>
      </c>
      <c r="M4" s="521">
        <f>5345000-M54-M57-M58-M49-150000</f>
        <v>979108</v>
      </c>
      <c r="N4" s="521">
        <f>2962050</f>
        <v>2962050</v>
      </c>
      <c r="O4" s="521">
        <f>5411777-O49-O57-O61</f>
        <v>-5678333</v>
      </c>
      <c r="P4" s="521">
        <v>2395499</v>
      </c>
      <c r="Q4" s="521">
        <f>2663650-Q49-Q58-Q56-Q46</f>
        <v>-5364996</v>
      </c>
      <c r="R4" s="165">
        <f>3315800-R57-R58-R49</f>
        <v>-24328293</v>
      </c>
      <c r="S4" s="165"/>
      <c r="T4" s="521"/>
      <c r="U4" s="165"/>
      <c r="V4" s="165"/>
      <c r="W4" s="165"/>
      <c r="X4" s="165"/>
      <c r="Y4" s="521"/>
      <c r="Z4" s="521"/>
      <c r="AA4" s="521"/>
      <c r="AB4" s="521"/>
      <c r="AC4" s="521"/>
      <c r="AD4" s="522"/>
      <c r="AE4" s="522"/>
    </row>
    <row r="5" spans="1:31" ht="13.2">
      <c r="A5" s="515" t="s">
        <v>751</v>
      </c>
      <c r="B5" s="165">
        <f>14000+63000+80000</f>
        <v>157000</v>
      </c>
      <c r="C5" s="521">
        <v>386000</v>
      </c>
      <c r="D5" s="521">
        <f>260000-D49</f>
        <v>-898000</v>
      </c>
      <c r="E5" s="165">
        <v>318000</v>
      </c>
      <c r="F5" s="521"/>
      <c r="G5" s="165">
        <f>923000-G79</f>
        <v>623000</v>
      </c>
      <c r="H5" s="165">
        <f>639000-H49</f>
        <v>95000</v>
      </c>
      <c r="I5" s="165"/>
      <c r="J5" s="165">
        <f>169000+783634-J69-J68</f>
        <v>-1825766</v>
      </c>
      <c r="K5" s="165">
        <v>38000</v>
      </c>
      <c r="L5" s="165">
        <f>184000+300000+80000</f>
        <v>564000</v>
      </c>
      <c r="M5" s="165">
        <f>1-M77</f>
        <v>-4087999</v>
      </c>
      <c r="N5" s="521">
        <f>275000+30200+266000</f>
        <v>571200</v>
      </c>
      <c r="O5" s="165">
        <f>67000+420000+73000+68000+168250+25400+200000+111100+750000</f>
        <v>1882750</v>
      </c>
      <c r="P5" s="521">
        <f>1-P108</f>
        <v>-99999</v>
      </c>
      <c r="Q5" s="165">
        <f>1-29000-Q57</f>
        <v>-728506</v>
      </c>
      <c r="R5" s="165">
        <f>240000+36000+646143+327000</f>
        <v>1249143</v>
      </c>
      <c r="S5" s="521"/>
      <c r="T5" s="521"/>
      <c r="U5" s="521"/>
      <c r="V5" s="165"/>
      <c r="W5" s="521"/>
      <c r="X5" s="165"/>
      <c r="Y5" s="521"/>
      <c r="Z5" s="521"/>
      <c r="AA5" s="165"/>
      <c r="AB5" s="521"/>
      <c r="AC5" s="521"/>
      <c r="AD5" s="522"/>
      <c r="AE5" s="522"/>
    </row>
    <row r="6" spans="1:31" ht="13.2">
      <c r="A6" s="515" t="s">
        <v>752</v>
      </c>
      <c r="B6" s="165"/>
      <c r="C6" s="165"/>
      <c r="D6" s="165"/>
      <c r="E6" s="165"/>
      <c r="F6" s="521"/>
      <c r="G6" s="521"/>
      <c r="H6" s="521"/>
      <c r="I6" s="165"/>
      <c r="J6" s="165"/>
      <c r="K6" s="165"/>
      <c r="L6" s="521"/>
      <c r="M6" s="165"/>
      <c r="N6" s="521"/>
      <c r="O6" s="165"/>
      <c r="P6" s="165"/>
      <c r="Q6" s="521"/>
      <c r="R6" s="165">
        <v>6200</v>
      </c>
      <c r="S6" s="165"/>
      <c r="T6" s="165"/>
      <c r="U6" s="521"/>
      <c r="V6" s="165"/>
      <c r="W6" s="165"/>
      <c r="X6" s="165"/>
      <c r="Y6" s="165"/>
      <c r="Z6" s="165"/>
      <c r="AA6" s="165"/>
      <c r="AB6" s="521"/>
      <c r="AC6" s="165"/>
      <c r="AD6" s="522"/>
      <c r="AE6" s="522"/>
    </row>
    <row r="7" spans="1:31" ht="13.2">
      <c r="A7" s="515" t="s">
        <v>753</v>
      </c>
      <c r="B7" s="521"/>
      <c r="C7" s="165"/>
      <c r="D7" s="162"/>
      <c r="E7" s="523"/>
      <c r="F7" s="521"/>
      <c r="G7" s="165"/>
      <c r="H7" s="165"/>
      <c r="I7" s="165"/>
      <c r="J7" s="165"/>
      <c r="K7" s="165"/>
      <c r="L7" s="165">
        <v>1606000</v>
      </c>
      <c r="M7" s="521"/>
      <c r="N7" s="521">
        <v>1000000</v>
      </c>
      <c r="O7" s="521"/>
      <c r="P7" s="521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521"/>
      <c r="AC7" s="521"/>
      <c r="AD7" s="522"/>
      <c r="AE7" s="522"/>
    </row>
    <row r="8" spans="1:31" ht="13.2">
      <c r="A8" s="524" t="s">
        <v>754</v>
      </c>
      <c r="B8" s="525">
        <f t="shared" ref="B8:AC8" si="0">SUM(B4:B7)</f>
        <v>2542900</v>
      </c>
      <c r="C8" s="525">
        <f t="shared" si="0"/>
        <v>1065641</v>
      </c>
      <c r="D8" s="525">
        <f t="shared" si="0"/>
        <v>-2714013</v>
      </c>
      <c r="E8" s="525">
        <f t="shared" si="0"/>
        <v>-418611</v>
      </c>
      <c r="F8" s="525">
        <f t="shared" si="0"/>
        <v>-445075</v>
      </c>
      <c r="G8" s="525">
        <f t="shared" si="0"/>
        <v>-1858113</v>
      </c>
      <c r="H8" s="525">
        <f t="shared" si="0"/>
        <v>4403950</v>
      </c>
      <c r="I8" s="525">
        <f t="shared" si="0"/>
        <v>3485600</v>
      </c>
      <c r="J8" s="525">
        <f t="shared" si="0"/>
        <v>-17164022</v>
      </c>
      <c r="K8" s="525">
        <f t="shared" si="0"/>
        <v>1666400</v>
      </c>
      <c r="L8" s="525">
        <f t="shared" si="0"/>
        <v>9926500</v>
      </c>
      <c r="M8" s="525">
        <f t="shared" si="0"/>
        <v>-3108891</v>
      </c>
      <c r="N8" s="525">
        <f t="shared" si="0"/>
        <v>4533250</v>
      </c>
      <c r="O8" s="525">
        <f t="shared" si="0"/>
        <v>-3795583</v>
      </c>
      <c r="P8" s="525">
        <f t="shared" si="0"/>
        <v>2295500</v>
      </c>
      <c r="Q8" s="525">
        <f t="shared" si="0"/>
        <v>-6093502</v>
      </c>
      <c r="R8" s="525">
        <f t="shared" si="0"/>
        <v>-23072950</v>
      </c>
      <c r="S8" s="525">
        <f t="shared" si="0"/>
        <v>0</v>
      </c>
      <c r="T8" s="525">
        <f t="shared" si="0"/>
        <v>0</v>
      </c>
      <c r="U8" s="525">
        <f t="shared" si="0"/>
        <v>0</v>
      </c>
      <c r="V8" s="525">
        <f t="shared" si="0"/>
        <v>0</v>
      </c>
      <c r="W8" s="525">
        <f t="shared" si="0"/>
        <v>0</v>
      </c>
      <c r="X8" s="525">
        <f t="shared" si="0"/>
        <v>0</v>
      </c>
      <c r="Y8" s="525">
        <f t="shared" si="0"/>
        <v>0</v>
      </c>
      <c r="Z8" s="525">
        <f t="shared" si="0"/>
        <v>0</v>
      </c>
      <c r="AA8" s="525">
        <f t="shared" si="0"/>
        <v>0</v>
      </c>
      <c r="AB8" s="525">
        <f t="shared" si="0"/>
        <v>0</v>
      </c>
      <c r="AC8" s="525">
        <f t="shared" si="0"/>
        <v>0</v>
      </c>
      <c r="AD8" s="520">
        <f t="shared" ref="AD8:AD13" si="1">SUM(B8:AC8)</f>
        <v>-28751019</v>
      </c>
      <c r="AE8" s="520"/>
    </row>
    <row r="9" spans="1:31" ht="13.2">
      <c r="A9" s="526" t="s">
        <v>755</v>
      </c>
      <c r="B9" s="527"/>
      <c r="C9" s="528"/>
      <c r="D9" s="528"/>
      <c r="E9" s="528"/>
      <c r="F9" s="528"/>
      <c r="G9" s="528"/>
      <c r="H9" s="529"/>
      <c r="I9" s="528"/>
      <c r="J9" s="528"/>
      <c r="K9" s="528"/>
      <c r="L9" s="528"/>
      <c r="M9" s="528"/>
      <c r="N9" s="528"/>
      <c r="O9" s="528"/>
      <c r="P9" s="528"/>
      <c r="Q9" s="528"/>
      <c r="R9" s="528"/>
      <c r="S9" s="528"/>
      <c r="T9" s="528"/>
      <c r="U9" s="528"/>
      <c r="V9" s="528"/>
      <c r="W9" s="528"/>
      <c r="X9" s="528"/>
      <c r="Y9" s="528"/>
      <c r="Z9" s="528"/>
      <c r="AA9" s="528"/>
      <c r="AB9" s="528"/>
      <c r="AC9" s="528"/>
      <c r="AD9" s="530">
        <f t="shared" si="1"/>
        <v>0</v>
      </c>
      <c r="AE9" s="530"/>
    </row>
    <row r="10" spans="1:31" ht="13.2">
      <c r="A10" s="515" t="s">
        <v>756</v>
      </c>
      <c r="B10" s="531"/>
      <c r="C10" s="532"/>
      <c r="D10" s="531"/>
      <c r="E10" s="531"/>
      <c r="F10" s="531"/>
      <c r="G10" s="531"/>
      <c r="H10" s="531"/>
      <c r="I10" s="531"/>
      <c r="J10" s="531"/>
      <c r="K10" s="531"/>
      <c r="L10" s="531"/>
      <c r="M10" s="531"/>
      <c r="N10" s="531"/>
      <c r="O10" s="531"/>
      <c r="P10" s="531"/>
      <c r="Q10" s="531"/>
      <c r="R10" s="531"/>
      <c r="S10" s="6"/>
      <c r="T10" s="531"/>
      <c r="U10" s="531"/>
      <c r="V10" s="531"/>
      <c r="W10" s="531"/>
      <c r="X10" s="531"/>
      <c r="Y10" s="531"/>
      <c r="Z10" s="531"/>
      <c r="AA10" s="531"/>
      <c r="AB10" s="531"/>
      <c r="AC10" s="531"/>
      <c r="AD10" s="522">
        <f t="shared" si="1"/>
        <v>0</v>
      </c>
      <c r="AE10" s="522"/>
    </row>
    <row r="11" spans="1:31" ht="13.2">
      <c r="A11" s="515" t="s">
        <v>757</v>
      </c>
      <c r="B11" s="531"/>
      <c r="C11" s="532"/>
      <c r="D11" s="531"/>
      <c r="E11" s="531"/>
      <c r="F11" s="531"/>
      <c r="G11" s="531"/>
      <c r="H11" s="531"/>
      <c r="I11" s="531"/>
      <c r="J11" s="531"/>
      <c r="K11" s="531"/>
      <c r="L11" s="531"/>
      <c r="M11" s="531"/>
      <c r="N11" s="531"/>
      <c r="O11" s="531"/>
      <c r="P11" s="5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22">
        <f t="shared" si="1"/>
        <v>0</v>
      </c>
      <c r="AE11" s="522"/>
    </row>
    <row r="12" spans="1:31" ht="13.2">
      <c r="A12" s="515" t="s">
        <v>758</v>
      </c>
      <c r="B12" s="531"/>
      <c r="C12" s="531"/>
      <c r="D12" s="531"/>
      <c r="E12" s="531"/>
      <c r="F12" s="532"/>
      <c r="G12" s="531"/>
      <c r="H12" s="531"/>
      <c r="I12" s="531"/>
      <c r="J12" s="531">
        <v>783631</v>
      </c>
      <c r="K12" s="531"/>
      <c r="L12" s="531"/>
      <c r="M12" s="531"/>
      <c r="N12" s="531"/>
      <c r="O12" s="531"/>
      <c r="P12" s="531"/>
      <c r="Q12" s="531"/>
      <c r="R12" s="531"/>
      <c r="S12" s="531"/>
      <c r="T12" s="531"/>
      <c r="U12" s="531"/>
      <c r="V12" s="531"/>
      <c r="W12" s="531"/>
      <c r="X12" s="531"/>
      <c r="Y12" s="531"/>
      <c r="Z12" s="531"/>
      <c r="AA12" s="531"/>
      <c r="AB12" s="531"/>
      <c r="AC12" s="531"/>
      <c r="AD12" s="522">
        <f t="shared" si="1"/>
        <v>783631</v>
      </c>
      <c r="AE12" s="522"/>
    </row>
    <row r="13" spans="1:31" ht="13.2">
      <c r="A13" s="515" t="s">
        <v>759</v>
      </c>
      <c r="B13" s="531"/>
      <c r="C13" s="531"/>
      <c r="D13" s="531"/>
      <c r="E13" s="531"/>
      <c r="F13" s="531"/>
      <c r="G13" s="531"/>
      <c r="H13" s="532"/>
      <c r="I13" s="531"/>
      <c r="J13" s="531"/>
      <c r="K13" s="531"/>
      <c r="L13" s="531"/>
      <c r="M13" s="531"/>
      <c r="N13" s="531"/>
      <c r="O13" s="531"/>
      <c r="P13" s="531">
        <v>555000</v>
      </c>
      <c r="Q13" s="531"/>
      <c r="R13" s="531">
        <v>555000</v>
      </c>
      <c r="S13" s="531"/>
      <c r="T13" s="531"/>
      <c r="U13" s="532"/>
      <c r="V13" s="531"/>
      <c r="W13" s="531"/>
      <c r="X13" s="531"/>
      <c r="Y13" s="531"/>
      <c r="Z13" s="531"/>
      <c r="AA13" s="531"/>
      <c r="AB13" s="531"/>
      <c r="AC13" s="531"/>
      <c r="AD13" s="522">
        <f t="shared" si="1"/>
        <v>1110000</v>
      </c>
      <c r="AE13" s="522"/>
    </row>
    <row r="14" spans="1:31" ht="13.2">
      <c r="A14" s="515" t="s">
        <v>760</v>
      </c>
      <c r="B14" s="531"/>
      <c r="C14" s="531"/>
      <c r="D14" s="531"/>
      <c r="E14" s="531"/>
      <c r="F14" s="531"/>
      <c r="G14" s="531"/>
      <c r="H14" s="532"/>
      <c r="I14" s="531"/>
      <c r="J14" s="531"/>
      <c r="K14" s="531"/>
      <c r="L14" s="531"/>
      <c r="M14" s="531"/>
      <c r="N14" s="531"/>
      <c r="O14" s="531">
        <v>118000</v>
      </c>
      <c r="P14" s="531"/>
      <c r="Q14" s="531"/>
      <c r="R14" s="531"/>
      <c r="S14" s="531"/>
      <c r="T14" s="531"/>
      <c r="U14" s="531"/>
      <c r="V14" s="531"/>
      <c r="W14" s="531"/>
      <c r="X14" s="531"/>
      <c r="Y14" s="531"/>
      <c r="Z14" s="531"/>
      <c r="AA14" s="531"/>
      <c r="AB14" s="531"/>
      <c r="AC14" s="531"/>
      <c r="AD14" s="522"/>
      <c r="AE14" s="522"/>
    </row>
    <row r="15" spans="1:31" ht="13.2">
      <c r="A15" s="515" t="s">
        <v>761</v>
      </c>
      <c r="B15" s="531"/>
      <c r="C15" s="531"/>
      <c r="D15" s="531"/>
      <c r="E15" s="531">
        <v>318000</v>
      </c>
      <c r="F15" s="531"/>
      <c r="G15" s="531"/>
      <c r="H15" s="532"/>
      <c r="I15" s="531"/>
      <c r="J15" s="531"/>
      <c r="K15" s="531"/>
      <c r="L15" s="531"/>
      <c r="M15" s="531"/>
      <c r="N15" s="531"/>
      <c r="O15" s="531">
        <f>1300000+620000</f>
        <v>1920000</v>
      </c>
      <c r="P15" s="531"/>
      <c r="Q15" s="531"/>
      <c r="R15" s="531">
        <v>327000</v>
      </c>
      <c r="S15" s="531"/>
      <c r="T15" s="531"/>
      <c r="U15" s="531"/>
      <c r="V15" s="531"/>
      <c r="W15" s="531"/>
      <c r="X15" s="531"/>
      <c r="Y15" s="531"/>
      <c r="Z15" s="531"/>
      <c r="AA15" s="531"/>
      <c r="AB15" s="531"/>
      <c r="AC15" s="531"/>
      <c r="AD15" s="522">
        <f t="shared" ref="AD15:AD27" si="2">SUM(B15:AC15)</f>
        <v>2565000</v>
      </c>
      <c r="AE15" s="522"/>
    </row>
    <row r="16" spans="1:31" ht="13.2">
      <c r="A16" s="515" t="s">
        <v>762</v>
      </c>
      <c r="B16" s="531"/>
      <c r="C16" s="531"/>
      <c r="D16" s="531"/>
      <c r="E16" s="531"/>
      <c r="F16" s="531"/>
      <c r="G16" s="531"/>
      <c r="H16" s="531"/>
      <c r="I16" s="531"/>
      <c r="J16" s="531"/>
      <c r="K16" s="531"/>
      <c r="L16" s="531"/>
      <c r="M16" s="531"/>
      <c r="N16" s="532"/>
      <c r="O16" s="531"/>
      <c r="P16" s="531"/>
      <c r="Q16" s="531"/>
      <c r="R16" s="531"/>
      <c r="S16" s="531"/>
      <c r="T16" s="531"/>
      <c r="U16" s="531"/>
      <c r="V16" s="532"/>
      <c r="W16" s="531"/>
      <c r="X16" s="531"/>
      <c r="Y16" s="531"/>
      <c r="Z16" s="531"/>
      <c r="AA16" s="531"/>
      <c r="AB16" s="531"/>
      <c r="AC16" s="531"/>
      <c r="AD16" s="522">
        <f t="shared" si="2"/>
        <v>0</v>
      </c>
      <c r="AE16" s="522"/>
    </row>
    <row r="17" spans="1:31" ht="13.2">
      <c r="A17" s="533" t="s">
        <v>763</v>
      </c>
      <c r="B17" s="534"/>
      <c r="C17" s="534"/>
      <c r="D17" s="534"/>
      <c r="E17" s="534"/>
      <c r="F17" s="534"/>
      <c r="G17" s="534">
        <v>285000</v>
      </c>
      <c r="H17" s="534"/>
      <c r="I17" s="534">
        <f>32000+90000</f>
        <v>122000</v>
      </c>
      <c r="J17" s="534"/>
      <c r="K17" s="534"/>
      <c r="L17" s="534"/>
      <c r="M17" s="534"/>
      <c r="N17" s="534"/>
      <c r="O17" s="534"/>
      <c r="P17" s="534"/>
      <c r="Q17" s="534">
        <v>4744000</v>
      </c>
      <c r="R17" s="534"/>
      <c r="S17" s="534"/>
      <c r="T17" s="534"/>
      <c r="U17" s="534"/>
      <c r="V17" s="534"/>
      <c r="W17" s="534"/>
      <c r="X17" s="534"/>
      <c r="Y17" s="534"/>
      <c r="Z17" s="534"/>
      <c r="AA17" s="534"/>
      <c r="AB17" s="535"/>
      <c r="AC17" s="534"/>
      <c r="AD17" s="536">
        <f t="shared" si="2"/>
        <v>5151000</v>
      </c>
      <c r="AE17" s="522"/>
    </row>
    <row r="18" spans="1:31" ht="13.2">
      <c r="A18" s="515" t="s">
        <v>764</v>
      </c>
      <c r="B18" s="165"/>
      <c r="C18" s="521"/>
      <c r="D18" s="165"/>
      <c r="E18" s="165"/>
      <c r="F18" s="165"/>
      <c r="G18" s="165"/>
      <c r="H18" s="165"/>
      <c r="I18" s="165"/>
      <c r="J18" s="165"/>
      <c r="K18" s="165"/>
      <c r="L18" s="165">
        <v>597650</v>
      </c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522">
        <f t="shared" si="2"/>
        <v>597650</v>
      </c>
      <c r="AE18" s="522"/>
    </row>
    <row r="19" spans="1:31" ht="13.2">
      <c r="A19" s="515" t="s">
        <v>765</v>
      </c>
      <c r="B19" s="165"/>
      <c r="C19" s="165">
        <v>204750</v>
      </c>
      <c r="D19" s="165"/>
      <c r="E19" s="165"/>
      <c r="F19" s="165"/>
      <c r="G19" s="165"/>
      <c r="H19" s="165"/>
      <c r="I19" s="165"/>
      <c r="J19" s="165"/>
      <c r="K19" s="165">
        <v>237000</v>
      </c>
      <c r="L19" s="165">
        <v>151000</v>
      </c>
      <c r="M19" s="165"/>
      <c r="N19" s="165"/>
      <c r="O19" s="165"/>
      <c r="P19" s="165"/>
      <c r="Q19" s="165">
        <v>174000</v>
      </c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521"/>
      <c r="AC19" s="165"/>
      <c r="AD19" s="522">
        <f t="shared" si="2"/>
        <v>766750</v>
      </c>
      <c r="AE19" s="522"/>
    </row>
    <row r="20" spans="1:31" ht="13.2">
      <c r="A20" s="537" t="s">
        <v>766</v>
      </c>
      <c r="B20" s="538">
        <f>3710000+2000000</f>
        <v>5710000</v>
      </c>
      <c r="C20" s="538">
        <v>600000</v>
      </c>
      <c r="D20" s="538"/>
      <c r="E20" s="538">
        <v>230000</v>
      </c>
      <c r="F20" s="538"/>
      <c r="G20" s="538"/>
      <c r="H20" s="538"/>
      <c r="I20" s="538"/>
      <c r="J20" s="538">
        <v>11000000</v>
      </c>
      <c r="K20" s="538"/>
      <c r="L20" s="538"/>
      <c r="M20" s="538"/>
      <c r="N20" s="538"/>
      <c r="O20" s="538"/>
      <c r="P20" s="538"/>
      <c r="Q20" s="538"/>
      <c r="R20" s="538"/>
      <c r="S20" s="538"/>
      <c r="T20" s="538"/>
      <c r="U20" s="538"/>
      <c r="V20" s="538"/>
      <c r="W20" s="538"/>
      <c r="X20" s="539"/>
      <c r="Y20" s="538"/>
      <c r="Z20" s="538"/>
      <c r="AA20" s="538"/>
      <c r="AB20" s="538"/>
      <c r="AC20" s="538"/>
      <c r="AD20" s="540">
        <f t="shared" si="2"/>
        <v>17540000</v>
      </c>
      <c r="AE20" s="540"/>
    </row>
    <row r="21" spans="1:31" ht="13.2">
      <c r="A21" s="515" t="s">
        <v>767</v>
      </c>
      <c r="B21" s="165"/>
      <c r="C21" s="165"/>
      <c r="D21" s="165"/>
      <c r="E21" s="165"/>
      <c r="F21" s="165"/>
      <c r="G21" s="165"/>
      <c r="H21" s="165"/>
      <c r="I21" s="165"/>
      <c r="J21" s="165"/>
      <c r="K21" s="521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522">
        <f t="shared" si="2"/>
        <v>0</v>
      </c>
      <c r="AE21" s="522"/>
    </row>
    <row r="22" spans="1:31" ht="13.2">
      <c r="A22" s="515" t="s">
        <v>768</v>
      </c>
      <c r="B22" s="165"/>
      <c r="C22" s="165"/>
      <c r="D22" s="165"/>
      <c r="E22" s="165"/>
      <c r="F22" s="165"/>
      <c r="G22" s="165">
        <v>399000</v>
      </c>
      <c r="H22" s="165">
        <v>504000</v>
      </c>
      <c r="I22" s="165">
        <v>434000</v>
      </c>
      <c r="J22" s="165"/>
      <c r="K22" s="165"/>
      <c r="L22" s="165"/>
      <c r="M22" s="165"/>
      <c r="N22" s="165">
        <v>700000</v>
      </c>
      <c r="O22" s="165">
        <v>290000</v>
      </c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522">
        <f t="shared" si="2"/>
        <v>2327000</v>
      </c>
      <c r="AE22" s="522"/>
    </row>
    <row r="23" spans="1:31" ht="13.2">
      <c r="A23" s="515" t="s">
        <v>769</v>
      </c>
      <c r="B23" s="165"/>
      <c r="C23" s="165"/>
      <c r="D23" s="165"/>
      <c r="E23" s="165">
        <v>1090600</v>
      </c>
      <c r="F23" s="165"/>
      <c r="G23" s="165"/>
      <c r="H23" s="165"/>
      <c r="I23" s="165"/>
      <c r="J23" s="165"/>
      <c r="K23" s="165"/>
      <c r="L23" s="165">
        <v>3000000</v>
      </c>
      <c r="M23" s="165">
        <f>1462500+1365000</f>
        <v>2827500</v>
      </c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522">
        <f t="shared" si="2"/>
        <v>6918100</v>
      </c>
      <c r="AE23" s="522"/>
    </row>
    <row r="24" spans="1:31" ht="13.2">
      <c r="A24" s="541" t="s">
        <v>770</v>
      </c>
      <c r="B24" s="531"/>
      <c r="C24" s="531"/>
      <c r="D24" s="531"/>
      <c r="E24" s="531"/>
      <c r="F24" s="531"/>
      <c r="G24" s="531"/>
      <c r="H24" s="531"/>
      <c r="I24" s="531"/>
      <c r="J24" s="532">
        <v>536000</v>
      </c>
      <c r="K24" s="531"/>
      <c r="L24" s="532"/>
      <c r="M24" s="531"/>
      <c r="N24" s="531"/>
      <c r="O24" s="531"/>
      <c r="P24" s="532"/>
      <c r="Q24" s="531"/>
      <c r="R24" s="531"/>
      <c r="S24" s="531"/>
      <c r="T24" s="531"/>
      <c r="U24" s="531"/>
      <c r="V24" s="531"/>
      <c r="W24" s="531"/>
      <c r="X24" s="531"/>
      <c r="Y24" s="531"/>
      <c r="Z24" s="531"/>
      <c r="AA24" s="531"/>
      <c r="AB24" s="531"/>
      <c r="AC24" s="531"/>
      <c r="AD24" s="542">
        <f t="shared" si="2"/>
        <v>536000</v>
      </c>
      <c r="AE24" s="542"/>
    </row>
    <row r="25" spans="1:31" ht="13.2">
      <c r="A25" s="541" t="s">
        <v>771</v>
      </c>
      <c r="B25" s="531"/>
      <c r="C25" s="531"/>
      <c r="D25" s="531"/>
      <c r="E25" s="531"/>
      <c r="F25" s="531"/>
      <c r="G25" s="531">
        <v>822000</v>
      </c>
      <c r="H25" s="531"/>
      <c r="I25" s="531"/>
      <c r="J25" s="531"/>
      <c r="K25" s="531"/>
      <c r="L25" s="531"/>
      <c r="M25" s="531">
        <v>380000</v>
      </c>
      <c r="N25" s="531"/>
      <c r="O25" s="531"/>
      <c r="P25" s="531"/>
      <c r="Q25" s="531"/>
      <c r="R25" s="531"/>
      <c r="S25" s="531"/>
      <c r="T25" s="531"/>
      <c r="U25" s="531"/>
      <c r="V25" s="531"/>
      <c r="W25" s="531"/>
      <c r="X25" s="531"/>
      <c r="Y25" s="531"/>
      <c r="Z25" s="531"/>
      <c r="AA25" s="531"/>
      <c r="AB25" s="531"/>
      <c r="AC25" s="532"/>
      <c r="AD25" s="542">
        <f t="shared" si="2"/>
        <v>1202000</v>
      </c>
      <c r="AE25" s="542"/>
    </row>
    <row r="26" spans="1:31" ht="13.2">
      <c r="A26" s="543" t="s">
        <v>754</v>
      </c>
      <c r="B26" s="544">
        <f t="shared" ref="B26:AC26" si="3">SUM(B10:B25)</f>
        <v>5710000</v>
      </c>
      <c r="C26" s="544">
        <f t="shared" si="3"/>
        <v>804750</v>
      </c>
      <c r="D26" s="544">
        <f t="shared" si="3"/>
        <v>0</v>
      </c>
      <c r="E26" s="544">
        <f t="shared" si="3"/>
        <v>1638600</v>
      </c>
      <c r="F26" s="544">
        <f t="shared" si="3"/>
        <v>0</v>
      </c>
      <c r="G26" s="544">
        <f t="shared" si="3"/>
        <v>1506000</v>
      </c>
      <c r="H26" s="544">
        <f t="shared" si="3"/>
        <v>504000</v>
      </c>
      <c r="I26" s="544">
        <f t="shared" si="3"/>
        <v>556000</v>
      </c>
      <c r="J26" s="544">
        <f t="shared" si="3"/>
        <v>12319631</v>
      </c>
      <c r="K26" s="544">
        <f t="shared" si="3"/>
        <v>237000</v>
      </c>
      <c r="L26" s="544">
        <f t="shared" si="3"/>
        <v>3748650</v>
      </c>
      <c r="M26" s="544">
        <f t="shared" si="3"/>
        <v>3207500</v>
      </c>
      <c r="N26" s="544">
        <f t="shared" si="3"/>
        <v>700000</v>
      </c>
      <c r="O26" s="544">
        <f t="shared" si="3"/>
        <v>2328000</v>
      </c>
      <c r="P26" s="544">
        <f t="shared" si="3"/>
        <v>555000</v>
      </c>
      <c r="Q26" s="544">
        <f t="shared" si="3"/>
        <v>4918000</v>
      </c>
      <c r="R26" s="544">
        <f t="shared" si="3"/>
        <v>882000</v>
      </c>
      <c r="S26" s="544">
        <f t="shared" si="3"/>
        <v>0</v>
      </c>
      <c r="T26" s="544">
        <f t="shared" si="3"/>
        <v>0</v>
      </c>
      <c r="U26" s="544">
        <f t="shared" si="3"/>
        <v>0</v>
      </c>
      <c r="V26" s="544">
        <f t="shared" si="3"/>
        <v>0</v>
      </c>
      <c r="W26" s="544">
        <f t="shared" si="3"/>
        <v>0</v>
      </c>
      <c r="X26" s="544">
        <f t="shared" si="3"/>
        <v>0</v>
      </c>
      <c r="Y26" s="544">
        <f t="shared" si="3"/>
        <v>0</v>
      </c>
      <c r="Z26" s="544">
        <f t="shared" si="3"/>
        <v>0</v>
      </c>
      <c r="AA26" s="544">
        <f t="shared" si="3"/>
        <v>0</v>
      </c>
      <c r="AB26" s="544">
        <f t="shared" si="3"/>
        <v>0</v>
      </c>
      <c r="AC26" s="544">
        <f t="shared" si="3"/>
        <v>0</v>
      </c>
      <c r="AD26" s="545">
        <f t="shared" si="2"/>
        <v>39615131</v>
      </c>
      <c r="AE26" s="545"/>
    </row>
    <row r="27" spans="1:31" ht="13.2">
      <c r="A27" s="546" t="s">
        <v>416</v>
      </c>
      <c r="B27" s="547"/>
      <c r="C27" s="548"/>
      <c r="D27" s="548"/>
      <c r="E27" s="548"/>
      <c r="F27" s="548"/>
      <c r="G27" s="548"/>
      <c r="H27" s="548"/>
      <c r="I27" s="548"/>
      <c r="J27" s="548"/>
      <c r="K27" s="548"/>
      <c r="L27" s="548"/>
      <c r="M27" s="548"/>
      <c r="N27" s="548"/>
      <c r="O27" s="548"/>
      <c r="P27" s="548"/>
      <c r="Q27" s="548"/>
      <c r="R27" s="548"/>
      <c r="S27" s="548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22">
        <f t="shared" si="2"/>
        <v>0</v>
      </c>
      <c r="AE27" s="522"/>
    </row>
    <row r="28" spans="1:31" ht="13.2">
      <c r="A28" s="549" t="s">
        <v>766</v>
      </c>
      <c r="B28" s="550"/>
      <c r="C28" s="551"/>
      <c r="D28" s="551"/>
      <c r="E28" s="551"/>
      <c r="F28" s="551"/>
      <c r="G28" s="551"/>
      <c r="H28" s="551"/>
      <c r="I28" s="551"/>
      <c r="J28" s="551"/>
      <c r="K28" s="551"/>
      <c r="L28" s="551"/>
      <c r="M28" s="551"/>
      <c r="N28" s="552"/>
      <c r="O28" s="553">
        <v>3247000</v>
      </c>
      <c r="P28" s="553"/>
      <c r="Q28" s="553">
        <v>66600</v>
      </c>
      <c r="R28" s="553"/>
      <c r="S28" s="553"/>
      <c r="T28" s="553"/>
      <c r="U28" s="553"/>
      <c r="V28" s="553"/>
      <c r="W28" s="553"/>
      <c r="X28" s="553"/>
      <c r="Y28" s="553"/>
      <c r="Z28" s="553"/>
      <c r="AA28" s="553"/>
      <c r="AB28" s="553"/>
      <c r="AC28" s="553"/>
      <c r="AD28" s="522"/>
      <c r="AE28" s="522"/>
    </row>
    <row r="29" spans="1:31" ht="13.2">
      <c r="A29" s="515" t="s">
        <v>757</v>
      </c>
      <c r="B29" s="550">
        <v>767500</v>
      </c>
      <c r="C29" s="551"/>
      <c r="D29" s="551"/>
      <c r="E29" s="551"/>
      <c r="F29" s="551"/>
      <c r="G29" s="551"/>
      <c r="H29" s="551"/>
      <c r="I29" s="551"/>
      <c r="J29" s="551"/>
      <c r="K29" s="551"/>
      <c r="L29" s="551"/>
      <c r="M29" s="551"/>
      <c r="N29" s="552"/>
      <c r="O29" s="553"/>
      <c r="P29" s="553"/>
      <c r="Q29" s="553"/>
      <c r="R29" s="553">
        <v>312850</v>
      </c>
      <c r="S29" s="553"/>
      <c r="T29" s="553"/>
      <c r="U29" s="553"/>
      <c r="V29" s="553"/>
      <c r="W29" s="553"/>
      <c r="X29" s="553"/>
      <c r="Y29" s="553"/>
      <c r="Z29" s="553"/>
      <c r="AA29" s="553"/>
      <c r="AB29" s="553"/>
      <c r="AC29" s="553"/>
      <c r="AD29" s="522">
        <f t="shared" ref="AD29:AD51" si="4">SUM(B29:AC29)</f>
        <v>1080350</v>
      </c>
      <c r="AE29" s="522"/>
    </row>
    <row r="30" spans="1:31" ht="13.2">
      <c r="A30" s="515" t="s">
        <v>758</v>
      </c>
      <c r="B30" s="554"/>
      <c r="C30" s="55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3"/>
      <c r="P30" s="553"/>
      <c r="Q30" s="555"/>
      <c r="R30" s="553"/>
      <c r="S30" s="553"/>
      <c r="T30" s="553"/>
      <c r="U30" s="553"/>
      <c r="V30" s="553"/>
      <c r="W30" s="553"/>
      <c r="X30" s="553"/>
      <c r="Y30" s="553"/>
      <c r="Z30" s="553"/>
      <c r="AA30" s="553"/>
      <c r="AB30" s="553"/>
      <c r="AC30" s="553"/>
      <c r="AD30" s="522">
        <f t="shared" si="4"/>
        <v>0</v>
      </c>
      <c r="AE30" s="522"/>
    </row>
    <row r="31" spans="1:31" ht="13.2">
      <c r="A31" s="515" t="s">
        <v>772</v>
      </c>
      <c r="B31" s="554"/>
      <c r="C31" s="551"/>
      <c r="D31" s="551"/>
      <c r="E31" s="551"/>
      <c r="F31" s="551"/>
      <c r="G31" s="552"/>
      <c r="H31" s="551"/>
      <c r="I31" s="551"/>
      <c r="J31" s="551"/>
      <c r="K31" s="551"/>
      <c r="L31" s="551"/>
      <c r="M31" s="551">
        <v>255000</v>
      </c>
      <c r="N31" s="551">
        <v>556500</v>
      </c>
      <c r="O31" s="553">
        <v>555000</v>
      </c>
      <c r="P31" s="553"/>
      <c r="Q31" s="553"/>
      <c r="R31" s="553"/>
      <c r="S31" s="553"/>
      <c r="T31" s="553"/>
      <c r="U31" s="553"/>
      <c r="V31" s="553"/>
      <c r="W31" s="553"/>
      <c r="X31" s="553"/>
      <c r="Y31" s="553"/>
      <c r="Z31" s="553"/>
      <c r="AA31" s="553"/>
      <c r="AB31" s="553"/>
      <c r="AC31" s="553"/>
      <c r="AD31" s="522">
        <f t="shared" si="4"/>
        <v>1366500</v>
      </c>
      <c r="AE31" s="522"/>
    </row>
    <row r="32" spans="1:31" ht="13.2">
      <c r="A32" s="515" t="s">
        <v>769</v>
      </c>
      <c r="B32" s="554"/>
      <c r="C32" s="551"/>
      <c r="D32" s="551"/>
      <c r="E32" s="551"/>
      <c r="F32" s="551"/>
      <c r="G32" s="551"/>
      <c r="H32" s="551"/>
      <c r="I32" s="551"/>
      <c r="J32" s="551"/>
      <c r="K32" s="551">
        <v>4492500</v>
      </c>
      <c r="L32" s="551"/>
      <c r="M32" s="551"/>
      <c r="N32" s="551"/>
      <c r="O32" s="553"/>
      <c r="P32" s="553"/>
      <c r="Q32" s="553"/>
      <c r="R32" s="553">
        <v>1984500</v>
      </c>
      <c r="S32" s="553"/>
      <c r="T32" s="553"/>
      <c r="U32" s="553"/>
      <c r="V32" s="553"/>
      <c r="W32" s="553"/>
      <c r="X32" s="553"/>
      <c r="Y32" s="553"/>
      <c r="Z32" s="553"/>
      <c r="AA32" s="553"/>
      <c r="AB32" s="553"/>
      <c r="AC32" s="553"/>
      <c r="AD32" s="522">
        <f t="shared" si="4"/>
        <v>6477000</v>
      </c>
      <c r="AE32" s="522"/>
    </row>
    <row r="33" spans="1:31" ht="13.2">
      <c r="A33" s="515" t="s">
        <v>762</v>
      </c>
      <c r="B33" s="554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53"/>
      <c r="AB33" s="553"/>
      <c r="AC33" s="553"/>
      <c r="AD33" s="522">
        <f t="shared" si="4"/>
        <v>0</v>
      </c>
      <c r="AE33" s="522"/>
    </row>
    <row r="34" spans="1:31" ht="13.2">
      <c r="A34" s="515" t="s">
        <v>764</v>
      </c>
      <c r="B34" s="556"/>
      <c r="C34" s="551"/>
      <c r="D34" s="551"/>
      <c r="E34" s="551"/>
      <c r="F34" s="551"/>
      <c r="G34" s="551"/>
      <c r="H34" s="551"/>
      <c r="I34" s="551"/>
      <c r="J34" s="551"/>
      <c r="K34" s="551">
        <v>597650</v>
      </c>
      <c r="L34" s="551"/>
      <c r="M34" s="551"/>
      <c r="N34" s="551"/>
      <c r="O34" s="553"/>
      <c r="P34" s="553">
        <v>375000</v>
      </c>
      <c r="Q34" s="553">
        <v>67000</v>
      </c>
      <c r="R34" s="553"/>
      <c r="S34" s="553"/>
      <c r="T34" s="553"/>
      <c r="U34" s="553"/>
      <c r="V34" s="553"/>
      <c r="W34" s="553"/>
      <c r="X34" s="553"/>
      <c r="Y34" s="553"/>
      <c r="Z34" s="553"/>
      <c r="AA34" s="553"/>
      <c r="AB34" s="553"/>
      <c r="AC34" s="553"/>
      <c r="AD34" s="522">
        <f t="shared" si="4"/>
        <v>1039650</v>
      </c>
      <c r="AE34" s="522"/>
    </row>
    <row r="35" spans="1:31" ht="13.2">
      <c r="A35" s="515" t="s">
        <v>761</v>
      </c>
      <c r="B35" s="557"/>
      <c r="C35" s="551"/>
      <c r="D35" s="551"/>
      <c r="E35" s="551"/>
      <c r="F35" s="552"/>
      <c r="G35" s="551"/>
      <c r="H35" s="551"/>
      <c r="I35" s="551"/>
      <c r="J35" s="551"/>
      <c r="K35" s="551"/>
      <c r="L35" s="551"/>
      <c r="M35" s="551"/>
      <c r="N35" s="551">
        <v>1080900</v>
      </c>
      <c r="O35" s="553"/>
      <c r="P35" s="553"/>
      <c r="Q35" s="553"/>
      <c r="R35" s="553"/>
      <c r="S35" s="553"/>
      <c r="T35" s="553"/>
      <c r="U35" s="553"/>
      <c r="V35" s="553"/>
      <c r="W35" s="553"/>
      <c r="X35" s="553"/>
      <c r="Y35" s="553"/>
      <c r="Z35" s="553"/>
      <c r="AA35" s="553"/>
      <c r="AB35" s="553"/>
      <c r="AC35" s="553"/>
      <c r="AD35" s="522">
        <f t="shared" si="4"/>
        <v>1080900</v>
      </c>
      <c r="AE35" s="522"/>
    </row>
    <row r="36" spans="1:31" ht="13.2">
      <c r="A36" s="515" t="s">
        <v>767</v>
      </c>
      <c r="B36" s="558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>
        <v>976500</v>
      </c>
      <c r="O36" s="553">
        <v>1337500</v>
      </c>
      <c r="P36" s="553"/>
      <c r="Q36" s="553"/>
      <c r="R36" s="553"/>
      <c r="S36" s="553"/>
      <c r="T36" s="553"/>
      <c r="U36" s="553"/>
      <c r="V36" s="553"/>
      <c r="W36" s="553"/>
      <c r="X36" s="553"/>
      <c r="Y36" s="553"/>
      <c r="Z36" s="553"/>
      <c r="AA36" s="553"/>
      <c r="AB36" s="553"/>
      <c r="AC36" s="553"/>
      <c r="AD36" s="522">
        <f t="shared" si="4"/>
        <v>2314000</v>
      </c>
      <c r="AE36" s="522"/>
    </row>
    <row r="37" spans="1:31" ht="13.2">
      <c r="A37" s="515" t="s">
        <v>765</v>
      </c>
      <c r="B37" s="165"/>
      <c r="C37" s="553"/>
      <c r="D37" s="553"/>
      <c r="E37" s="553"/>
      <c r="F37" s="553">
        <v>189200</v>
      </c>
      <c r="G37" s="553"/>
      <c r="H37" s="553"/>
      <c r="I37" s="553"/>
      <c r="J37" s="553"/>
      <c r="K37" s="553">
        <v>151000</v>
      </c>
      <c r="L37" s="553"/>
      <c r="M37" s="553"/>
      <c r="N37" s="553"/>
      <c r="O37" s="553"/>
      <c r="P37" s="553"/>
      <c r="Q37" s="553">
        <v>155000</v>
      </c>
      <c r="R37" s="553"/>
      <c r="S37" s="553"/>
      <c r="T37" s="553"/>
      <c r="U37" s="553"/>
      <c r="V37" s="555"/>
      <c r="W37" s="553"/>
      <c r="X37" s="553"/>
      <c r="Y37" s="553"/>
      <c r="Z37" s="553"/>
      <c r="AA37" s="553"/>
      <c r="AB37" s="553"/>
      <c r="AC37" s="553"/>
      <c r="AD37" s="522">
        <f t="shared" si="4"/>
        <v>495200</v>
      </c>
      <c r="AE37" s="522"/>
    </row>
    <row r="38" spans="1:31" ht="13.2">
      <c r="A38" s="515" t="s">
        <v>770</v>
      </c>
      <c r="B38" s="165">
        <v>536000</v>
      </c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53"/>
      <c r="AB38" s="553"/>
      <c r="AC38" s="553"/>
      <c r="AD38" s="522">
        <f t="shared" si="4"/>
        <v>536000</v>
      </c>
      <c r="AE38" s="522"/>
    </row>
    <row r="39" spans="1:31" ht="13.2">
      <c r="A39" s="515" t="s">
        <v>773</v>
      </c>
      <c r="B39" s="162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>
        <v>118000</v>
      </c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53"/>
      <c r="AB39" s="553"/>
      <c r="AC39" s="553"/>
      <c r="AD39" s="522">
        <f t="shared" si="4"/>
        <v>118000</v>
      </c>
      <c r="AE39" s="522"/>
    </row>
    <row r="40" spans="1:31" ht="13.2">
      <c r="A40" s="515" t="s">
        <v>768</v>
      </c>
      <c r="B40" s="162"/>
      <c r="C40" s="553"/>
      <c r="D40" s="553"/>
      <c r="E40" s="553"/>
      <c r="F40" s="553"/>
      <c r="G40" s="553">
        <v>504000</v>
      </c>
      <c r="H40" s="553">
        <v>434000</v>
      </c>
      <c r="I40" s="553">
        <v>680000</v>
      </c>
      <c r="J40" s="553"/>
      <c r="K40" s="553"/>
      <c r="L40" s="553"/>
      <c r="M40" s="553"/>
      <c r="N40" s="553">
        <v>290000</v>
      </c>
      <c r="O40" s="553">
        <v>681000</v>
      </c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553"/>
      <c r="AB40" s="553"/>
      <c r="AC40" s="553"/>
      <c r="AD40" s="522">
        <f t="shared" si="4"/>
        <v>2589000</v>
      </c>
      <c r="AE40" s="522"/>
    </row>
    <row r="41" spans="1:31" ht="13.2">
      <c r="A41" s="515" t="s">
        <v>774</v>
      </c>
      <c r="B41" s="162"/>
      <c r="C41" s="553"/>
      <c r="D41" s="553"/>
      <c r="E41" s="553"/>
      <c r="F41" s="553"/>
      <c r="G41" s="553"/>
      <c r="H41" s="553"/>
      <c r="I41" s="553"/>
      <c r="J41" s="553"/>
      <c r="K41" s="553"/>
      <c r="L41" s="553"/>
      <c r="M41" s="553"/>
      <c r="N41" s="553"/>
      <c r="O41" s="553">
        <v>78600</v>
      </c>
      <c r="P41" s="553"/>
      <c r="Q41" s="553"/>
      <c r="R41" s="553"/>
      <c r="S41" s="553"/>
      <c r="T41" s="553"/>
      <c r="U41" s="553"/>
      <c r="V41" s="553"/>
      <c r="W41" s="553"/>
      <c r="X41" s="553"/>
      <c r="Y41" s="553"/>
      <c r="Z41" s="553"/>
      <c r="AA41" s="553"/>
      <c r="AB41" s="553"/>
      <c r="AC41" s="553"/>
      <c r="AD41" s="522">
        <f t="shared" si="4"/>
        <v>78600</v>
      </c>
      <c r="AE41" s="522"/>
    </row>
    <row r="42" spans="1:31" ht="13.2">
      <c r="A42" s="559" t="s">
        <v>754</v>
      </c>
      <c r="B42" s="560">
        <f t="shared" ref="B42:AC42" si="5">SUM(B29:B41)</f>
        <v>1303500</v>
      </c>
      <c r="C42" s="561">
        <f t="shared" si="5"/>
        <v>0</v>
      </c>
      <c r="D42" s="561">
        <f t="shared" si="5"/>
        <v>0</v>
      </c>
      <c r="E42" s="561">
        <f t="shared" si="5"/>
        <v>0</v>
      </c>
      <c r="F42" s="561">
        <f t="shared" si="5"/>
        <v>189200</v>
      </c>
      <c r="G42" s="561">
        <f t="shared" si="5"/>
        <v>504000</v>
      </c>
      <c r="H42" s="561">
        <f t="shared" si="5"/>
        <v>434000</v>
      </c>
      <c r="I42" s="561">
        <f t="shared" si="5"/>
        <v>680000</v>
      </c>
      <c r="J42" s="561">
        <f t="shared" si="5"/>
        <v>0</v>
      </c>
      <c r="K42" s="561">
        <f t="shared" si="5"/>
        <v>5241150</v>
      </c>
      <c r="L42" s="561">
        <f t="shared" si="5"/>
        <v>0</v>
      </c>
      <c r="M42" s="561">
        <f t="shared" si="5"/>
        <v>255000</v>
      </c>
      <c r="N42" s="561">
        <f t="shared" si="5"/>
        <v>3021900</v>
      </c>
      <c r="O42" s="561">
        <f t="shared" si="5"/>
        <v>2652100</v>
      </c>
      <c r="P42" s="561">
        <f t="shared" si="5"/>
        <v>375000</v>
      </c>
      <c r="Q42" s="561">
        <f t="shared" si="5"/>
        <v>222000</v>
      </c>
      <c r="R42" s="561">
        <f t="shared" si="5"/>
        <v>2297350</v>
      </c>
      <c r="S42" s="561">
        <f t="shared" si="5"/>
        <v>0</v>
      </c>
      <c r="T42" s="561">
        <f t="shared" si="5"/>
        <v>0</v>
      </c>
      <c r="U42" s="561">
        <f t="shared" si="5"/>
        <v>0</v>
      </c>
      <c r="V42" s="561">
        <f t="shared" si="5"/>
        <v>0</v>
      </c>
      <c r="W42" s="561">
        <f t="shared" si="5"/>
        <v>0</v>
      </c>
      <c r="X42" s="561">
        <f t="shared" si="5"/>
        <v>0</v>
      </c>
      <c r="Y42" s="561">
        <f t="shared" si="5"/>
        <v>0</v>
      </c>
      <c r="Z42" s="561">
        <f t="shared" si="5"/>
        <v>0</v>
      </c>
      <c r="AA42" s="561">
        <f t="shared" si="5"/>
        <v>0</v>
      </c>
      <c r="AB42" s="561">
        <f t="shared" si="5"/>
        <v>0</v>
      </c>
      <c r="AC42" s="561">
        <f t="shared" si="5"/>
        <v>0</v>
      </c>
      <c r="AD42" s="522">
        <f t="shared" si="4"/>
        <v>17175200</v>
      </c>
      <c r="AE42" s="522"/>
    </row>
    <row r="43" spans="1:31" ht="13.2">
      <c r="A43" s="562" t="s">
        <v>775</v>
      </c>
      <c r="B43" s="563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4"/>
      <c r="R43" s="564"/>
      <c r="S43" s="564"/>
      <c r="T43" s="564"/>
      <c r="U43" s="564"/>
      <c r="V43" s="564"/>
      <c r="W43" s="564"/>
      <c r="X43" s="564"/>
      <c r="Y43" s="564"/>
      <c r="Z43" s="564"/>
      <c r="AA43" s="564"/>
      <c r="AB43" s="564"/>
      <c r="AC43" s="564"/>
      <c r="AD43" s="565">
        <f t="shared" si="4"/>
        <v>0</v>
      </c>
      <c r="AE43" s="565"/>
    </row>
    <row r="44" spans="1:31" ht="13.2">
      <c r="A44" s="515" t="s">
        <v>776</v>
      </c>
      <c r="B44" s="566"/>
      <c r="C44" s="165"/>
      <c r="D44" s="165"/>
      <c r="E44" s="165"/>
      <c r="F44" s="165"/>
      <c r="G44" s="521"/>
      <c r="H44" s="165"/>
      <c r="I44" s="165"/>
      <c r="J44" s="165"/>
      <c r="K44" s="165">
        <v>717580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5"/>
      <c r="AD44" s="522">
        <f t="shared" si="4"/>
        <v>717580</v>
      </c>
      <c r="AE44" s="522"/>
    </row>
    <row r="45" spans="1:31" ht="13.2">
      <c r="A45" s="567" t="s">
        <v>777</v>
      </c>
      <c r="B45" s="566">
        <v>18300000</v>
      </c>
      <c r="C45" s="521">
        <f>16300000-5500000-800000-3000000</f>
        <v>7000000</v>
      </c>
      <c r="D45" s="521"/>
      <c r="E45" s="165"/>
      <c r="F45" s="165"/>
      <c r="G45" s="521"/>
      <c r="H45" s="521">
        <v>7100000</v>
      </c>
      <c r="I45" s="165"/>
      <c r="J45" s="165"/>
      <c r="K45" s="165"/>
      <c r="L45" s="165"/>
      <c r="M45" s="165">
        <f>7500000+6508000</f>
        <v>14008000</v>
      </c>
      <c r="N45" s="521"/>
      <c r="O45" s="165"/>
      <c r="P45" s="165"/>
      <c r="Q45" s="165"/>
      <c r="R45" s="521">
        <v>8300000</v>
      </c>
      <c r="S45" s="521"/>
      <c r="T45" s="165"/>
      <c r="U45" s="165"/>
      <c r="V45" s="165"/>
      <c r="W45" s="165"/>
      <c r="X45" s="521"/>
      <c r="Y45" s="165"/>
      <c r="Z45" s="165"/>
      <c r="AA45" s="165"/>
      <c r="AB45" s="521"/>
      <c r="AC45" s="165"/>
      <c r="AD45" s="522">
        <f t="shared" si="4"/>
        <v>54708000</v>
      </c>
      <c r="AE45" s="522"/>
    </row>
    <row r="46" spans="1:31" ht="13.2">
      <c r="A46" s="515" t="s">
        <v>431</v>
      </c>
      <c r="B46" s="568"/>
      <c r="C46" s="165"/>
      <c r="D46" s="521">
        <v>1000000</v>
      </c>
      <c r="E46" s="165"/>
      <c r="F46" s="165"/>
      <c r="G46" s="165"/>
      <c r="H46" s="165"/>
      <c r="I46" s="165"/>
      <c r="J46" s="165">
        <v>1791809</v>
      </c>
      <c r="K46" s="165"/>
      <c r="L46" s="165"/>
      <c r="M46" s="165"/>
      <c r="N46" s="165">
        <v>1000000</v>
      </c>
      <c r="O46" s="165"/>
      <c r="P46" s="165"/>
      <c r="Q46" s="165">
        <v>863181</v>
      </c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522">
        <f t="shared" si="4"/>
        <v>4654990</v>
      </c>
      <c r="AE46" s="522"/>
    </row>
    <row r="47" spans="1:31" ht="13.2">
      <c r="A47" s="515" t="s">
        <v>778</v>
      </c>
      <c r="B47" s="568"/>
      <c r="C47" s="165"/>
      <c r="D47" s="165"/>
      <c r="E47" s="165"/>
      <c r="F47" s="165">
        <v>2209026</v>
      </c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5"/>
      <c r="AD47" s="522">
        <f t="shared" si="4"/>
        <v>2209026</v>
      </c>
      <c r="AE47" s="522"/>
    </row>
    <row r="48" spans="1:31" ht="13.2">
      <c r="A48" s="569" t="s">
        <v>428</v>
      </c>
      <c r="B48" s="570"/>
      <c r="C48" s="521"/>
      <c r="D48" s="165">
        <v>835200</v>
      </c>
      <c r="E48" s="165"/>
      <c r="F48" s="521"/>
      <c r="G48" s="521"/>
      <c r="H48" s="165"/>
      <c r="I48" s="165"/>
      <c r="J48" s="521">
        <v>2946800</v>
      </c>
      <c r="K48" s="165"/>
      <c r="L48" s="165"/>
      <c r="M48" s="521"/>
      <c r="N48" s="165">
        <v>2167500</v>
      </c>
      <c r="O48" s="165"/>
      <c r="P48" s="165"/>
      <c r="Q48" s="521"/>
      <c r="R48" s="521"/>
      <c r="S48" s="165"/>
      <c r="T48" s="521"/>
      <c r="U48" s="165"/>
      <c r="V48" s="165"/>
      <c r="W48" s="165"/>
      <c r="X48" s="165"/>
      <c r="Y48" s="165"/>
      <c r="Z48" s="165"/>
      <c r="AA48" s="165"/>
      <c r="AB48" s="165"/>
      <c r="AC48" s="165"/>
      <c r="AD48" s="522">
        <f t="shared" si="4"/>
        <v>5949500</v>
      </c>
      <c r="AE48" s="522"/>
    </row>
    <row r="49" spans="1:31" ht="13.2">
      <c r="A49" s="515" t="s">
        <v>717</v>
      </c>
      <c r="B49" s="165"/>
      <c r="C49" s="165">
        <v>1250000</v>
      </c>
      <c r="D49" s="521">
        <v>1158000</v>
      </c>
      <c r="E49" s="165">
        <f>393000+1539462</f>
        <v>1932462</v>
      </c>
      <c r="F49" s="521"/>
      <c r="G49" s="165">
        <v>1900000</v>
      </c>
      <c r="H49" s="165">
        <v>544000</v>
      </c>
      <c r="I49" s="165"/>
      <c r="J49" s="165">
        <v>500000</v>
      </c>
      <c r="K49" s="165">
        <v>4935065</v>
      </c>
      <c r="L49" s="521"/>
      <c r="M49" s="165">
        <f>2392606+161500</f>
        <v>2554106</v>
      </c>
      <c r="N49" s="521"/>
      <c r="O49" s="165">
        <f>8292100+1180000</f>
        <v>9472100</v>
      </c>
      <c r="P49" s="521"/>
      <c r="Q49" s="165">
        <f>60000+1223950</f>
        <v>1283950</v>
      </c>
      <c r="R49" s="165">
        <f>6669000+3366600</f>
        <v>10035600</v>
      </c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522">
        <f t="shared" si="4"/>
        <v>35565283</v>
      </c>
      <c r="AE49" s="522"/>
    </row>
    <row r="50" spans="1:31" ht="13.2">
      <c r="A50" s="515" t="s">
        <v>779</v>
      </c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522">
        <f t="shared" si="4"/>
        <v>0</v>
      </c>
      <c r="AE50" s="522"/>
    </row>
    <row r="51" spans="1:31" ht="13.2">
      <c r="A51" s="571" t="s">
        <v>110</v>
      </c>
      <c r="B51" s="572"/>
      <c r="C51" s="572"/>
      <c r="D51" s="572"/>
      <c r="E51" s="572"/>
      <c r="F51" s="572"/>
      <c r="G51" s="572"/>
      <c r="H51" s="572">
        <v>12977000</v>
      </c>
      <c r="I51" s="572"/>
      <c r="J51" s="572"/>
      <c r="K51" s="572"/>
      <c r="L51" s="572"/>
      <c r="M51" s="572"/>
      <c r="N51" s="572"/>
      <c r="O51" s="572">
        <v>9276000</v>
      </c>
      <c r="P51" s="572"/>
      <c r="Q51" s="572"/>
      <c r="R51" s="572"/>
      <c r="S51" s="572"/>
      <c r="T51" s="572"/>
      <c r="U51" s="573"/>
      <c r="V51" s="572"/>
      <c r="W51" s="572"/>
      <c r="X51" s="572"/>
      <c r="Y51" s="572"/>
      <c r="Z51" s="572"/>
      <c r="AA51" s="572"/>
      <c r="AB51" s="572"/>
      <c r="AC51" s="572"/>
      <c r="AD51" s="574">
        <f t="shared" si="4"/>
        <v>22253000</v>
      </c>
      <c r="AE51" s="574"/>
    </row>
    <row r="52" spans="1:31" ht="13.2">
      <c r="A52" s="515" t="s">
        <v>120</v>
      </c>
      <c r="B52" s="165"/>
      <c r="C52" s="165">
        <v>5500000</v>
      </c>
      <c r="D52" s="165"/>
      <c r="E52" s="165"/>
      <c r="F52" s="165"/>
      <c r="G52" s="165"/>
      <c r="H52" s="165"/>
      <c r="I52" s="165"/>
      <c r="J52" s="165"/>
      <c r="K52" s="165"/>
      <c r="L52" s="165"/>
      <c r="M52" s="521"/>
      <c r="N52" s="521"/>
      <c r="O52" s="165"/>
      <c r="P52" s="165">
        <v>13000000</v>
      </c>
      <c r="Q52" s="165">
        <v>10000000</v>
      </c>
      <c r="R52" s="165"/>
      <c r="S52" s="521"/>
      <c r="T52" s="521"/>
      <c r="U52" s="165"/>
      <c r="V52" s="165"/>
      <c r="W52" s="165"/>
      <c r="X52" s="165"/>
      <c r="Y52" s="165"/>
      <c r="Z52" s="165"/>
      <c r="AA52" s="165"/>
      <c r="AB52" s="165"/>
      <c r="AC52" s="165"/>
      <c r="AD52" s="8"/>
      <c r="AE52" s="8"/>
    </row>
    <row r="53" spans="1:31" ht="13.2">
      <c r="A53" s="515" t="s">
        <v>780</v>
      </c>
      <c r="B53" s="165"/>
      <c r="C53" s="165">
        <v>927059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522">
        <f t="shared" ref="AD53:AD66" si="6">SUM(B53:AC53)</f>
        <v>927059</v>
      </c>
      <c r="AE53" s="522"/>
    </row>
    <row r="54" spans="1:31" ht="13.2">
      <c r="A54" s="569" t="s">
        <v>781</v>
      </c>
      <c r="B54" s="165"/>
      <c r="C54" s="521"/>
      <c r="D54" s="165"/>
      <c r="E54" s="165">
        <v>962964</v>
      </c>
      <c r="F54" s="165"/>
      <c r="G54" s="165">
        <v>1265810</v>
      </c>
      <c r="H54" s="165"/>
      <c r="I54" s="165"/>
      <c r="J54" s="165"/>
      <c r="K54" s="521"/>
      <c r="L54" s="165"/>
      <c r="M54" s="165">
        <v>624894</v>
      </c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522">
        <f t="shared" si="6"/>
        <v>2853668</v>
      </c>
      <c r="AE54" s="522"/>
    </row>
    <row r="55" spans="1:31" ht="13.2">
      <c r="A55" s="515" t="s">
        <v>782</v>
      </c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>
        <v>640000</v>
      </c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522">
        <f t="shared" si="6"/>
        <v>640000</v>
      </c>
      <c r="AE55" s="522"/>
    </row>
    <row r="56" spans="1:31" ht="13.2">
      <c r="A56" s="515" t="s">
        <v>783</v>
      </c>
      <c r="B56" s="165"/>
      <c r="C56" s="165"/>
      <c r="D56" s="165"/>
      <c r="E56" s="165"/>
      <c r="F56" s="165"/>
      <c r="G56" s="165"/>
      <c r="H56" s="165"/>
      <c r="I56" s="165"/>
      <c r="J56" s="521"/>
      <c r="K56" s="165">
        <v>1386410</v>
      </c>
      <c r="L56" s="165"/>
      <c r="M56" s="165"/>
      <c r="N56" s="165"/>
      <c r="O56" s="165"/>
      <c r="P56" s="521"/>
      <c r="Q56" s="165">
        <v>5459912</v>
      </c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522">
        <f t="shared" si="6"/>
        <v>6846322</v>
      </c>
      <c r="AE56" s="522"/>
    </row>
    <row r="57" spans="1:31" ht="13.2">
      <c r="A57" s="567" t="s">
        <v>784</v>
      </c>
      <c r="B57" s="521"/>
      <c r="C57" s="165"/>
      <c r="D57" s="521">
        <v>1595493</v>
      </c>
      <c r="E57" s="521"/>
      <c r="F57" s="521">
        <v>216749</v>
      </c>
      <c r="G57" s="165">
        <v>2085503</v>
      </c>
      <c r="H57" s="165">
        <v>975950</v>
      </c>
      <c r="I57" s="165"/>
      <c r="J57" s="165">
        <f>11100000+5104549</f>
        <v>16204549</v>
      </c>
      <c r="K57" s="165">
        <v>569207</v>
      </c>
      <c r="L57" s="521"/>
      <c r="M57" s="165">
        <v>893493</v>
      </c>
      <c r="N57" s="521">
        <f>1330404+418000+917000</f>
        <v>2665404</v>
      </c>
      <c r="O57" s="521">
        <v>1517660</v>
      </c>
      <c r="P57" s="165"/>
      <c r="Q57" s="165">
        <v>699507</v>
      </c>
      <c r="R57" s="165">
        <f>4740000+11773842</f>
        <v>16513842</v>
      </c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5"/>
      <c r="AD57" s="522">
        <f t="shared" si="6"/>
        <v>43937357</v>
      </c>
      <c r="AE57" s="522"/>
    </row>
    <row r="58" spans="1:31" ht="13.2">
      <c r="A58" s="567" t="s">
        <v>785</v>
      </c>
      <c r="B58" s="165"/>
      <c r="C58" s="165"/>
      <c r="D58" s="521"/>
      <c r="E58" s="521">
        <v>512885</v>
      </c>
      <c r="F58" s="521">
        <v>270000</v>
      </c>
      <c r="G58" s="521"/>
      <c r="H58" s="165"/>
      <c r="I58" s="165"/>
      <c r="J58" s="521">
        <v>865848</v>
      </c>
      <c r="K58" s="165"/>
      <c r="L58" s="521"/>
      <c r="M58" s="165">
        <v>143399</v>
      </c>
      <c r="N58" s="165"/>
      <c r="O58" s="165"/>
      <c r="P58" s="165"/>
      <c r="Q58" s="165">
        <v>421603</v>
      </c>
      <c r="R58" s="165">
        <v>1094651</v>
      </c>
      <c r="S58" s="165"/>
      <c r="T58" s="165"/>
      <c r="U58" s="165"/>
      <c r="V58" s="165"/>
      <c r="W58" s="165"/>
      <c r="X58" s="165"/>
      <c r="Y58" s="165"/>
      <c r="Z58" s="165"/>
      <c r="AA58" s="165"/>
      <c r="AB58" s="521"/>
      <c r="AC58" s="165"/>
      <c r="AD58" s="522">
        <f t="shared" si="6"/>
        <v>3308386</v>
      </c>
      <c r="AE58" s="522"/>
    </row>
    <row r="59" spans="1:31" ht="13.2">
      <c r="A59" s="515" t="s">
        <v>786</v>
      </c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521"/>
      <c r="O59" s="165"/>
      <c r="P59" s="165"/>
      <c r="Q59" s="165"/>
      <c r="R59" s="165"/>
      <c r="S59" s="165"/>
      <c r="T59" s="165"/>
      <c r="U59" s="521"/>
      <c r="V59" s="165"/>
      <c r="W59" s="165"/>
      <c r="X59" s="165"/>
      <c r="Y59" s="165"/>
      <c r="Z59" s="165"/>
      <c r="AA59" s="165"/>
      <c r="AB59" s="165"/>
      <c r="AC59" s="165"/>
      <c r="AD59" s="522">
        <f t="shared" si="6"/>
        <v>0</v>
      </c>
      <c r="AE59" s="522"/>
    </row>
    <row r="60" spans="1:31" ht="13.2">
      <c r="A60" s="567" t="s">
        <v>787</v>
      </c>
      <c r="B60" s="165"/>
      <c r="C60" s="165">
        <v>700000</v>
      </c>
      <c r="D60" s="521"/>
      <c r="E60" s="165"/>
      <c r="F60" s="165"/>
      <c r="G60" s="165"/>
      <c r="H60" s="165"/>
      <c r="I60" s="165"/>
      <c r="J60" s="165">
        <v>902340</v>
      </c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522">
        <f t="shared" si="6"/>
        <v>1602340</v>
      </c>
      <c r="AE60" s="522"/>
    </row>
    <row r="61" spans="1:31" ht="13.2">
      <c r="A61" s="515" t="s">
        <v>788</v>
      </c>
      <c r="B61" s="165"/>
      <c r="C61" s="165">
        <v>442770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>
        <v>100350</v>
      </c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522">
        <f t="shared" si="6"/>
        <v>543120</v>
      </c>
      <c r="AE61" s="522"/>
    </row>
    <row r="62" spans="1:31" ht="13.2">
      <c r="A62" s="575" t="s">
        <v>754</v>
      </c>
      <c r="B62" s="576">
        <f t="shared" ref="B62:AC62" si="7">SUM(B44:B61)</f>
        <v>18300000</v>
      </c>
      <c r="C62" s="577">
        <f t="shared" si="7"/>
        <v>15819829</v>
      </c>
      <c r="D62" s="577">
        <f t="shared" si="7"/>
        <v>4588693</v>
      </c>
      <c r="E62" s="577">
        <f t="shared" si="7"/>
        <v>3408311</v>
      </c>
      <c r="F62" s="577">
        <f t="shared" si="7"/>
        <v>2695775</v>
      </c>
      <c r="G62" s="577">
        <f t="shared" si="7"/>
        <v>5251313</v>
      </c>
      <c r="H62" s="577">
        <f t="shared" si="7"/>
        <v>21596950</v>
      </c>
      <c r="I62" s="577">
        <f t="shared" si="7"/>
        <v>0</v>
      </c>
      <c r="J62" s="577">
        <f t="shared" si="7"/>
        <v>23211346</v>
      </c>
      <c r="K62" s="577">
        <f t="shared" si="7"/>
        <v>7608262</v>
      </c>
      <c r="L62" s="577">
        <f t="shared" si="7"/>
        <v>0</v>
      </c>
      <c r="M62" s="577">
        <f t="shared" si="7"/>
        <v>18223892</v>
      </c>
      <c r="N62" s="577">
        <f t="shared" si="7"/>
        <v>5832904</v>
      </c>
      <c r="O62" s="577">
        <f t="shared" si="7"/>
        <v>20366110</v>
      </c>
      <c r="P62" s="577">
        <f t="shared" si="7"/>
        <v>13000000</v>
      </c>
      <c r="Q62" s="577">
        <f t="shared" si="7"/>
        <v>19368153</v>
      </c>
      <c r="R62" s="577">
        <f t="shared" si="7"/>
        <v>35944093</v>
      </c>
      <c r="S62" s="577">
        <f t="shared" si="7"/>
        <v>0</v>
      </c>
      <c r="T62" s="577">
        <f t="shared" si="7"/>
        <v>0</v>
      </c>
      <c r="U62" s="577">
        <f t="shared" si="7"/>
        <v>0</v>
      </c>
      <c r="V62" s="577">
        <f t="shared" si="7"/>
        <v>0</v>
      </c>
      <c r="W62" s="577">
        <f t="shared" si="7"/>
        <v>0</v>
      </c>
      <c r="X62" s="577">
        <f t="shared" si="7"/>
        <v>0</v>
      </c>
      <c r="Y62" s="577">
        <f t="shared" si="7"/>
        <v>0</v>
      </c>
      <c r="Z62" s="577">
        <f t="shared" si="7"/>
        <v>0</v>
      </c>
      <c r="AA62" s="577">
        <f t="shared" si="7"/>
        <v>0</v>
      </c>
      <c r="AB62" s="577">
        <f t="shared" si="7"/>
        <v>0</v>
      </c>
      <c r="AC62" s="577">
        <f t="shared" si="7"/>
        <v>0</v>
      </c>
      <c r="AD62" s="565">
        <f t="shared" si="6"/>
        <v>215215631</v>
      </c>
      <c r="AE62" s="565"/>
    </row>
    <row r="63" spans="1:31" ht="13.2">
      <c r="A63" s="578" t="s">
        <v>789</v>
      </c>
      <c r="B63" s="579"/>
      <c r="C63" s="580"/>
      <c r="D63" s="580"/>
      <c r="E63" s="580"/>
      <c r="F63" s="580"/>
      <c r="G63" s="580"/>
      <c r="H63" s="580"/>
      <c r="I63" s="580"/>
      <c r="J63" s="580"/>
      <c r="K63" s="580"/>
      <c r="L63" s="580"/>
      <c r="M63" s="580"/>
      <c r="N63" s="580"/>
      <c r="O63" s="580"/>
      <c r="P63" s="580"/>
      <c r="Q63" s="580"/>
      <c r="R63" s="580"/>
      <c r="S63" s="580"/>
      <c r="T63" s="580"/>
      <c r="U63" s="580"/>
      <c r="V63" s="580"/>
      <c r="W63" s="580"/>
      <c r="X63" s="580"/>
      <c r="Y63" s="580"/>
      <c r="Z63" s="580"/>
      <c r="AA63" s="580"/>
      <c r="AB63" s="580"/>
      <c r="AC63" s="580"/>
      <c r="AD63" s="581">
        <f t="shared" si="6"/>
        <v>0</v>
      </c>
      <c r="AE63" s="581"/>
    </row>
    <row r="64" spans="1:31" ht="13.2">
      <c r="A64" s="515" t="s">
        <v>790</v>
      </c>
      <c r="B64" s="165"/>
      <c r="C64" s="521"/>
      <c r="D64" s="165"/>
      <c r="E64" s="165">
        <v>600000</v>
      </c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5"/>
      <c r="AD64" s="522">
        <f t="shared" si="6"/>
        <v>600000</v>
      </c>
      <c r="AE64" s="522"/>
    </row>
    <row r="65" spans="1:31" ht="13.2">
      <c r="A65" s="515" t="s">
        <v>791</v>
      </c>
      <c r="B65" s="521"/>
      <c r="C65" s="521">
        <v>36000</v>
      </c>
      <c r="D65" s="165">
        <v>48000</v>
      </c>
      <c r="E65" s="521">
        <v>36000</v>
      </c>
      <c r="F65" s="521">
        <v>48000</v>
      </c>
      <c r="G65" s="521">
        <v>48000</v>
      </c>
      <c r="H65" s="165">
        <v>96000</v>
      </c>
      <c r="I65" s="165"/>
      <c r="J65" s="521">
        <v>48000</v>
      </c>
      <c r="K65" s="521">
        <v>36000</v>
      </c>
      <c r="L65" s="521">
        <v>48000</v>
      </c>
      <c r="M65" s="521">
        <v>48000</v>
      </c>
      <c r="N65" s="521">
        <v>48000</v>
      </c>
      <c r="O65" s="165">
        <v>96000</v>
      </c>
      <c r="P65" s="521"/>
      <c r="Q65" s="521">
        <v>60000</v>
      </c>
      <c r="R65" s="521">
        <v>54000</v>
      </c>
      <c r="S65" s="521"/>
      <c r="T65" s="521"/>
      <c r="U65" s="165"/>
      <c r="V65" s="165"/>
      <c r="W65" s="521"/>
      <c r="X65" s="521"/>
      <c r="Y65" s="165"/>
      <c r="Z65" s="165"/>
      <c r="AA65" s="521"/>
      <c r="AB65" s="165"/>
      <c r="AC65" s="165"/>
      <c r="AD65" s="522">
        <f t="shared" si="6"/>
        <v>750000</v>
      </c>
      <c r="AE65" s="522"/>
    </row>
    <row r="66" spans="1:31" ht="13.2">
      <c r="A66" s="515" t="s">
        <v>792</v>
      </c>
      <c r="B66" s="165">
        <v>24000</v>
      </c>
      <c r="C66" s="165">
        <v>24000</v>
      </c>
      <c r="D66" s="165">
        <v>24000</v>
      </c>
      <c r="E66" s="165">
        <v>12000</v>
      </c>
      <c r="F66" s="165">
        <v>12000</v>
      </c>
      <c r="G66" s="165">
        <v>12000</v>
      </c>
      <c r="H66" s="165">
        <v>24000</v>
      </c>
      <c r="I66" s="165"/>
      <c r="J66" s="165">
        <v>12000</v>
      </c>
      <c r="K66" s="165"/>
      <c r="L66" s="165"/>
      <c r="M66" s="165"/>
      <c r="N66" s="165">
        <v>12000</v>
      </c>
      <c r="O66" s="165">
        <v>24000</v>
      </c>
      <c r="P66" s="165"/>
      <c r="Q66" s="165">
        <v>24000</v>
      </c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522">
        <f t="shared" si="6"/>
        <v>204000</v>
      </c>
      <c r="AE66" s="522"/>
    </row>
    <row r="67" spans="1:31" ht="13.2">
      <c r="A67" s="515" t="s">
        <v>793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>
        <v>4231480</v>
      </c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522"/>
      <c r="AE67" s="522"/>
    </row>
    <row r="68" spans="1:31" ht="13.2">
      <c r="A68" s="515" t="s">
        <v>794</v>
      </c>
      <c r="B68" s="165"/>
      <c r="C68" s="165">
        <v>98350</v>
      </c>
      <c r="D68" s="165"/>
      <c r="E68" s="165">
        <v>22400</v>
      </c>
      <c r="F68" s="165"/>
      <c r="G68" s="165">
        <v>7000</v>
      </c>
      <c r="H68" s="165">
        <v>22000</v>
      </c>
      <c r="I68" s="165"/>
      <c r="J68" s="165">
        <v>12100</v>
      </c>
      <c r="K68" s="521"/>
      <c r="L68" s="165"/>
      <c r="M68" s="165"/>
      <c r="N68" s="521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522">
        <f t="shared" ref="AD68:AD81" si="8">SUM(B68:AC68)</f>
        <v>161850</v>
      </c>
      <c r="AE68" s="522"/>
    </row>
    <row r="69" spans="1:31" ht="13.2">
      <c r="A69" s="515" t="s">
        <v>795</v>
      </c>
      <c r="B69" s="165"/>
      <c r="C69" s="165"/>
      <c r="D69" s="165"/>
      <c r="E69" s="165"/>
      <c r="F69" s="165"/>
      <c r="G69" s="165"/>
      <c r="H69" s="165"/>
      <c r="I69" s="165"/>
      <c r="J69" s="165">
        <v>2766300</v>
      </c>
      <c r="K69" s="521"/>
      <c r="L69" s="165"/>
      <c r="M69" s="521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522">
        <f t="shared" si="8"/>
        <v>2766300</v>
      </c>
      <c r="AE69" s="522"/>
    </row>
    <row r="70" spans="1:31" ht="13.2">
      <c r="A70" s="515" t="s">
        <v>796</v>
      </c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521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522">
        <f t="shared" si="8"/>
        <v>0</v>
      </c>
      <c r="AE70" s="522"/>
    </row>
    <row r="71" spans="1:31" ht="13.2">
      <c r="A71" s="515" t="s">
        <v>797</v>
      </c>
      <c r="B71" s="165">
        <v>50000</v>
      </c>
      <c r="C71" s="165">
        <v>70000</v>
      </c>
      <c r="D71" s="165"/>
      <c r="E71" s="165"/>
      <c r="F71" s="165"/>
      <c r="G71" s="521">
        <v>175000</v>
      </c>
      <c r="H71" s="165"/>
      <c r="I71" s="165"/>
      <c r="J71" s="165">
        <v>200000</v>
      </c>
      <c r="K71" s="165"/>
      <c r="L71" s="165"/>
      <c r="M71" s="165"/>
      <c r="N71" s="165"/>
      <c r="O71" s="165">
        <v>160000</v>
      </c>
      <c r="P71" s="165"/>
      <c r="Q71" s="165"/>
      <c r="R71" s="165"/>
      <c r="S71" s="521"/>
      <c r="T71" s="165"/>
      <c r="U71" s="165"/>
      <c r="V71" s="165"/>
      <c r="W71" s="165"/>
      <c r="X71" s="165"/>
      <c r="Y71" s="521"/>
      <c r="Z71" s="521"/>
      <c r="AA71" s="165"/>
      <c r="AB71" s="521"/>
      <c r="AC71" s="165"/>
      <c r="AD71" s="522">
        <f t="shared" si="8"/>
        <v>655000</v>
      </c>
      <c r="AE71" s="522"/>
    </row>
    <row r="72" spans="1:31" ht="13.2">
      <c r="A72" s="515" t="s">
        <v>798</v>
      </c>
      <c r="B72" s="165"/>
      <c r="C72" s="165"/>
      <c r="D72" s="165">
        <v>500000</v>
      </c>
      <c r="E72" s="165"/>
      <c r="F72" s="165">
        <v>500000</v>
      </c>
      <c r="G72" s="165"/>
      <c r="H72" s="165">
        <v>500000</v>
      </c>
      <c r="I72" s="165"/>
      <c r="J72" s="165"/>
      <c r="K72" s="165">
        <v>400000</v>
      </c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522">
        <f t="shared" si="8"/>
        <v>1900000</v>
      </c>
      <c r="AE72" s="522"/>
    </row>
    <row r="73" spans="1:31" ht="13.2">
      <c r="A73" s="515" t="s">
        <v>799</v>
      </c>
      <c r="B73" s="521"/>
      <c r="C73" s="521"/>
      <c r="D73" s="165"/>
      <c r="E73" s="165">
        <v>26000</v>
      </c>
      <c r="F73" s="165"/>
      <c r="G73" s="165"/>
      <c r="H73" s="165"/>
      <c r="I73" s="165"/>
      <c r="J73" s="165"/>
      <c r="K73" s="521"/>
      <c r="L73" s="521"/>
      <c r="M73" s="521"/>
      <c r="N73" s="521"/>
      <c r="O73" s="165"/>
      <c r="P73" s="521"/>
      <c r="Q73" s="521">
        <v>12000</v>
      </c>
      <c r="R73" s="521"/>
      <c r="S73" s="165"/>
      <c r="T73" s="165"/>
      <c r="U73" s="165"/>
      <c r="V73" s="165"/>
      <c r="W73" s="165"/>
      <c r="X73" s="165"/>
      <c r="Y73" s="165"/>
      <c r="Z73" s="165"/>
      <c r="AA73" s="165"/>
      <c r="AB73" s="521"/>
      <c r="AC73" s="165"/>
      <c r="AD73" s="522">
        <f t="shared" si="8"/>
        <v>38000</v>
      </c>
      <c r="AE73" s="522"/>
    </row>
    <row r="74" spans="1:31" ht="13.2">
      <c r="A74" s="515" t="s">
        <v>800</v>
      </c>
      <c r="B74" s="165"/>
      <c r="C74" s="165"/>
      <c r="D74" s="165">
        <v>856970</v>
      </c>
      <c r="E74" s="521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522">
        <f t="shared" si="8"/>
        <v>856970</v>
      </c>
      <c r="AE74" s="522"/>
    </row>
    <row r="75" spans="1:31" ht="13.2">
      <c r="A75" s="515" t="s">
        <v>801</v>
      </c>
      <c r="B75" s="165"/>
      <c r="C75" s="165">
        <v>3500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521"/>
      <c r="W75" s="165"/>
      <c r="X75" s="521"/>
      <c r="Y75" s="165"/>
      <c r="Z75" s="165"/>
      <c r="AA75" s="165"/>
      <c r="AB75" s="165"/>
      <c r="AC75" s="165"/>
      <c r="AD75" s="522">
        <f t="shared" si="8"/>
        <v>3500</v>
      </c>
      <c r="AE75" s="522"/>
    </row>
    <row r="76" spans="1:31" ht="13.2">
      <c r="A76" s="515" t="s">
        <v>802</v>
      </c>
      <c r="B76" s="165"/>
      <c r="C76" s="165"/>
      <c r="D76" s="165"/>
      <c r="E76" s="521"/>
      <c r="F76" s="165">
        <v>59500</v>
      </c>
      <c r="G76" s="165"/>
      <c r="H76" s="165"/>
      <c r="I76" s="165"/>
      <c r="J76" s="165">
        <v>124000</v>
      </c>
      <c r="K76" s="165"/>
      <c r="L76" s="165"/>
      <c r="M76" s="165"/>
      <c r="N76" s="165"/>
      <c r="O76" s="165"/>
      <c r="P76" s="521"/>
      <c r="Q76" s="165"/>
      <c r="R76" s="165"/>
      <c r="S76" s="165"/>
      <c r="T76" s="165"/>
      <c r="U76" s="521"/>
      <c r="V76" s="165"/>
      <c r="W76" s="165"/>
      <c r="X76" s="165"/>
      <c r="Y76" s="165"/>
      <c r="Z76" s="165"/>
      <c r="AA76" s="165"/>
      <c r="AB76" s="165"/>
      <c r="AC76" s="521"/>
      <c r="AD76" s="522">
        <f t="shared" si="8"/>
        <v>183500</v>
      </c>
      <c r="AE76" s="522"/>
    </row>
    <row r="77" spans="1:31" ht="13.2">
      <c r="A77" s="515" t="s">
        <v>803</v>
      </c>
      <c r="B77" s="165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521">
        <v>4088000</v>
      </c>
      <c r="N77" s="165"/>
      <c r="O77" s="165"/>
      <c r="P77" s="165"/>
      <c r="Q77" s="165">
        <v>89000</v>
      </c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5"/>
      <c r="AC77" s="165"/>
      <c r="AD77" s="522">
        <f t="shared" si="8"/>
        <v>4177000</v>
      </c>
      <c r="AE77" s="522"/>
    </row>
    <row r="78" spans="1:31" ht="13.2">
      <c r="A78" s="515" t="s">
        <v>804</v>
      </c>
      <c r="B78" s="165"/>
      <c r="C78" s="165"/>
      <c r="D78" s="165"/>
      <c r="E78" s="165"/>
      <c r="F78" s="165"/>
      <c r="G78" s="165"/>
      <c r="H78" s="165"/>
      <c r="I78" s="165"/>
      <c r="J78" s="165"/>
      <c r="K78" s="165"/>
      <c r="L78" s="165">
        <f>80000+237300</f>
        <v>317300</v>
      </c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5"/>
      <c r="AB78" s="165"/>
      <c r="AC78" s="165"/>
      <c r="AD78" s="522">
        <f t="shared" si="8"/>
        <v>317300</v>
      </c>
      <c r="AE78" s="522"/>
    </row>
    <row r="79" spans="1:31" ht="13.2">
      <c r="A79" s="515" t="s">
        <v>805</v>
      </c>
      <c r="B79" s="165"/>
      <c r="C79" s="165"/>
      <c r="D79" s="165"/>
      <c r="E79" s="165"/>
      <c r="F79" s="165"/>
      <c r="G79" s="165">
        <v>300000</v>
      </c>
      <c r="H79" s="165"/>
      <c r="I79" s="165"/>
      <c r="J79" s="165">
        <v>300000</v>
      </c>
      <c r="K79" s="165"/>
      <c r="L79" s="165"/>
      <c r="M79" s="521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522">
        <f t="shared" si="8"/>
        <v>600000</v>
      </c>
      <c r="AE79" s="522"/>
    </row>
    <row r="80" spans="1:31" ht="13.2">
      <c r="A80" s="515" t="s">
        <v>121</v>
      </c>
      <c r="B80" s="165"/>
      <c r="C80" s="165"/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>
        <v>4870500</v>
      </c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522">
        <f t="shared" si="8"/>
        <v>4870500</v>
      </c>
      <c r="AE80" s="522"/>
    </row>
    <row r="81" spans="1:31" ht="13.2">
      <c r="A81" s="515" t="s">
        <v>806</v>
      </c>
      <c r="B81" s="521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521">
        <v>100000</v>
      </c>
      <c r="N81" s="165"/>
      <c r="O81" s="165"/>
      <c r="P81" s="165"/>
      <c r="Q81" s="165"/>
      <c r="R81" s="521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522">
        <f t="shared" si="8"/>
        <v>100000</v>
      </c>
      <c r="AE81" s="522"/>
    </row>
    <row r="82" spans="1:31" ht="13.2">
      <c r="A82" s="515" t="s">
        <v>807</v>
      </c>
      <c r="B82" s="165"/>
      <c r="C82" s="165"/>
      <c r="D82" s="165"/>
      <c r="E82" s="521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>
        <v>65400</v>
      </c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8"/>
      <c r="AE82" s="8"/>
    </row>
    <row r="83" spans="1:31" ht="13.2">
      <c r="A83" s="515" t="s">
        <v>808</v>
      </c>
      <c r="B83" s="165"/>
      <c r="C83" s="521">
        <v>56000</v>
      </c>
      <c r="D83" s="165"/>
      <c r="E83" s="521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521"/>
      <c r="R83" s="165"/>
      <c r="S83" s="165"/>
      <c r="T83" s="165"/>
      <c r="U83" s="521"/>
      <c r="V83" s="165"/>
      <c r="W83" s="165"/>
      <c r="X83" s="165"/>
      <c r="Y83" s="165"/>
      <c r="Z83" s="165"/>
      <c r="AA83" s="165"/>
      <c r="AB83" s="165"/>
      <c r="AC83" s="165"/>
      <c r="AD83" s="522">
        <f t="shared" ref="AD83:AD103" si="9">SUM(B83:AC83)</f>
        <v>56000</v>
      </c>
      <c r="AE83" s="522"/>
    </row>
    <row r="84" spans="1:31" ht="13.2">
      <c r="A84" s="515" t="s">
        <v>809</v>
      </c>
      <c r="B84" s="521"/>
      <c r="C84" s="521">
        <v>108000</v>
      </c>
      <c r="D84" s="165">
        <v>10800</v>
      </c>
      <c r="E84" s="165">
        <v>9600</v>
      </c>
      <c r="F84" s="521"/>
      <c r="G84" s="165"/>
      <c r="H84" s="521"/>
      <c r="I84" s="165"/>
      <c r="J84" s="165"/>
      <c r="K84" s="165"/>
      <c r="L84" s="521">
        <v>9600</v>
      </c>
      <c r="M84" s="521">
        <v>13200</v>
      </c>
      <c r="N84" s="521">
        <v>10800</v>
      </c>
      <c r="O84" s="165">
        <v>13200</v>
      </c>
      <c r="P84" s="521"/>
      <c r="Q84" s="165"/>
      <c r="R84" s="165"/>
      <c r="S84" s="165"/>
      <c r="T84" s="165"/>
      <c r="U84" s="165"/>
      <c r="V84" s="165"/>
      <c r="W84" s="521"/>
      <c r="X84" s="521"/>
      <c r="Y84" s="165"/>
      <c r="Z84" s="165"/>
      <c r="AA84" s="165"/>
      <c r="AB84" s="165"/>
      <c r="AC84" s="165"/>
      <c r="AD84" s="522">
        <f t="shared" si="9"/>
        <v>175200</v>
      </c>
      <c r="AE84" s="522"/>
    </row>
    <row r="85" spans="1:31" ht="13.2">
      <c r="A85" s="582" t="s">
        <v>430</v>
      </c>
      <c r="B85" s="583">
        <f t="shared" ref="B85:AC85" si="10">SUM(B64:B84)</f>
        <v>74000</v>
      </c>
      <c r="C85" s="583">
        <f t="shared" si="10"/>
        <v>395850</v>
      </c>
      <c r="D85" s="583">
        <f t="shared" si="10"/>
        <v>1439770</v>
      </c>
      <c r="E85" s="583">
        <f t="shared" si="10"/>
        <v>706000</v>
      </c>
      <c r="F85" s="583">
        <f t="shared" si="10"/>
        <v>619500</v>
      </c>
      <c r="G85" s="583">
        <f t="shared" si="10"/>
        <v>542000</v>
      </c>
      <c r="H85" s="583">
        <f t="shared" si="10"/>
        <v>642000</v>
      </c>
      <c r="I85" s="583">
        <f t="shared" si="10"/>
        <v>0</v>
      </c>
      <c r="J85" s="583">
        <f t="shared" si="10"/>
        <v>3462400</v>
      </c>
      <c r="K85" s="583">
        <f t="shared" si="10"/>
        <v>436000</v>
      </c>
      <c r="L85" s="583">
        <f t="shared" si="10"/>
        <v>4606380</v>
      </c>
      <c r="M85" s="583">
        <f t="shared" si="10"/>
        <v>4249200</v>
      </c>
      <c r="N85" s="583">
        <f t="shared" si="10"/>
        <v>70800</v>
      </c>
      <c r="O85" s="583">
        <f t="shared" si="10"/>
        <v>5163700</v>
      </c>
      <c r="P85" s="583">
        <f t="shared" si="10"/>
        <v>0</v>
      </c>
      <c r="Q85" s="583">
        <f t="shared" si="10"/>
        <v>250400</v>
      </c>
      <c r="R85" s="583">
        <f t="shared" si="10"/>
        <v>54000</v>
      </c>
      <c r="S85" s="583">
        <f t="shared" si="10"/>
        <v>0</v>
      </c>
      <c r="T85" s="583">
        <f t="shared" si="10"/>
        <v>0</v>
      </c>
      <c r="U85" s="583">
        <f t="shared" si="10"/>
        <v>0</v>
      </c>
      <c r="V85" s="583">
        <f t="shared" si="10"/>
        <v>0</v>
      </c>
      <c r="W85" s="583">
        <f t="shared" si="10"/>
        <v>0</v>
      </c>
      <c r="X85" s="583">
        <f t="shared" si="10"/>
        <v>0</v>
      </c>
      <c r="Y85" s="583">
        <f t="shared" si="10"/>
        <v>0</v>
      </c>
      <c r="Z85" s="583">
        <f t="shared" si="10"/>
        <v>0</v>
      </c>
      <c r="AA85" s="583">
        <f t="shared" si="10"/>
        <v>0</v>
      </c>
      <c r="AB85" s="583">
        <f t="shared" si="10"/>
        <v>0</v>
      </c>
      <c r="AC85" s="583">
        <f t="shared" si="10"/>
        <v>0</v>
      </c>
      <c r="AD85" s="584">
        <f t="shared" si="9"/>
        <v>22712000</v>
      </c>
      <c r="AE85" s="584"/>
    </row>
    <row r="86" spans="1:31" ht="13.2">
      <c r="A86" s="585" t="s">
        <v>810</v>
      </c>
      <c r="B86" s="586"/>
      <c r="C86" s="587"/>
      <c r="D86" s="587"/>
      <c r="E86" s="587"/>
      <c r="F86" s="587"/>
      <c r="G86" s="587"/>
      <c r="H86" s="587"/>
      <c r="I86" s="587"/>
      <c r="J86" s="587"/>
      <c r="K86" s="587"/>
      <c r="L86" s="587"/>
      <c r="M86" s="587"/>
      <c r="N86" s="587"/>
      <c r="O86" s="587"/>
      <c r="P86" s="587"/>
      <c r="Q86" s="587"/>
      <c r="R86" s="587"/>
      <c r="S86" s="587"/>
      <c r="T86" s="587"/>
      <c r="U86" s="587"/>
      <c r="V86" s="587"/>
      <c r="W86" s="587"/>
      <c r="X86" s="587"/>
      <c r="Y86" s="587"/>
      <c r="Z86" s="587"/>
      <c r="AA86" s="587"/>
      <c r="AB86" s="587"/>
      <c r="AC86" s="587"/>
      <c r="AD86" s="588">
        <f t="shared" si="9"/>
        <v>0</v>
      </c>
      <c r="AE86" s="588"/>
    </row>
    <row r="87" spans="1:31" ht="13.2">
      <c r="A87" s="589" t="s">
        <v>811</v>
      </c>
      <c r="B87" s="590"/>
      <c r="C87" s="591"/>
      <c r="D87" s="592"/>
      <c r="E87" s="591"/>
      <c r="F87" s="592"/>
      <c r="G87" s="592"/>
      <c r="H87" s="592"/>
      <c r="I87" s="592"/>
      <c r="J87" s="591"/>
      <c r="K87" s="591"/>
      <c r="L87" s="591"/>
      <c r="M87" s="591"/>
      <c r="N87" s="591"/>
      <c r="O87" s="591"/>
      <c r="P87" s="591"/>
      <c r="Q87" s="591"/>
      <c r="R87" s="591"/>
      <c r="S87" s="591"/>
      <c r="T87" s="591"/>
      <c r="U87" s="591"/>
      <c r="V87" s="591"/>
      <c r="W87" s="591"/>
      <c r="X87" s="591"/>
      <c r="Y87" s="591"/>
      <c r="Z87" s="591"/>
      <c r="AA87" s="591"/>
      <c r="AB87" s="591"/>
      <c r="AC87" s="591"/>
      <c r="AD87" s="522">
        <f t="shared" si="9"/>
        <v>0</v>
      </c>
      <c r="AE87" s="522"/>
    </row>
    <row r="88" spans="1:31" ht="13.2">
      <c r="A88" s="593" t="s">
        <v>812</v>
      </c>
      <c r="B88" s="594"/>
      <c r="C88" s="595"/>
      <c r="D88" s="596"/>
      <c r="E88" s="595">
        <v>7500</v>
      </c>
      <c r="F88" s="596"/>
      <c r="G88" s="595"/>
      <c r="H88" s="595"/>
      <c r="I88" s="595"/>
      <c r="J88" s="595">
        <v>14300</v>
      </c>
      <c r="K88" s="595"/>
      <c r="L88" s="595"/>
      <c r="M88" s="596"/>
      <c r="N88" s="596">
        <v>16500</v>
      </c>
      <c r="O88" s="595">
        <v>26000</v>
      </c>
      <c r="P88" s="596">
        <v>26000</v>
      </c>
      <c r="Q88" s="595">
        <v>28000</v>
      </c>
      <c r="R88" s="595"/>
      <c r="S88" s="596"/>
      <c r="T88" s="596"/>
      <c r="U88" s="595"/>
      <c r="V88" s="595"/>
      <c r="W88" s="596"/>
      <c r="X88" s="595"/>
      <c r="Y88" s="595"/>
      <c r="Z88" s="595"/>
      <c r="AA88" s="595"/>
      <c r="AB88" s="595"/>
      <c r="AC88" s="595"/>
      <c r="AD88" s="522">
        <f t="shared" si="9"/>
        <v>118300</v>
      </c>
      <c r="AE88" s="522"/>
    </row>
    <row r="89" spans="1:31" ht="13.2">
      <c r="A89" s="597" t="s">
        <v>813</v>
      </c>
      <c r="B89" s="598">
        <v>45000</v>
      </c>
      <c r="C89" s="599"/>
      <c r="D89" s="599">
        <v>27500</v>
      </c>
      <c r="E89" s="599">
        <v>67000</v>
      </c>
      <c r="F89" s="599"/>
      <c r="G89" s="599">
        <v>43000</v>
      </c>
      <c r="H89" s="599"/>
      <c r="I89" s="599">
        <v>6000</v>
      </c>
      <c r="J89" s="599">
        <v>36000</v>
      </c>
      <c r="K89" s="599"/>
      <c r="L89" s="599"/>
      <c r="M89" s="599"/>
      <c r="N89" s="599"/>
      <c r="O89" s="599"/>
      <c r="P89" s="599"/>
      <c r="Q89" s="599"/>
      <c r="R89" s="599"/>
      <c r="S89" s="599"/>
      <c r="T89" s="599"/>
      <c r="U89" s="599"/>
      <c r="V89" s="599"/>
      <c r="W89" s="599"/>
      <c r="X89" s="599"/>
      <c r="Y89" s="599"/>
      <c r="Z89" s="599"/>
      <c r="AA89" s="599"/>
      <c r="AB89" s="599"/>
      <c r="AC89" s="599"/>
      <c r="AD89" s="522">
        <f t="shared" si="9"/>
        <v>224500</v>
      </c>
      <c r="AE89" s="522"/>
    </row>
    <row r="90" spans="1:31" ht="13.2">
      <c r="A90" s="600" t="s">
        <v>430</v>
      </c>
      <c r="B90" s="601">
        <f t="shared" ref="B90:AC90" si="11">SUM(B87:B89)</f>
        <v>45000</v>
      </c>
      <c r="C90" s="602">
        <f t="shared" si="11"/>
        <v>0</v>
      </c>
      <c r="D90" s="602">
        <f t="shared" si="11"/>
        <v>27500</v>
      </c>
      <c r="E90" s="602">
        <f t="shared" si="11"/>
        <v>74500</v>
      </c>
      <c r="F90" s="602">
        <f t="shared" si="11"/>
        <v>0</v>
      </c>
      <c r="G90" s="602">
        <f t="shared" si="11"/>
        <v>43000</v>
      </c>
      <c r="H90" s="602">
        <f t="shared" si="11"/>
        <v>0</v>
      </c>
      <c r="I90" s="602">
        <f t="shared" si="11"/>
        <v>6000</v>
      </c>
      <c r="J90" s="602">
        <f t="shared" si="11"/>
        <v>50300</v>
      </c>
      <c r="K90" s="602">
        <f t="shared" si="11"/>
        <v>0</v>
      </c>
      <c r="L90" s="602">
        <f t="shared" si="11"/>
        <v>0</v>
      </c>
      <c r="M90" s="602">
        <f t="shared" si="11"/>
        <v>0</v>
      </c>
      <c r="N90" s="602">
        <f t="shared" si="11"/>
        <v>16500</v>
      </c>
      <c r="O90" s="602">
        <f t="shared" si="11"/>
        <v>26000</v>
      </c>
      <c r="P90" s="602">
        <f t="shared" si="11"/>
        <v>26000</v>
      </c>
      <c r="Q90" s="602">
        <f t="shared" si="11"/>
        <v>28000</v>
      </c>
      <c r="R90" s="602">
        <f t="shared" si="11"/>
        <v>0</v>
      </c>
      <c r="S90" s="602">
        <f t="shared" si="11"/>
        <v>0</v>
      </c>
      <c r="T90" s="602">
        <f t="shared" si="11"/>
        <v>0</v>
      </c>
      <c r="U90" s="602">
        <f t="shared" si="11"/>
        <v>0</v>
      </c>
      <c r="V90" s="602">
        <f t="shared" si="11"/>
        <v>0</v>
      </c>
      <c r="W90" s="602">
        <f t="shared" si="11"/>
        <v>0</v>
      </c>
      <c r="X90" s="602">
        <f t="shared" si="11"/>
        <v>0</v>
      </c>
      <c r="Y90" s="602">
        <f t="shared" si="11"/>
        <v>0</v>
      </c>
      <c r="Z90" s="602">
        <f t="shared" si="11"/>
        <v>0</v>
      </c>
      <c r="AA90" s="602">
        <f t="shared" si="11"/>
        <v>0</v>
      </c>
      <c r="AB90" s="602">
        <f t="shared" si="11"/>
        <v>0</v>
      </c>
      <c r="AC90" s="602">
        <f t="shared" si="11"/>
        <v>0</v>
      </c>
      <c r="AD90" s="603">
        <f t="shared" si="9"/>
        <v>342800</v>
      </c>
      <c r="AE90" s="603"/>
    </row>
    <row r="91" spans="1:31" ht="13.2">
      <c r="A91" s="604" t="s">
        <v>814</v>
      </c>
      <c r="B91" s="605"/>
      <c r="C91" s="606"/>
      <c r="D91" s="606"/>
      <c r="E91" s="606"/>
      <c r="F91" s="606"/>
      <c r="G91" s="606"/>
      <c r="H91" s="606"/>
      <c r="I91" s="606"/>
      <c r="J91" s="606"/>
      <c r="K91" s="606"/>
      <c r="L91" s="606"/>
      <c r="M91" s="606"/>
      <c r="N91" s="606"/>
      <c r="O91" s="606"/>
      <c r="P91" s="606"/>
      <c r="Q91" s="606"/>
      <c r="R91" s="606"/>
      <c r="S91" s="606"/>
      <c r="T91" s="606"/>
      <c r="U91" s="606"/>
      <c r="V91" s="606"/>
      <c r="W91" s="606"/>
      <c r="X91" s="606"/>
      <c r="Y91" s="606"/>
      <c r="Z91" s="606"/>
      <c r="AA91" s="606"/>
      <c r="AB91" s="606"/>
      <c r="AC91" s="606"/>
      <c r="AD91" s="545">
        <f t="shared" si="9"/>
        <v>0</v>
      </c>
      <c r="AE91" s="545"/>
    </row>
    <row r="92" spans="1:31" ht="13.2">
      <c r="A92" s="515" t="s">
        <v>815</v>
      </c>
      <c r="B92" s="521">
        <v>141000</v>
      </c>
      <c r="C92" s="165">
        <v>12000</v>
      </c>
      <c r="D92" s="521"/>
      <c r="E92" s="521">
        <v>18000</v>
      </c>
      <c r="F92" s="521">
        <v>12000</v>
      </c>
      <c r="G92" s="521">
        <v>12000</v>
      </c>
      <c r="H92" s="165"/>
      <c r="I92" s="521"/>
      <c r="J92" s="521">
        <v>12000</v>
      </c>
      <c r="K92" s="521">
        <v>138000</v>
      </c>
      <c r="L92" s="521">
        <v>60000</v>
      </c>
      <c r="M92" s="165">
        <v>24000</v>
      </c>
      <c r="N92" s="521">
        <f>12000</f>
        <v>12000</v>
      </c>
      <c r="O92" s="165"/>
      <c r="P92" s="521">
        <v>36000</v>
      </c>
      <c r="Q92" s="521">
        <v>108000</v>
      </c>
      <c r="R92" s="521">
        <v>156000</v>
      </c>
      <c r="S92" s="521"/>
      <c r="T92" s="521"/>
      <c r="U92" s="521"/>
      <c r="V92" s="521"/>
      <c r="W92" s="521"/>
      <c r="X92" s="165"/>
      <c r="Y92" s="521"/>
      <c r="Z92" s="521"/>
      <c r="AA92" s="521"/>
      <c r="AB92" s="521"/>
      <c r="AC92" s="521"/>
      <c r="AD92" s="522">
        <f t="shared" si="9"/>
        <v>741000</v>
      </c>
      <c r="AE92" s="522"/>
    </row>
    <row r="93" spans="1:31" ht="13.2">
      <c r="A93" s="515" t="s">
        <v>816</v>
      </c>
      <c r="B93" s="165"/>
      <c r="C93" s="165"/>
      <c r="D93" s="165"/>
      <c r="E93" s="165"/>
      <c r="F93" s="165"/>
      <c r="G93" s="165"/>
      <c r="H93" s="165">
        <v>240000</v>
      </c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522">
        <f t="shared" si="9"/>
        <v>240000</v>
      </c>
      <c r="AE93" s="522"/>
    </row>
    <row r="94" spans="1:31" ht="13.2">
      <c r="A94" s="607" t="s">
        <v>754</v>
      </c>
      <c r="B94" s="608">
        <f t="shared" ref="B94:AC94" si="12">B92-B93</f>
        <v>141000</v>
      </c>
      <c r="C94" s="608">
        <f t="shared" si="12"/>
        <v>12000</v>
      </c>
      <c r="D94" s="608">
        <f t="shared" si="12"/>
        <v>0</v>
      </c>
      <c r="E94" s="608">
        <f t="shared" si="12"/>
        <v>18000</v>
      </c>
      <c r="F94" s="608">
        <f t="shared" si="12"/>
        <v>12000</v>
      </c>
      <c r="G94" s="608">
        <f t="shared" si="12"/>
        <v>12000</v>
      </c>
      <c r="H94" s="608">
        <f t="shared" si="12"/>
        <v>-240000</v>
      </c>
      <c r="I94" s="608">
        <f t="shared" si="12"/>
        <v>0</v>
      </c>
      <c r="J94" s="608">
        <f t="shared" si="12"/>
        <v>12000</v>
      </c>
      <c r="K94" s="608">
        <f t="shared" si="12"/>
        <v>138000</v>
      </c>
      <c r="L94" s="608">
        <f t="shared" si="12"/>
        <v>60000</v>
      </c>
      <c r="M94" s="608">
        <f t="shared" si="12"/>
        <v>24000</v>
      </c>
      <c r="N94" s="608">
        <f t="shared" si="12"/>
        <v>12000</v>
      </c>
      <c r="O94" s="608">
        <f t="shared" si="12"/>
        <v>0</v>
      </c>
      <c r="P94" s="608">
        <f t="shared" si="12"/>
        <v>36000</v>
      </c>
      <c r="Q94" s="608">
        <f t="shared" si="12"/>
        <v>108000</v>
      </c>
      <c r="R94" s="608">
        <f t="shared" si="12"/>
        <v>156000</v>
      </c>
      <c r="S94" s="608">
        <f t="shared" si="12"/>
        <v>0</v>
      </c>
      <c r="T94" s="608">
        <f t="shared" si="12"/>
        <v>0</v>
      </c>
      <c r="U94" s="608">
        <f t="shared" si="12"/>
        <v>0</v>
      </c>
      <c r="V94" s="608">
        <f t="shared" si="12"/>
        <v>0</v>
      </c>
      <c r="W94" s="608">
        <f t="shared" si="12"/>
        <v>0</v>
      </c>
      <c r="X94" s="608">
        <f t="shared" si="12"/>
        <v>0</v>
      </c>
      <c r="Y94" s="608">
        <f t="shared" si="12"/>
        <v>0</v>
      </c>
      <c r="Z94" s="608">
        <f t="shared" si="12"/>
        <v>0</v>
      </c>
      <c r="AA94" s="608">
        <f t="shared" si="12"/>
        <v>0</v>
      </c>
      <c r="AB94" s="608">
        <f t="shared" si="12"/>
        <v>0</v>
      </c>
      <c r="AC94" s="608">
        <f t="shared" si="12"/>
        <v>0</v>
      </c>
      <c r="AD94" s="609">
        <f t="shared" si="9"/>
        <v>501000</v>
      </c>
      <c r="AE94" s="609"/>
    </row>
    <row r="95" spans="1:31" ht="13.2">
      <c r="AD95" s="610">
        <f t="shared" si="9"/>
        <v>0</v>
      </c>
    </row>
    <row r="96" spans="1:31" ht="13.2">
      <c r="A96" s="611" t="s">
        <v>817</v>
      </c>
      <c r="B96" s="612"/>
      <c r="C96" s="612"/>
      <c r="D96" s="612"/>
      <c r="E96" s="612"/>
      <c r="F96" s="612"/>
      <c r="G96" s="612"/>
      <c r="H96" s="612"/>
      <c r="I96" s="612"/>
      <c r="J96" s="612"/>
      <c r="K96" s="612"/>
      <c r="L96" s="612"/>
      <c r="M96" s="612"/>
      <c r="N96" s="612"/>
      <c r="O96" s="612">
        <f>150*41500+39000*35</f>
        <v>7590000</v>
      </c>
      <c r="P96" s="612"/>
      <c r="Q96" s="612"/>
      <c r="R96" s="612">
        <v>4698500</v>
      </c>
      <c r="S96" s="612"/>
      <c r="T96" s="612"/>
      <c r="U96" s="612"/>
      <c r="V96" s="612"/>
      <c r="W96" s="612"/>
      <c r="X96" s="612"/>
      <c r="Y96" s="612"/>
      <c r="Z96" s="612"/>
      <c r="AA96" s="612"/>
      <c r="AB96" s="612"/>
      <c r="AC96" s="612"/>
      <c r="AD96" s="610">
        <f t="shared" si="9"/>
        <v>12288500</v>
      </c>
      <c r="AE96" s="613"/>
    </row>
    <row r="97" spans="1:31" ht="22.5" customHeight="1">
      <c r="A97" s="614" t="s">
        <v>818</v>
      </c>
      <c r="B97" s="615">
        <v>18511250</v>
      </c>
      <c r="C97" s="615">
        <v>21536458</v>
      </c>
      <c r="D97" s="615">
        <v>14085683</v>
      </c>
      <c r="E97" s="615">
        <v>19003522</v>
      </c>
      <c r="F97" s="615">
        <v>14758344</v>
      </c>
      <c r="G97" s="615">
        <v>28860000</v>
      </c>
      <c r="H97" s="615">
        <v>41486996</v>
      </c>
      <c r="I97" s="616">
        <v>15692000</v>
      </c>
      <c r="J97" s="616">
        <v>24709275</v>
      </c>
      <c r="K97" s="616">
        <f>25187267-5728991</f>
        <v>19458276</v>
      </c>
      <c r="L97" s="616">
        <v>19132000</v>
      </c>
      <c r="M97" s="616">
        <f>19657496-3478341</f>
        <v>16179155</v>
      </c>
      <c r="N97" s="616">
        <v>32771211</v>
      </c>
      <c r="O97" s="616">
        <v>50412940</v>
      </c>
      <c r="P97" s="616">
        <f>14958848+57500</f>
        <v>15016348</v>
      </c>
      <c r="Q97" s="616">
        <f>23639508-57500</f>
        <v>23582008</v>
      </c>
      <c r="R97" s="616">
        <v>21721752</v>
      </c>
      <c r="S97" s="616"/>
      <c r="T97" s="616"/>
      <c r="U97" s="616"/>
      <c r="V97" s="616"/>
      <c r="W97" s="616"/>
      <c r="X97" s="616"/>
      <c r="Y97" s="616"/>
      <c r="Z97" s="616"/>
      <c r="AA97" s="616"/>
      <c r="AB97" s="616"/>
      <c r="AC97" s="616"/>
      <c r="AD97" s="617">
        <f t="shared" si="9"/>
        <v>396917218</v>
      </c>
      <c r="AE97" s="617"/>
    </row>
    <row r="98" spans="1:31" ht="15.6">
      <c r="A98" s="533" t="s">
        <v>819</v>
      </c>
      <c r="B98" s="618">
        <v>342000</v>
      </c>
      <c r="C98" s="619">
        <f t="shared" ref="C98:N98" si="13">B100</f>
        <v>629500</v>
      </c>
      <c r="D98" s="619">
        <f t="shared" si="13"/>
        <v>3390000</v>
      </c>
      <c r="E98" s="619">
        <f t="shared" si="13"/>
        <v>410200</v>
      </c>
      <c r="F98" s="619">
        <f t="shared" si="13"/>
        <v>412700</v>
      </c>
      <c r="G98" s="619">
        <f t="shared" si="13"/>
        <v>439200</v>
      </c>
      <c r="H98" s="619">
        <f t="shared" si="13"/>
        <v>1436000</v>
      </c>
      <c r="I98" s="619">
        <f t="shared" si="13"/>
        <v>614400</v>
      </c>
      <c r="J98" s="619">
        <f t="shared" si="13"/>
        <v>742900</v>
      </c>
      <c r="K98" s="619">
        <f t="shared" si="13"/>
        <v>647500</v>
      </c>
      <c r="L98" s="619">
        <f t="shared" si="13"/>
        <v>604000</v>
      </c>
      <c r="M98" s="619">
        <f t="shared" si="13"/>
        <v>469500</v>
      </c>
      <c r="N98" s="619">
        <f t="shared" si="13"/>
        <v>695700</v>
      </c>
      <c r="O98" s="619">
        <f>N100+4695000</f>
        <v>5130700</v>
      </c>
      <c r="P98" s="619">
        <f t="shared" ref="P98:S98" si="14">O100</f>
        <v>504700</v>
      </c>
      <c r="Q98" s="619">
        <f t="shared" si="14"/>
        <v>928500</v>
      </c>
      <c r="R98" s="619">
        <f t="shared" si="14"/>
        <v>469400</v>
      </c>
      <c r="S98" s="619">
        <f t="shared" si="14"/>
        <v>591350</v>
      </c>
      <c r="T98" s="619"/>
      <c r="U98" s="535"/>
      <c r="V98" s="619"/>
      <c r="W98" s="619"/>
      <c r="X98" s="619"/>
      <c r="Y98" s="619"/>
      <c r="Z98" s="619"/>
      <c r="AA98" s="535"/>
      <c r="AB98" s="619"/>
      <c r="AC98" s="535"/>
      <c r="AD98" s="536">
        <f t="shared" si="9"/>
        <v>18458250</v>
      </c>
      <c r="AE98" s="536"/>
    </row>
    <row r="99" spans="1:31" ht="13.8">
      <c r="A99" s="620" t="s">
        <v>820</v>
      </c>
      <c r="B99" s="621">
        <f t="shared" ref="B99:AC99" si="15">B26</f>
        <v>5710000</v>
      </c>
      <c r="C99" s="621">
        <f t="shared" si="15"/>
        <v>804750</v>
      </c>
      <c r="D99" s="621">
        <f t="shared" si="15"/>
        <v>0</v>
      </c>
      <c r="E99" s="621">
        <f t="shared" si="15"/>
        <v>1638600</v>
      </c>
      <c r="F99" s="621">
        <f t="shared" si="15"/>
        <v>0</v>
      </c>
      <c r="G99" s="621">
        <f t="shared" si="15"/>
        <v>1506000</v>
      </c>
      <c r="H99" s="621">
        <f t="shared" si="15"/>
        <v>504000</v>
      </c>
      <c r="I99" s="621">
        <f t="shared" si="15"/>
        <v>556000</v>
      </c>
      <c r="J99" s="621">
        <f t="shared" si="15"/>
        <v>12319631</v>
      </c>
      <c r="K99" s="621">
        <f t="shared" si="15"/>
        <v>237000</v>
      </c>
      <c r="L99" s="621">
        <f t="shared" si="15"/>
        <v>3748650</v>
      </c>
      <c r="M99" s="621">
        <f t="shared" si="15"/>
        <v>3207500</v>
      </c>
      <c r="N99" s="621">
        <f t="shared" si="15"/>
        <v>700000</v>
      </c>
      <c r="O99" s="621">
        <f t="shared" si="15"/>
        <v>2328000</v>
      </c>
      <c r="P99" s="621">
        <f t="shared" si="15"/>
        <v>555000</v>
      </c>
      <c r="Q99" s="621">
        <f t="shared" si="15"/>
        <v>4918000</v>
      </c>
      <c r="R99" s="621">
        <f t="shared" si="15"/>
        <v>882000</v>
      </c>
      <c r="S99" s="621">
        <f t="shared" si="15"/>
        <v>0</v>
      </c>
      <c r="T99" s="621">
        <f t="shared" si="15"/>
        <v>0</v>
      </c>
      <c r="U99" s="621">
        <f t="shared" si="15"/>
        <v>0</v>
      </c>
      <c r="V99" s="621">
        <f t="shared" si="15"/>
        <v>0</v>
      </c>
      <c r="W99" s="621">
        <f t="shared" si="15"/>
        <v>0</v>
      </c>
      <c r="X99" s="621">
        <f t="shared" si="15"/>
        <v>0</v>
      </c>
      <c r="Y99" s="621">
        <f t="shared" si="15"/>
        <v>0</v>
      </c>
      <c r="Z99" s="621">
        <f t="shared" si="15"/>
        <v>0</v>
      </c>
      <c r="AA99" s="621">
        <f t="shared" si="15"/>
        <v>0</v>
      </c>
      <c r="AB99" s="621">
        <f t="shared" si="15"/>
        <v>0</v>
      </c>
      <c r="AC99" s="621">
        <f t="shared" si="15"/>
        <v>0</v>
      </c>
      <c r="AD99" s="622">
        <f t="shared" si="9"/>
        <v>39615131</v>
      </c>
      <c r="AE99" s="622"/>
    </row>
    <row r="100" spans="1:31" ht="13.8">
      <c r="A100" s="515" t="s">
        <v>821</v>
      </c>
      <c r="B100" s="623">
        <v>629500</v>
      </c>
      <c r="C100" s="521">
        <f>390000+3000000</f>
        <v>3390000</v>
      </c>
      <c r="D100" s="521">
        <v>410200</v>
      </c>
      <c r="E100" s="521">
        <v>412700</v>
      </c>
      <c r="F100" s="521">
        <v>439200</v>
      </c>
      <c r="G100" s="521">
        <v>1436000</v>
      </c>
      <c r="H100" s="521">
        <v>614400</v>
      </c>
      <c r="I100" s="521">
        <v>742900</v>
      </c>
      <c r="J100" s="521">
        <v>647500</v>
      </c>
      <c r="K100" s="521">
        <v>604000</v>
      </c>
      <c r="L100" s="521">
        <v>469500</v>
      </c>
      <c r="M100" s="521">
        <f>353700+342000</f>
        <v>695700</v>
      </c>
      <c r="N100" s="521">
        <f>435700</f>
        <v>435700</v>
      </c>
      <c r="O100" s="521">
        <v>504700</v>
      </c>
      <c r="P100" s="521">
        <v>928500</v>
      </c>
      <c r="Q100" s="521">
        <v>469400</v>
      </c>
      <c r="R100" s="521">
        <v>591350</v>
      </c>
      <c r="S100" s="521"/>
      <c r="T100" s="521"/>
      <c r="U100" s="521"/>
      <c r="V100" s="521"/>
      <c r="W100" s="521"/>
      <c r="X100" s="521"/>
      <c r="Y100" s="521"/>
      <c r="Z100" s="521"/>
      <c r="AA100" s="521"/>
      <c r="AB100" s="521"/>
      <c r="AC100" s="521"/>
      <c r="AD100" s="522">
        <f t="shared" si="9"/>
        <v>13421250</v>
      </c>
      <c r="AE100" s="522"/>
    </row>
    <row r="101" spans="1:31" ht="13.2">
      <c r="A101" s="624" t="s">
        <v>112</v>
      </c>
      <c r="B101" s="625">
        <v>65000</v>
      </c>
      <c r="C101" s="626"/>
      <c r="D101" s="625">
        <v>14300000</v>
      </c>
      <c r="E101" s="625">
        <v>13000000</v>
      </c>
      <c r="F101" s="625">
        <v>9340000</v>
      </c>
      <c r="G101" s="626">
        <v>23000000</v>
      </c>
      <c r="H101" s="626">
        <v>14500000</v>
      </c>
      <c r="I101" s="626">
        <v>12500000</v>
      </c>
      <c r="J101" s="626">
        <v>15200000</v>
      </c>
      <c r="K101" s="626">
        <v>8200000</v>
      </c>
      <c r="L101" s="625">
        <v>7500000</v>
      </c>
      <c r="M101" s="626"/>
      <c r="N101" s="625">
        <v>20600000</v>
      </c>
      <c r="O101" s="626">
        <v>20400000</v>
      </c>
      <c r="P101" s="626"/>
      <c r="Q101" s="626">
        <v>13900000</v>
      </c>
      <c r="R101" s="626">
        <v>2500000</v>
      </c>
      <c r="S101" s="625"/>
      <c r="T101" s="626"/>
      <c r="U101" s="626"/>
      <c r="V101" s="625"/>
      <c r="W101" s="626"/>
      <c r="X101" s="626"/>
      <c r="Y101" s="625"/>
      <c r="Z101" s="625"/>
      <c r="AA101" s="625"/>
      <c r="AB101" s="626"/>
      <c r="AC101" s="626"/>
      <c r="AD101" s="522">
        <f t="shared" si="9"/>
        <v>175005000</v>
      </c>
      <c r="AE101" s="522"/>
    </row>
    <row r="102" spans="1:31" ht="15.6">
      <c r="A102" s="627" t="s">
        <v>822</v>
      </c>
      <c r="B102" s="628">
        <f t="shared" ref="B102:AC102" si="16">B97+B98+B99-B103</f>
        <v>79350</v>
      </c>
      <c r="C102" s="628">
        <f t="shared" si="16"/>
        <v>1396388</v>
      </c>
      <c r="D102" s="628">
        <f t="shared" si="16"/>
        <v>-1556467</v>
      </c>
      <c r="E102" s="628">
        <f t="shared" si="16"/>
        <v>-112978</v>
      </c>
      <c r="F102" s="628">
        <f t="shared" si="16"/>
        <v>-305856</v>
      </c>
      <c r="G102" s="628">
        <f t="shared" si="16"/>
        <v>125000</v>
      </c>
      <c r="H102" s="628">
        <f t="shared" si="16"/>
        <v>-299304</v>
      </c>
      <c r="I102" s="628">
        <f t="shared" si="16"/>
        <v>-730100</v>
      </c>
      <c r="J102" s="628">
        <f t="shared" si="16"/>
        <v>11943082</v>
      </c>
      <c r="K102" s="628">
        <f t="shared" si="16"/>
        <v>-4851036</v>
      </c>
      <c r="L102" s="628">
        <f t="shared" si="16"/>
        <v>298270</v>
      </c>
      <c r="M102" s="628">
        <f t="shared" si="16"/>
        <v>-1174746</v>
      </c>
      <c r="N102" s="628">
        <f t="shared" si="16"/>
        <v>-1930143</v>
      </c>
      <c r="O102" s="628">
        <f t="shared" si="16"/>
        <v>1766159</v>
      </c>
      <c r="P102" s="628">
        <f t="shared" si="16"/>
        <v>-1139952</v>
      </c>
      <c r="Q102" s="628">
        <f t="shared" si="16"/>
        <v>878057</v>
      </c>
      <c r="R102" s="628">
        <f t="shared" si="16"/>
        <v>-559191</v>
      </c>
      <c r="S102" s="628">
        <f t="shared" si="16"/>
        <v>591350</v>
      </c>
      <c r="T102" s="628">
        <f t="shared" si="16"/>
        <v>0</v>
      </c>
      <c r="U102" s="628">
        <f t="shared" si="16"/>
        <v>0</v>
      </c>
      <c r="V102" s="628">
        <f t="shared" si="16"/>
        <v>0</v>
      </c>
      <c r="W102" s="628">
        <f t="shared" si="16"/>
        <v>0</v>
      </c>
      <c r="X102" s="628">
        <f t="shared" si="16"/>
        <v>0</v>
      </c>
      <c r="Y102" s="628">
        <f t="shared" si="16"/>
        <v>0</v>
      </c>
      <c r="Z102" s="628">
        <f t="shared" si="16"/>
        <v>0</v>
      </c>
      <c r="AA102" s="628">
        <f t="shared" si="16"/>
        <v>0</v>
      </c>
      <c r="AB102" s="628">
        <f t="shared" si="16"/>
        <v>0</v>
      </c>
      <c r="AC102" s="628">
        <f t="shared" si="16"/>
        <v>0</v>
      </c>
      <c r="AD102" s="522">
        <f t="shared" si="9"/>
        <v>4417883</v>
      </c>
      <c r="AE102" s="522"/>
    </row>
    <row r="103" spans="1:31" ht="13.8">
      <c r="A103" s="515" t="s">
        <v>748</v>
      </c>
      <c r="B103" s="623">
        <f t="shared" ref="B103:V103" si="17">B121+B101+B100+B96+B94+B90+B85+B62+B42+B8</f>
        <v>24483900</v>
      </c>
      <c r="C103" s="623">
        <f t="shared" si="17"/>
        <v>21574320</v>
      </c>
      <c r="D103" s="623">
        <f t="shared" si="17"/>
        <v>19032150</v>
      </c>
      <c r="E103" s="623">
        <f t="shared" si="17"/>
        <v>21165300</v>
      </c>
      <c r="F103" s="623">
        <f t="shared" si="17"/>
        <v>15476900</v>
      </c>
      <c r="G103" s="623">
        <f t="shared" si="17"/>
        <v>30680200</v>
      </c>
      <c r="H103" s="623">
        <f t="shared" si="17"/>
        <v>43726300</v>
      </c>
      <c r="I103" s="623">
        <f t="shared" si="17"/>
        <v>17592500</v>
      </c>
      <c r="J103" s="623">
        <f t="shared" si="17"/>
        <v>25828724</v>
      </c>
      <c r="K103" s="623">
        <f t="shared" si="17"/>
        <v>25193812</v>
      </c>
      <c r="L103" s="623">
        <f t="shared" si="17"/>
        <v>23186380</v>
      </c>
      <c r="M103" s="623">
        <f t="shared" si="17"/>
        <v>21030901</v>
      </c>
      <c r="N103" s="623">
        <f t="shared" si="17"/>
        <v>36097054</v>
      </c>
      <c r="O103" s="623">
        <f t="shared" si="17"/>
        <v>56105481</v>
      </c>
      <c r="P103" s="623">
        <f t="shared" si="17"/>
        <v>17216000</v>
      </c>
      <c r="Q103" s="623">
        <f t="shared" si="17"/>
        <v>28550451</v>
      </c>
      <c r="R103" s="623">
        <f t="shared" si="17"/>
        <v>23632343</v>
      </c>
      <c r="S103" s="623">
        <f t="shared" si="17"/>
        <v>0</v>
      </c>
      <c r="T103" s="623">
        <f t="shared" si="17"/>
        <v>0</v>
      </c>
      <c r="U103" s="623">
        <f t="shared" si="17"/>
        <v>0</v>
      </c>
      <c r="V103" s="623">
        <f t="shared" si="17"/>
        <v>0</v>
      </c>
      <c r="W103" s="623">
        <f>W101+W100+W96+W94+W90+W85+W62+W42+W8+W121</f>
        <v>0</v>
      </c>
      <c r="X103" s="623">
        <f t="shared" ref="X103:AC103" si="18">X121+X101+X100+X96+X94+X90+X85+X62+X42+X8</f>
        <v>0</v>
      </c>
      <c r="Y103" s="623">
        <f t="shared" si="18"/>
        <v>0</v>
      </c>
      <c r="Z103" s="623">
        <f t="shared" si="18"/>
        <v>0</v>
      </c>
      <c r="AA103" s="623">
        <f t="shared" si="18"/>
        <v>0</v>
      </c>
      <c r="AB103" s="623">
        <f t="shared" si="18"/>
        <v>0</v>
      </c>
      <c r="AC103" s="623">
        <f t="shared" si="18"/>
        <v>0</v>
      </c>
      <c r="AD103" s="522">
        <f t="shared" si="9"/>
        <v>450572716</v>
      </c>
      <c r="AE103" s="522"/>
    </row>
    <row r="107" spans="1:31" ht="13.2">
      <c r="A107" s="629" t="s">
        <v>823</v>
      </c>
      <c r="B107" s="630"/>
      <c r="C107" s="631"/>
      <c r="D107" s="631"/>
      <c r="E107" s="631"/>
      <c r="F107" s="631"/>
      <c r="G107" s="631"/>
      <c r="H107" s="631"/>
      <c r="I107" s="631"/>
      <c r="J107" s="631"/>
      <c r="K107" s="631"/>
      <c r="L107" s="631"/>
      <c r="M107" s="631"/>
      <c r="N107" s="631"/>
      <c r="O107" s="631"/>
      <c r="P107" s="631"/>
      <c r="Q107" s="631"/>
      <c r="R107" s="631"/>
      <c r="S107" s="631"/>
      <c r="T107" s="631"/>
      <c r="U107" s="631"/>
      <c r="V107" s="631"/>
      <c r="W107" s="631"/>
      <c r="X107" s="631"/>
      <c r="Y107" s="631"/>
      <c r="Z107" s="631"/>
      <c r="AA107" s="631"/>
      <c r="AB107" s="631"/>
      <c r="AC107" s="631"/>
      <c r="AD107" s="631"/>
      <c r="AE107" s="632"/>
    </row>
    <row r="108" spans="1:31" ht="13.2">
      <c r="A108" s="515" t="s">
        <v>824</v>
      </c>
      <c r="B108" s="165">
        <v>70000</v>
      </c>
      <c r="C108" s="521"/>
      <c r="D108" s="165"/>
      <c r="E108" s="165"/>
      <c r="F108" s="165">
        <v>285000</v>
      </c>
      <c r="G108" s="165"/>
      <c r="H108" s="165"/>
      <c r="I108" s="165"/>
      <c r="J108" s="165"/>
      <c r="K108" s="165"/>
      <c r="L108" s="165"/>
      <c r="M108" s="165"/>
      <c r="N108" s="165"/>
      <c r="O108" s="165"/>
      <c r="P108" s="521">
        <v>100000</v>
      </c>
      <c r="Q108" s="165"/>
      <c r="R108" s="165">
        <v>64000</v>
      </c>
      <c r="S108" s="521"/>
      <c r="T108" s="165"/>
      <c r="U108" s="165"/>
      <c r="V108" s="165"/>
      <c r="W108" s="165"/>
      <c r="X108" s="521"/>
      <c r="Y108" s="165"/>
      <c r="Z108" s="165"/>
      <c r="AA108" s="165"/>
      <c r="AB108" s="165"/>
      <c r="AC108" s="165"/>
      <c r="AD108" s="165"/>
      <c r="AE108" s="522">
        <f t="shared" ref="AE108:AE110" si="19">SUM(B108:AC108)</f>
        <v>519000</v>
      </c>
    </row>
    <row r="109" spans="1:31" ht="13.2">
      <c r="A109" s="515" t="s">
        <v>825</v>
      </c>
      <c r="B109" s="521"/>
      <c r="C109" s="521"/>
      <c r="D109" s="165"/>
      <c r="E109" s="165">
        <v>839000</v>
      </c>
      <c r="F109" s="521"/>
      <c r="G109" s="165"/>
      <c r="H109" s="165">
        <v>200000</v>
      </c>
      <c r="I109" s="521"/>
      <c r="J109" s="165">
        <v>60000</v>
      </c>
      <c r="K109" s="165"/>
      <c r="L109" s="521"/>
      <c r="M109" s="165"/>
      <c r="N109" s="521">
        <v>60000</v>
      </c>
      <c r="O109" s="165">
        <v>27000</v>
      </c>
      <c r="P109" s="633">
        <v>50000</v>
      </c>
      <c r="Q109" s="165">
        <v>38000</v>
      </c>
      <c r="R109" s="165"/>
      <c r="S109" s="165"/>
      <c r="T109" s="165"/>
      <c r="U109" s="521"/>
      <c r="V109" s="165"/>
      <c r="W109" s="521"/>
      <c r="X109" s="165"/>
      <c r="Y109" s="165"/>
      <c r="Z109" s="165"/>
      <c r="AA109" s="165"/>
      <c r="AB109" s="521"/>
      <c r="AC109" s="165"/>
      <c r="AD109" s="165"/>
      <c r="AE109" s="522">
        <f t="shared" si="19"/>
        <v>1274000</v>
      </c>
    </row>
    <row r="110" spans="1:31" ht="13.2">
      <c r="A110" s="515" t="s">
        <v>826</v>
      </c>
      <c r="B110" s="165"/>
      <c r="C110" s="165"/>
      <c r="D110" s="165"/>
      <c r="E110" s="521"/>
      <c r="F110" s="165"/>
      <c r="G110" s="165"/>
      <c r="H110" s="165">
        <v>930000</v>
      </c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6"/>
      <c r="X110" s="165"/>
      <c r="Y110" s="165"/>
      <c r="Z110" s="165"/>
      <c r="AA110" s="165"/>
      <c r="AB110" s="165"/>
      <c r="AC110" s="165"/>
      <c r="AD110" s="165"/>
      <c r="AE110" s="522">
        <f t="shared" si="19"/>
        <v>930000</v>
      </c>
    </row>
    <row r="111" spans="1:31" ht="13.2">
      <c r="A111" s="515" t="s">
        <v>827</v>
      </c>
      <c r="B111" s="521">
        <v>50000</v>
      </c>
      <c r="C111" s="165"/>
      <c r="D111" s="521"/>
      <c r="E111" s="521"/>
      <c r="F111" s="521"/>
      <c r="G111" s="521"/>
      <c r="H111" s="521"/>
      <c r="I111" s="521"/>
      <c r="J111" s="521"/>
      <c r="K111" s="521"/>
      <c r="L111" s="521"/>
      <c r="M111" s="521"/>
      <c r="N111" s="521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521"/>
      <c r="AD111" s="521"/>
      <c r="AE111" s="522">
        <f t="shared" ref="AE111:AE113" si="20">SUM(B111:AD111)</f>
        <v>50000</v>
      </c>
    </row>
    <row r="112" spans="1:31" ht="13.2">
      <c r="A112" s="515" t="s">
        <v>828</v>
      </c>
      <c r="B112" s="521">
        <v>100000</v>
      </c>
      <c r="C112" s="521"/>
      <c r="D112" s="521">
        <v>50000</v>
      </c>
      <c r="E112" s="165"/>
      <c r="F112" s="521">
        <v>350000</v>
      </c>
      <c r="G112" s="165"/>
      <c r="H112" s="521">
        <v>400000</v>
      </c>
      <c r="I112" s="165"/>
      <c r="J112" s="165">
        <v>81000</v>
      </c>
      <c r="K112" s="165"/>
      <c r="L112" s="521"/>
      <c r="M112" s="521"/>
      <c r="N112" s="521"/>
      <c r="O112" s="165">
        <v>60000</v>
      </c>
      <c r="P112" s="165"/>
      <c r="Q112" s="165">
        <v>220000</v>
      </c>
      <c r="R112" s="165"/>
      <c r="S112" s="521"/>
      <c r="T112" s="165"/>
      <c r="U112" s="165"/>
      <c r="V112" s="521"/>
      <c r="W112" s="165"/>
      <c r="X112" s="521"/>
      <c r="Y112" s="165"/>
      <c r="Z112" s="165"/>
      <c r="AA112" s="165"/>
      <c r="AB112" s="521"/>
      <c r="AC112" s="165"/>
      <c r="AD112" s="521"/>
      <c r="AE112" s="522">
        <f t="shared" si="20"/>
        <v>1261000</v>
      </c>
    </row>
    <row r="113" spans="1:31" ht="13.2">
      <c r="A113" s="515" t="s">
        <v>829</v>
      </c>
      <c r="B113" s="165">
        <v>180000</v>
      </c>
      <c r="C113" s="165"/>
      <c r="D113" s="165"/>
      <c r="E113" s="165"/>
      <c r="F113" s="165"/>
      <c r="G113" s="165"/>
      <c r="H113" s="165"/>
      <c r="I113" s="521">
        <v>85000</v>
      </c>
      <c r="J113" s="165"/>
      <c r="K113" s="165"/>
      <c r="L113" s="165"/>
      <c r="M113" s="165"/>
      <c r="N113" s="521"/>
      <c r="O113" s="165"/>
      <c r="P113" s="165">
        <v>5000</v>
      </c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521"/>
      <c r="AD113" s="521"/>
      <c r="AE113" s="522">
        <f t="shared" si="20"/>
        <v>270000</v>
      </c>
    </row>
    <row r="114" spans="1:31" ht="13.2">
      <c r="A114" s="515" t="s">
        <v>830</v>
      </c>
      <c r="B114" s="165">
        <v>100000</v>
      </c>
      <c r="C114" s="165"/>
      <c r="D114" s="165"/>
      <c r="E114" s="165"/>
      <c r="F114" s="165"/>
      <c r="G114" s="165"/>
      <c r="H114" s="521"/>
      <c r="I114" s="521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521"/>
      <c r="Y114" s="165"/>
      <c r="Z114" s="165"/>
      <c r="AA114" s="165"/>
      <c r="AB114" s="521"/>
      <c r="AC114" s="521"/>
      <c r="AD114" s="165"/>
      <c r="AE114" s="522">
        <f>SUM(B114:AC114)</f>
        <v>100000</v>
      </c>
    </row>
    <row r="115" spans="1:31" ht="13.2">
      <c r="A115" s="515" t="s">
        <v>831</v>
      </c>
      <c r="B115" s="165">
        <v>110000</v>
      </c>
      <c r="C115" s="165"/>
      <c r="D115" s="165"/>
      <c r="E115" s="165"/>
      <c r="F115" s="165"/>
      <c r="G115" s="165"/>
      <c r="H115" s="165"/>
      <c r="I115" s="165"/>
      <c r="J115" s="165"/>
      <c r="K115" s="165"/>
      <c r="L115" s="521"/>
      <c r="M115" s="165"/>
      <c r="N115" s="521"/>
      <c r="O115" s="165">
        <v>18000</v>
      </c>
      <c r="P115" s="165">
        <v>100000</v>
      </c>
      <c r="Q115" s="165"/>
      <c r="R115" s="165"/>
      <c r="S115" s="165"/>
      <c r="T115" s="165"/>
      <c r="U115" s="165"/>
      <c r="V115" s="165"/>
      <c r="W115" s="165"/>
      <c r="X115" s="521"/>
      <c r="Y115" s="521"/>
      <c r="Z115" s="521"/>
      <c r="AA115" s="521"/>
      <c r="AB115" s="165"/>
      <c r="AC115" s="165"/>
      <c r="AD115" s="521"/>
      <c r="AE115" s="522">
        <f>SUM(B115:AD115)</f>
        <v>228000</v>
      </c>
    </row>
    <row r="116" spans="1:31" ht="13.2">
      <c r="A116" s="515" t="s">
        <v>832</v>
      </c>
      <c r="B116" s="165"/>
      <c r="C116" s="165"/>
      <c r="D116" s="165">
        <v>930000</v>
      </c>
      <c r="E116" s="521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521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522">
        <f t="shared" ref="AE116:AE118" si="21">SUM(B116:AC116)</f>
        <v>930000</v>
      </c>
    </row>
    <row r="117" spans="1:31" ht="13.2">
      <c r="A117" s="515" t="s">
        <v>833</v>
      </c>
      <c r="B117" s="165"/>
      <c r="C117" s="165"/>
      <c r="D117" s="165"/>
      <c r="E117" s="521"/>
      <c r="F117" s="165"/>
      <c r="G117" s="165"/>
      <c r="H117" s="165"/>
      <c r="I117" s="165"/>
      <c r="J117" s="165"/>
      <c r="K117" s="521"/>
      <c r="L117" s="165"/>
      <c r="M117" s="165"/>
      <c r="N117" s="165">
        <v>20000</v>
      </c>
      <c r="O117" s="165">
        <v>910000</v>
      </c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522">
        <f t="shared" si="21"/>
        <v>930000</v>
      </c>
    </row>
    <row r="118" spans="1:31" ht="13.2">
      <c r="A118" s="515" t="s">
        <v>834</v>
      </c>
      <c r="B118" s="165">
        <v>100000</v>
      </c>
      <c r="C118" s="165"/>
      <c r="D118" s="165"/>
      <c r="E118" s="521"/>
      <c r="F118" s="165">
        <v>1000000</v>
      </c>
      <c r="G118" s="165"/>
      <c r="H118" s="165"/>
      <c r="I118" s="165"/>
      <c r="J118" s="165"/>
      <c r="K118" s="521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522">
        <f t="shared" si="21"/>
        <v>1100000</v>
      </c>
    </row>
    <row r="119" spans="1:31" ht="13.2">
      <c r="A119" s="634" t="s">
        <v>835</v>
      </c>
      <c r="B119" s="635"/>
      <c r="C119" s="635"/>
      <c r="D119" s="635"/>
      <c r="E119" s="636"/>
      <c r="F119" s="635"/>
      <c r="G119" s="635"/>
      <c r="H119" s="635"/>
      <c r="I119" s="635"/>
      <c r="J119" s="635">
        <v>20000</v>
      </c>
      <c r="K119" s="636"/>
      <c r="L119" s="635"/>
      <c r="M119" s="635"/>
      <c r="N119" s="635"/>
      <c r="O119" s="635"/>
      <c r="P119" s="635"/>
      <c r="Q119" s="635"/>
      <c r="R119" s="635"/>
      <c r="S119" s="635"/>
      <c r="T119" s="635"/>
      <c r="U119" s="635"/>
      <c r="V119" s="635"/>
      <c r="W119" s="635"/>
      <c r="X119" s="635"/>
      <c r="Y119" s="635"/>
      <c r="Z119" s="635"/>
      <c r="AA119" s="635"/>
      <c r="AB119" s="635"/>
      <c r="AC119" s="635"/>
      <c r="AD119" s="635"/>
      <c r="AE119" s="637"/>
    </row>
    <row r="120" spans="1:31" ht="13.2">
      <c r="A120" s="638" t="s">
        <v>836</v>
      </c>
      <c r="B120" s="639">
        <f>650000+23000</f>
        <v>673000</v>
      </c>
      <c r="C120" s="639">
        <f>91000+800000</f>
        <v>891000</v>
      </c>
      <c r="D120" s="639"/>
      <c r="E120" s="639">
        <f>2900000+120000+50000+5400+50000</f>
        <v>3125400</v>
      </c>
      <c r="F120" s="639">
        <f>200000+58000+600000+42000+91300</f>
        <v>991300</v>
      </c>
      <c r="G120" s="639">
        <v>1750000</v>
      </c>
      <c r="H120" s="639">
        <v>245000</v>
      </c>
      <c r="I120" s="639">
        <v>93000</v>
      </c>
      <c r="J120" s="639">
        <f>148200+100000</f>
        <v>248200</v>
      </c>
      <c r="K120" s="639">
        <f>1250000+50000</f>
        <v>1300000</v>
      </c>
      <c r="L120" s="639">
        <f>350000+180000+25000+30000+39000</f>
        <v>624000</v>
      </c>
      <c r="M120" s="639">
        <f>332000+220000+40000+100000</f>
        <v>692000</v>
      </c>
      <c r="N120" s="639">
        <f>1000000+400000+20000+30000+26000+18000</f>
        <v>1494000</v>
      </c>
      <c r="O120" s="640">
        <f>1277000+906454</f>
        <v>2183454</v>
      </c>
      <c r="P120" s="639">
        <v>300000</v>
      </c>
      <c r="Q120" s="639">
        <v>40000</v>
      </c>
      <c r="R120" s="640">
        <v>400000</v>
      </c>
      <c r="S120" s="640"/>
      <c r="T120" s="639"/>
      <c r="U120" s="639"/>
      <c r="V120" s="639"/>
      <c r="W120" s="639"/>
      <c r="X120" s="639"/>
      <c r="Y120" s="639"/>
      <c r="Z120" s="639"/>
      <c r="AA120" s="639"/>
      <c r="AB120" s="640"/>
      <c r="AC120" s="639"/>
      <c r="AD120" s="639"/>
      <c r="AE120" s="641">
        <f>SUM(B120:AD120)</f>
        <v>15050354</v>
      </c>
    </row>
    <row r="121" spans="1:31" ht="13.2">
      <c r="A121" s="642" t="s">
        <v>754</v>
      </c>
      <c r="B121" s="643">
        <f t="shared" ref="B121:AD121" si="22">SUM(B108:B120)</f>
        <v>1383000</v>
      </c>
      <c r="C121" s="643">
        <f t="shared" si="22"/>
        <v>891000</v>
      </c>
      <c r="D121" s="643">
        <f t="shared" si="22"/>
        <v>980000</v>
      </c>
      <c r="E121" s="643">
        <f t="shared" si="22"/>
        <v>3964400</v>
      </c>
      <c r="F121" s="643">
        <f t="shared" si="22"/>
        <v>2626300</v>
      </c>
      <c r="G121" s="643">
        <f t="shared" si="22"/>
        <v>1750000</v>
      </c>
      <c r="H121" s="643">
        <f t="shared" si="22"/>
        <v>1775000</v>
      </c>
      <c r="I121" s="643">
        <f t="shared" si="22"/>
        <v>178000</v>
      </c>
      <c r="J121" s="643">
        <f t="shared" si="22"/>
        <v>409200</v>
      </c>
      <c r="K121" s="643">
        <f t="shared" si="22"/>
        <v>1300000</v>
      </c>
      <c r="L121" s="643">
        <f t="shared" si="22"/>
        <v>624000</v>
      </c>
      <c r="M121" s="643">
        <f t="shared" si="22"/>
        <v>692000</v>
      </c>
      <c r="N121" s="643">
        <f t="shared" si="22"/>
        <v>1574000</v>
      </c>
      <c r="O121" s="643">
        <f t="shared" si="22"/>
        <v>3198454</v>
      </c>
      <c r="P121" s="643">
        <f t="shared" si="22"/>
        <v>555000</v>
      </c>
      <c r="Q121" s="643">
        <f t="shared" si="22"/>
        <v>298000</v>
      </c>
      <c r="R121" s="643">
        <f t="shared" si="22"/>
        <v>464000</v>
      </c>
      <c r="S121" s="643">
        <f t="shared" si="22"/>
        <v>0</v>
      </c>
      <c r="T121" s="643">
        <f t="shared" si="22"/>
        <v>0</v>
      </c>
      <c r="U121" s="643">
        <f t="shared" si="22"/>
        <v>0</v>
      </c>
      <c r="V121" s="643">
        <f t="shared" si="22"/>
        <v>0</v>
      </c>
      <c r="W121" s="643">
        <f t="shared" si="22"/>
        <v>0</v>
      </c>
      <c r="X121" s="643">
        <f t="shared" si="22"/>
        <v>0</v>
      </c>
      <c r="Y121" s="643">
        <f t="shared" si="22"/>
        <v>0</v>
      </c>
      <c r="Z121" s="643">
        <f t="shared" si="22"/>
        <v>0</v>
      </c>
      <c r="AA121" s="643">
        <f t="shared" si="22"/>
        <v>0</v>
      </c>
      <c r="AB121" s="643">
        <f t="shared" si="22"/>
        <v>0</v>
      </c>
      <c r="AC121" s="643">
        <f t="shared" si="22"/>
        <v>0</v>
      </c>
      <c r="AD121" s="643">
        <f t="shared" si="22"/>
        <v>0</v>
      </c>
      <c r="AE121" s="644">
        <f>SUM(B121:AC121)</f>
        <v>22662354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PLAZA</vt:lpstr>
      <vt:lpstr>3 FEB</vt:lpstr>
      <vt:lpstr>5 FEB</vt:lpstr>
      <vt:lpstr>6 feb</vt:lpstr>
      <vt:lpstr>8 FEB</vt:lpstr>
      <vt:lpstr>9 FEB</vt:lpstr>
      <vt:lpstr>17 FEB</vt:lpstr>
      <vt:lpstr>Enrique</vt:lpstr>
      <vt:lpstr>cuadre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Aza</dc:creator>
  <cp:lastModifiedBy>Vanesa Aza</cp:lastModifiedBy>
  <dcterms:created xsi:type="dcterms:W3CDTF">2026-09-17T12:08:38Z</dcterms:created>
  <dcterms:modified xsi:type="dcterms:W3CDTF">2026-09-17T12:08:38Z</dcterms:modified>
</cp:coreProperties>
</file>